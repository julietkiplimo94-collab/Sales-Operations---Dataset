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6.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0.xml" ContentType="application/vnd.openxmlformats-officedocument.drawing+xml"/>
  <Override PartName="/xl/slicers/slicer6.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J:\LUXDEVHQ School work\Assignments\"/>
    </mc:Choice>
  </mc:AlternateContent>
  <xr:revisionPtr revIDLastSave="0" documentId="13_ncr:1_{B36BFFD7-37CA-4283-A076-0265C5AAEFA4}" xr6:coauthVersionLast="47" xr6:coauthVersionMax="47" xr10:uidLastSave="{00000000-0000-0000-0000-000000000000}"/>
  <bookViews>
    <workbookView xWindow="-108" yWindow="-108" windowWidth="23256" windowHeight="12456" firstSheet="1" activeTab="1" xr2:uid="{00000000-000D-0000-FFFF-FFFF00000000}"/>
  </bookViews>
  <sheets>
    <sheet name="Brief" sheetId="2" r:id="rId1"/>
    <sheet name="DASHBOARD" sheetId="16" r:id="rId2"/>
    <sheet name="staging data" sheetId="1" r:id="rId3"/>
    <sheet name="ABC Analysis.SKU.Revenuecat." sheetId="43" r:id="rId4"/>
    <sheet name="SKU Top10byrevenue" sheetId="44" r:id="rId5"/>
    <sheet name="Top10SKU.chart" sheetId="49" r:id="rId6"/>
    <sheet name="Pivot.Top10SKU" sheetId="45" r:id="rId7"/>
    <sheet name="Revenueperchannel" sheetId="50" r:id="rId8"/>
    <sheet name="Documentation" sheetId="3" r:id="rId9"/>
    <sheet name="Leadtimedays(%)" sheetId="30" r:id="rId10"/>
    <sheet name="Profitper.Region.Channel" sheetId="42" r:id="rId11"/>
    <sheet name="Discount outliers" sheetId="36" r:id="rId12"/>
    <sheet name="First.month sales per country" sheetId="24" r:id="rId13"/>
    <sheet name="ABC Analysis" sheetId="26" r:id="rId14"/>
    <sheet name="Sales productivityperson" sheetId="27" r:id="rId15"/>
    <sheet name="Revenuepermonth." sheetId="11" r:id="rId16"/>
    <sheet name="OrderCount.Quarterly" sheetId="4" r:id="rId17"/>
    <sheet name="Regional.Hierachy" sheetId="5" r:id="rId18"/>
  </sheets>
  <definedNames>
    <definedName name="_xlnm._FilterDatabase" localSheetId="2" hidden="1">'staging data'!$X$1:$X$1048574</definedName>
    <definedName name="_xlchart.v1.0" hidden="1">'Discount outliers'!$B$1</definedName>
    <definedName name="_xlchart.v1.1" hidden="1">'Discount outliers'!$B$2:$B$91</definedName>
    <definedName name="_xlchart.v1.2" hidden="1">'Discount outliers'!$B$1</definedName>
    <definedName name="_xlchart.v1.3" hidden="1">'Discount outliers'!$B$2:$B$91</definedName>
    <definedName name="Slicer_Channel">#N/A</definedName>
    <definedName name="Slicer_Channel1">#N/A</definedName>
    <definedName name="Slicer_Country">#N/A</definedName>
    <definedName name="Slicer_Country1">#N/A</definedName>
    <definedName name="Slicer_Country3">#N/A</definedName>
    <definedName name="Slicer_Month">#N/A</definedName>
    <definedName name="Slicer_ProductCategory">#N/A</definedName>
    <definedName name="Slicer_ProductCategory1">#N/A</definedName>
    <definedName name="Slicer_Region">#N/A</definedName>
    <definedName name="Slicer_Region1">#N/A</definedName>
    <definedName name="Slicer_Salesperson">#N/A</definedName>
  </definedNames>
  <calcPr calcId="191029"/>
  <pivotCaches>
    <pivotCache cacheId="0" r:id="rId19"/>
    <pivotCache cacheId="1" r:id="rId20"/>
    <pivotCache cacheId="2" r:id="rId21"/>
    <pivotCache cacheId="3" r:id="rId22"/>
  </pivotCaches>
  <fileRecoveryPr repairLoad="1"/>
  <extLst>
    <ext xmlns:x14="http://schemas.microsoft.com/office/spreadsheetml/2009/9/main" uri="{BBE1A952-AA13-448e-AADC-164F8A28A991}">
      <x14:slicerCaches>
        <x14:slicerCache r:id="rId23"/>
        <x14:slicerCache r:id="rId24"/>
        <x14:slicerCache r:id="rId25"/>
        <x14:slicerCache r:id="rId26"/>
        <x14:slicerCache r:id="rId27"/>
        <x14:slicerCache r:id="rId28"/>
        <x14:slicerCache r:id="rId29"/>
        <x14:slicerCache r:id="rId30"/>
        <x14:slicerCache r:id="rId31"/>
        <x14:slicerCache r:id="rId32"/>
        <x14:slicerCache r:id="rId3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2" i="1"/>
  <c r="E4" i="43"/>
  <c r="E3" i="43"/>
  <c r="E2" i="43"/>
  <c r="AI3" i="1" l="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2" i="1"/>
  <c r="AC633" i="1" l="1"/>
  <c r="AC630" i="1"/>
  <c r="AC631" i="1"/>
  <c r="AC629" i="1"/>
  <c r="AC628" i="1"/>
  <c r="AC626" i="1"/>
  <c r="AC627" i="1"/>
  <c r="AC624" i="1"/>
  <c r="AC625" i="1"/>
  <c r="AC623" i="1"/>
  <c r="AC622" i="1"/>
  <c r="AC620" i="1"/>
  <c r="AC621" i="1"/>
  <c r="AC618" i="1"/>
  <c r="AC619" i="1"/>
  <c r="AC617" i="1"/>
  <c r="AC615" i="1"/>
  <c r="AC616" i="1"/>
  <c r="AC614" i="1"/>
  <c r="AC613" i="1"/>
  <c r="AC612" i="1"/>
  <c r="AC611" i="1"/>
  <c r="AC610" i="1"/>
  <c r="AC608" i="1"/>
  <c r="AC609" i="1"/>
  <c r="AC607" i="1"/>
  <c r="AC605" i="1"/>
  <c r="AC606" i="1"/>
  <c r="AC604" i="1"/>
  <c r="AC603" i="1"/>
  <c r="AC601" i="1"/>
  <c r="AC602" i="1"/>
  <c r="AC600" i="1"/>
  <c r="AC599" i="1"/>
  <c r="AC597" i="1"/>
  <c r="AC598" i="1"/>
  <c r="AC596" i="1"/>
  <c r="AC595" i="1"/>
  <c r="AC594" i="1"/>
  <c r="AC593" i="1"/>
  <c r="AC592" i="1"/>
  <c r="AC591" i="1"/>
  <c r="AC590" i="1"/>
  <c r="AC588" i="1"/>
  <c r="AC589" i="1"/>
  <c r="AC587" i="1"/>
  <c r="AC585" i="1"/>
  <c r="AC586" i="1"/>
  <c r="AC583" i="1"/>
  <c r="AC584" i="1"/>
  <c r="AC582" i="1"/>
  <c r="AC581" i="1"/>
  <c r="AC577" i="1"/>
  <c r="AC578" i="1"/>
  <c r="AC579" i="1"/>
  <c r="AC580" i="1"/>
  <c r="AC576" i="1"/>
  <c r="AC575" i="1"/>
  <c r="AC573" i="1"/>
  <c r="AC574" i="1"/>
  <c r="AC572" i="1"/>
  <c r="AC570" i="1"/>
  <c r="AC571" i="1"/>
  <c r="AC569" i="1"/>
  <c r="AC566" i="1"/>
  <c r="AC567" i="1"/>
  <c r="AC568" i="1"/>
  <c r="AC565" i="1"/>
  <c r="AC564" i="1"/>
  <c r="AC561" i="1"/>
  <c r="AC562" i="1"/>
  <c r="AC563" i="1"/>
  <c r="AC560" i="1"/>
  <c r="AC559" i="1"/>
  <c r="AC556" i="1"/>
  <c r="AC557" i="1"/>
  <c r="AC558" i="1"/>
  <c r="AC555" i="1"/>
  <c r="AC554" i="1"/>
  <c r="AC552" i="1"/>
  <c r="AC553" i="1"/>
  <c r="AC550" i="1"/>
  <c r="AC551" i="1"/>
  <c r="AC549" i="1"/>
  <c r="AC547" i="1"/>
  <c r="AC548" i="1"/>
  <c r="AC546" i="1"/>
  <c r="AC545" i="1"/>
  <c r="AC544" i="1"/>
  <c r="AC543" i="1"/>
  <c r="AC541" i="1"/>
  <c r="AC542" i="1"/>
  <c r="AC538" i="1"/>
  <c r="AC539" i="1"/>
  <c r="AC540" i="1"/>
  <c r="AC537" i="1"/>
  <c r="AC536" i="1"/>
  <c r="AC534" i="1"/>
  <c r="AC535" i="1"/>
  <c r="AC532" i="1"/>
  <c r="AC533" i="1"/>
  <c r="AC530" i="1"/>
  <c r="AC531" i="1"/>
  <c r="AC529" i="1"/>
  <c r="AC528" i="1"/>
  <c r="AC527" i="1"/>
  <c r="AC526" i="1"/>
  <c r="AC525" i="1"/>
  <c r="AC523" i="1"/>
  <c r="AC524" i="1"/>
  <c r="AC522" i="1"/>
  <c r="AC521" i="1"/>
  <c r="AC519" i="1"/>
  <c r="AC520" i="1"/>
  <c r="AC518" i="1"/>
  <c r="AC517" i="1"/>
  <c r="AC515" i="1"/>
  <c r="AC516" i="1"/>
  <c r="AC514" i="1"/>
  <c r="AC512" i="1"/>
  <c r="AC513" i="1"/>
  <c r="AC510" i="1"/>
  <c r="AC511" i="1"/>
  <c r="AC509" i="1"/>
  <c r="AC508" i="1"/>
  <c r="AC507" i="1"/>
  <c r="AC505" i="1"/>
  <c r="AC506" i="1"/>
  <c r="AC503" i="1"/>
  <c r="AC504" i="1"/>
  <c r="AC501" i="1"/>
  <c r="AC502" i="1"/>
  <c r="AC500" i="1"/>
  <c r="AC499" i="1"/>
  <c r="AC498" i="1"/>
  <c r="AC497" i="1"/>
  <c r="AC496" i="1"/>
  <c r="AC495" i="1"/>
  <c r="AC494" i="1"/>
  <c r="AC493" i="1"/>
  <c r="AC492" i="1"/>
  <c r="AC489" i="1"/>
  <c r="AC490" i="1"/>
  <c r="AC491" i="1"/>
  <c r="AC488" i="1"/>
  <c r="AC487" i="1"/>
  <c r="AC486" i="1"/>
  <c r="AC485" i="1"/>
  <c r="AC483" i="1"/>
  <c r="AC484" i="1"/>
  <c r="AC482" i="1"/>
  <c r="AC481" i="1"/>
  <c r="AC480" i="1"/>
  <c r="AC479" i="1"/>
  <c r="AC477" i="1"/>
  <c r="AC478" i="1"/>
  <c r="AC475" i="1"/>
  <c r="AC476" i="1"/>
  <c r="AC474" i="1"/>
  <c r="AC473" i="1"/>
  <c r="AC472" i="1"/>
  <c r="AC471" i="1"/>
  <c r="AC470" i="1"/>
  <c r="AC469" i="1"/>
  <c r="AC468" i="1"/>
  <c r="AC467" i="1"/>
  <c r="AC466" i="1"/>
  <c r="AC465" i="1"/>
  <c r="AC464" i="1"/>
  <c r="AC460" i="1"/>
  <c r="AC461" i="1"/>
  <c r="AC462" i="1"/>
  <c r="AC463" i="1"/>
  <c r="AC459" i="1"/>
  <c r="AC458" i="1"/>
  <c r="AC457" i="1"/>
  <c r="AC456" i="1"/>
  <c r="AC454" i="1"/>
  <c r="AC455" i="1"/>
  <c r="AC453" i="1"/>
  <c r="AC452" i="1"/>
  <c r="AC451" i="1"/>
  <c r="AC449" i="1"/>
  <c r="AC450" i="1"/>
  <c r="AC448" i="1"/>
  <c r="AC447" i="1"/>
  <c r="AC446" i="1"/>
  <c r="AC445" i="1"/>
  <c r="AC442" i="1"/>
  <c r="AC443" i="1"/>
  <c r="AC444" i="1"/>
  <c r="AC441" i="1"/>
  <c r="AC440" i="1"/>
  <c r="AC439" i="1"/>
  <c r="AC438" i="1"/>
  <c r="AC437" i="1"/>
  <c r="AC436" i="1"/>
  <c r="AC435" i="1"/>
  <c r="AC434" i="1"/>
  <c r="AC433" i="1"/>
  <c r="AC432" i="1"/>
  <c r="AC431" i="1"/>
  <c r="AC430" i="1"/>
  <c r="AC428" i="1"/>
  <c r="AC429" i="1"/>
  <c r="AC426" i="1"/>
  <c r="AC427" i="1"/>
  <c r="AC425" i="1"/>
  <c r="AC424" i="1"/>
  <c r="AC423" i="1"/>
  <c r="AC422" i="1"/>
  <c r="AC420" i="1"/>
  <c r="AC421" i="1"/>
  <c r="AC419" i="1"/>
  <c r="AC417" i="1"/>
  <c r="AC418" i="1"/>
  <c r="AC416" i="1"/>
  <c r="AC415" i="1"/>
  <c r="AC414" i="1"/>
  <c r="AC413" i="1"/>
  <c r="AC412" i="1"/>
  <c r="AC411" i="1"/>
  <c r="AC410" i="1"/>
  <c r="AC409" i="1"/>
  <c r="AC408" i="1"/>
  <c r="AC407" i="1"/>
  <c r="AC406" i="1"/>
  <c r="AC405" i="1"/>
  <c r="AC404" i="1"/>
  <c r="AC403" i="1"/>
  <c r="AC402" i="1"/>
  <c r="AC401" i="1"/>
  <c r="AC400" i="1"/>
  <c r="AC399" i="1"/>
  <c r="AC398" i="1"/>
  <c r="AC397" i="1"/>
  <c r="AC394" i="1"/>
  <c r="AC395" i="1"/>
  <c r="AC396" i="1"/>
  <c r="AC392" i="1"/>
  <c r="AC393" i="1"/>
  <c r="AC390" i="1"/>
  <c r="AC391" i="1"/>
  <c r="AC389" i="1"/>
  <c r="AC387" i="1"/>
  <c r="AC388" i="1"/>
  <c r="AC386" i="1"/>
  <c r="AC385" i="1"/>
  <c r="AC384" i="1"/>
  <c r="AC383" i="1"/>
  <c r="AC381" i="1"/>
  <c r="AC382" i="1"/>
  <c r="AC380" i="1"/>
  <c r="AC379" i="1"/>
  <c r="AC377" i="1"/>
  <c r="AC378" i="1"/>
  <c r="AC376" i="1"/>
  <c r="AC375" i="1"/>
  <c r="AC374" i="1"/>
  <c r="AC373" i="1"/>
  <c r="AC371" i="1"/>
  <c r="AC372" i="1"/>
  <c r="AC370" i="1"/>
  <c r="AC369" i="1"/>
  <c r="AC368" i="1"/>
  <c r="AC367" i="1"/>
  <c r="AC366" i="1"/>
  <c r="AC365" i="1"/>
  <c r="AC364" i="1"/>
  <c r="AC363" i="1"/>
  <c r="AC361" i="1"/>
  <c r="AC362" i="1"/>
  <c r="AC360" i="1"/>
  <c r="AC359" i="1"/>
  <c r="AC358" i="1"/>
  <c r="AC357" i="1"/>
  <c r="AC355" i="1"/>
  <c r="AC356" i="1"/>
  <c r="AC354" i="1"/>
  <c r="AC352" i="1"/>
  <c r="AC353" i="1"/>
  <c r="AC349" i="1"/>
  <c r="AC350" i="1"/>
  <c r="AC351" i="1"/>
  <c r="AC348" i="1"/>
  <c r="AC347" i="1"/>
  <c r="AC345" i="1"/>
  <c r="AC346" i="1"/>
  <c r="AC344" i="1"/>
  <c r="AC342" i="1"/>
  <c r="AC343" i="1"/>
  <c r="AC341" i="1"/>
  <c r="AC340" i="1"/>
  <c r="AC339" i="1"/>
  <c r="AC338" i="1"/>
  <c r="AC337" i="1"/>
  <c r="AC335" i="1"/>
  <c r="AC336" i="1"/>
  <c r="AC334" i="1"/>
  <c r="AC333" i="1"/>
  <c r="AC332" i="1"/>
  <c r="AC331" i="1"/>
  <c r="AC329" i="1"/>
  <c r="AC330" i="1"/>
  <c r="AC328" i="1"/>
  <c r="AC326" i="1"/>
  <c r="AC327" i="1"/>
  <c r="AC325" i="1"/>
  <c r="AC322" i="1"/>
  <c r="AC323" i="1"/>
  <c r="AC324" i="1"/>
  <c r="AC321" i="1"/>
  <c r="AC320" i="1"/>
  <c r="AC319" i="1"/>
  <c r="AC318" i="1"/>
  <c r="AC315" i="1"/>
  <c r="AC316" i="1"/>
  <c r="AC317" i="1"/>
  <c r="AC314" i="1"/>
  <c r="AC313" i="1"/>
  <c r="AC312" i="1"/>
  <c r="AC311" i="1"/>
  <c r="AC310" i="1"/>
  <c r="AC309" i="1"/>
  <c r="AC308" i="1"/>
  <c r="AC306" i="1"/>
  <c r="AC307" i="1"/>
  <c r="AC305" i="1"/>
  <c r="AC304" i="1"/>
  <c r="AC303" i="1"/>
  <c r="AC302" i="1"/>
  <c r="AC301" i="1"/>
  <c r="AC300" i="1"/>
  <c r="AC299" i="1"/>
  <c r="AC298" i="1"/>
  <c r="AC297" i="1"/>
  <c r="AC296" i="1"/>
  <c r="AC295" i="1"/>
  <c r="AC294" i="1"/>
  <c r="AC292" i="1"/>
  <c r="AC293" i="1"/>
  <c r="AC291" i="1"/>
  <c r="AC290" i="1"/>
  <c r="AC289" i="1"/>
  <c r="AC288" i="1"/>
  <c r="AC287" i="1"/>
  <c r="AC286" i="1"/>
  <c r="AC285" i="1"/>
  <c r="AC284" i="1"/>
  <c r="AC283" i="1"/>
  <c r="AC281" i="1"/>
  <c r="AC282" i="1"/>
  <c r="AC280" i="1"/>
  <c r="AC277" i="1"/>
  <c r="AC278" i="1"/>
  <c r="AC279" i="1"/>
  <c r="AC275" i="1"/>
  <c r="AC276" i="1"/>
  <c r="AC274" i="1"/>
  <c r="AC273" i="1"/>
  <c r="AC272" i="1"/>
  <c r="AC270" i="1"/>
  <c r="AC271" i="1"/>
  <c r="AC269" i="1"/>
  <c r="AC268" i="1"/>
  <c r="AC267" i="1"/>
  <c r="AC266" i="1"/>
  <c r="AC265" i="1"/>
  <c r="AC264" i="1"/>
  <c r="AC261" i="1"/>
  <c r="AC262" i="1"/>
  <c r="AC263" i="1"/>
  <c r="AC260" i="1"/>
  <c r="AC259" i="1"/>
  <c r="AC258" i="1"/>
  <c r="AC257" i="1"/>
  <c r="AC256" i="1"/>
  <c r="AC255" i="1"/>
  <c r="AC253" i="1"/>
  <c r="AC254" i="1"/>
  <c r="AC251" i="1"/>
  <c r="AC252" i="1"/>
  <c r="AC248" i="1"/>
  <c r="AC249" i="1"/>
  <c r="AC250" i="1"/>
  <c r="AC246" i="1"/>
  <c r="AC247" i="1"/>
  <c r="AC245" i="1"/>
  <c r="AC244" i="1"/>
  <c r="AC243" i="1"/>
  <c r="AC242" i="1"/>
  <c r="AC241" i="1"/>
  <c r="AC238" i="1"/>
  <c r="AC239" i="1"/>
  <c r="AC240" i="1"/>
  <c r="AC236" i="1"/>
  <c r="AC237" i="1"/>
  <c r="AC234" i="1"/>
  <c r="AC235" i="1"/>
  <c r="AC233" i="1"/>
  <c r="AC232" i="1"/>
  <c r="AC229" i="1"/>
  <c r="AC230" i="1"/>
  <c r="AC231" i="1"/>
  <c r="AC228" i="1"/>
  <c r="AC227" i="1"/>
  <c r="AC226" i="1"/>
  <c r="AC225" i="1"/>
  <c r="AC224" i="1"/>
  <c r="AC222" i="1"/>
  <c r="AC223" i="1"/>
  <c r="AC220" i="1"/>
  <c r="AC221" i="1"/>
  <c r="AC219" i="1"/>
  <c r="AC218" i="1"/>
  <c r="AC216" i="1"/>
  <c r="AC217" i="1"/>
  <c r="AC215" i="1"/>
  <c r="AC214" i="1"/>
  <c r="AC212" i="1"/>
  <c r="AC213" i="1"/>
  <c r="AC211" i="1"/>
  <c r="AC210" i="1"/>
  <c r="AC209" i="1"/>
  <c r="AC208" i="1"/>
  <c r="AC207" i="1"/>
  <c r="AC205" i="1"/>
  <c r="AC206" i="1"/>
  <c r="AC204" i="1"/>
  <c r="AC203" i="1"/>
  <c r="AC200" i="1"/>
  <c r="AC201" i="1"/>
  <c r="AC202" i="1"/>
  <c r="AC199" i="1"/>
  <c r="AC198" i="1"/>
  <c r="AC197" i="1"/>
  <c r="AC196" i="1"/>
  <c r="AC195" i="1"/>
  <c r="AC194" i="1"/>
  <c r="AC192" i="1"/>
  <c r="AC193" i="1"/>
  <c r="AC191" i="1"/>
  <c r="AC189" i="1"/>
  <c r="AC190" i="1"/>
  <c r="AC188" i="1"/>
  <c r="AC187" i="1"/>
  <c r="AC186" i="1"/>
  <c r="AC185" i="1"/>
  <c r="AC183" i="1"/>
  <c r="AC184" i="1"/>
  <c r="AC182" i="1"/>
  <c r="AC180" i="1"/>
  <c r="AC181" i="1"/>
  <c r="AC179" i="1"/>
  <c r="AC177" i="1"/>
  <c r="AC178" i="1"/>
  <c r="AC175" i="1"/>
  <c r="AC176" i="1"/>
  <c r="AC174" i="1"/>
  <c r="AC173" i="1"/>
  <c r="AC172" i="1"/>
  <c r="AC171" i="1"/>
  <c r="AC170" i="1"/>
  <c r="AC169" i="1"/>
  <c r="AC167" i="1"/>
  <c r="AC168" i="1"/>
  <c r="AC165" i="1"/>
  <c r="AC166" i="1"/>
  <c r="AC163" i="1"/>
  <c r="AC164" i="1"/>
  <c r="AC162" i="1"/>
  <c r="AC161" i="1"/>
  <c r="AC160" i="1"/>
  <c r="AC159" i="1"/>
  <c r="AC158" i="1"/>
  <c r="AC157" i="1"/>
  <c r="AC154" i="1"/>
  <c r="AC155" i="1"/>
  <c r="AC156" i="1"/>
  <c r="AC153" i="1"/>
  <c r="AC151" i="1"/>
  <c r="AC152" i="1"/>
  <c r="AC150" i="1"/>
  <c r="AC149" i="1"/>
  <c r="AC148" i="1"/>
  <c r="AC147" i="1"/>
  <c r="AC144" i="1"/>
  <c r="AC145" i="1"/>
  <c r="AC146" i="1"/>
  <c r="AC143" i="1"/>
  <c r="AC141" i="1"/>
  <c r="AC142" i="1"/>
  <c r="AC140" i="1"/>
  <c r="AC139" i="1"/>
  <c r="AC137" i="1"/>
  <c r="AC138" i="1"/>
  <c r="AC136" i="1"/>
  <c r="AC135" i="1"/>
  <c r="AC133" i="1"/>
  <c r="AC134" i="1"/>
  <c r="AC132" i="1"/>
  <c r="AC130" i="1"/>
  <c r="AC131" i="1"/>
  <c r="AC129" i="1"/>
  <c r="AC128" i="1"/>
  <c r="AC127" i="1"/>
  <c r="AC126" i="1"/>
  <c r="AC125" i="1"/>
  <c r="AC124" i="1"/>
  <c r="AC123" i="1"/>
  <c r="AC120" i="1"/>
  <c r="AC121" i="1"/>
  <c r="AC122" i="1"/>
  <c r="AC119" i="1"/>
  <c r="AC116" i="1"/>
  <c r="AC117" i="1"/>
  <c r="AC118" i="1"/>
  <c r="AC114" i="1"/>
  <c r="AC115" i="1"/>
  <c r="AC113" i="1"/>
  <c r="AC110" i="1"/>
  <c r="AC111" i="1"/>
  <c r="AC112" i="1"/>
  <c r="AC109" i="1"/>
  <c r="AC107" i="1"/>
  <c r="AC108" i="1"/>
  <c r="AC106" i="1"/>
  <c r="AC105" i="1"/>
  <c r="AC104" i="1"/>
  <c r="AC103" i="1"/>
  <c r="AC102" i="1"/>
  <c r="AC101" i="1"/>
  <c r="AC99" i="1"/>
  <c r="AC100" i="1"/>
  <c r="AC98" i="1"/>
  <c r="AC97" i="1"/>
  <c r="AC96" i="1"/>
  <c r="AC94" i="1"/>
  <c r="AC95" i="1"/>
  <c r="AC91" i="1"/>
  <c r="AC92" i="1"/>
  <c r="AC93" i="1"/>
  <c r="AC89" i="1"/>
  <c r="AC90" i="1"/>
  <c r="AC88" i="1"/>
  <c r="AC86" i="1"/>
  <c r="AC87" i="1"/>
  <c r="AC84" i="1"/>
  <c r="AC85" i="1"/>
  <c r="AC81" i="1"/>
  <c r="AC82" i="1"/>
  <c r="AC83" i="1"/>
  <c r="AC80" i="1"/>
  <c r="AC78" i="1"/>
  <c r="AC79" i="1"/>
  <c r="AC77" i="1"/>
  <c r="AC74" i="1"/>
  <c r="AC75" i="1"/>
  <c r="AC76" i="1"/>
  <c r="AC73" i="1"/>
  <c r="AC72" i="1"/>
  <c r="AC71" i="1"/>
  <c r="AC70" i="1"/>
  <c r="AC68" i="1"/>
  <c r="AC69" i="1"/>
  <c r="AC63" i="1"/>
  <c r="AC64" i="1"/>
  <c r="AC65" i="1"/>
  <c r="AC66" i="1"/>
  <c r="AC67" i="1"/>
  <c r="AC62" i="1"/>
  <c r="AC60" i="1"/>
  <c r="AC61" i="1"/>
  <c r="AC58" i="1"/>
  <c r="AC59" i="1"/>
  <c r="AC55" i="1"/>
  <c r="AC56" i="1"/>
  <c r="AC57" i="1"/>
  <c r="AC54" i="1"/>
  <c r="AC53" i="1"/>
  <c r="AC51" i="1"/>
  <c r="AC52" i="1"/>
  <c r="AC50" i="1"/>
  <c r="AC49" i="1"/>
  <c r="AC47" i="1"/>
  <c r="AC48" i="1"/>
  <c r="AC46" i="1"/>
  <c r="AC45" i="1"/>
  <c r="AC44" i="1"/>
  <c r="AC43" i="1"/>
  <c r="AC42" i="1"/>
  <c r="AC40" i="1"/>
  <c r="AC41" i="1"/>
  <c r="AC39" i="1"/>
  <c r="AC38" i="1"/>
  <c r="AC37" i="1"/>
  <c r="AC36" i="1"/>
  <c r="AC35" i="1"/>
  <c r="AC34" i="1"/>
  <c r="AC30" i="1"/>
  <c r="AC31" i="1"/>
  <c r="AC32" i="1"/>
  <c r="AC33" i="1"/>
  <c r="AC29" i="1"/>
  <c r="AC28" i="1"/>
  <c r="AC25" i="1"/>
  <c r="AC26" i="1"/>
  <c r="AC27" i="1"/>
  <c r="AC24" i="1"/>
  <c r="AC23" i="1"/>
  <c r="AC22" i="1"/>
  <c r="AC21" i="1"/>
  <c r="AC20" i="1"/>
  <c r="AC19" i="1"/>
  <c r="AC18" i="1"/>
  <c r="AC17" i="1"/>
  <c r="AC16" i="1"/>
  <c r="AC14" i="1"/>
  <c r="AC15" i="1"/>
  <c r="AC13" i="1"/>
  <c r="AC12" i="1"/>
  <c r="AC10" i="1"/>
  <c r="AC11" i="1"/>
  <c r="AC9" i="1"/>
  <c r="AC8" i="1"/>
  <c r="AC7" i="1"/>
  <c r="AC6" i="1"/>
  <c r="AC5" i="1"/>
  <c r="AC4" i="1"/>
  <c r="AC3" i="1"/>
  <c r="AC2" i="1"/>
  <c r="AC632" i="1"/>
  <c r="V633" i="1"/>
  <c r="V630" i="1"/>
  <c r="V631" i="1"/>
  <c r="V629" i="1"/>
  <c r="AA629" i="1" s="1"/>
  <c r="V628" i="1"/>
  <c r="V626" i="1"/>
  <c r="AA626" i="1" s="1"/>
  <c r="V627" i="1"/>
  <c r="V624" i="1"/>
  <c r="V625" i="1"/>
  <c r="V623" i="1"/>
  <c r="V622" i="1"/>
  <c r="V620" i="1"/>
  <c r="V621" i="1"/>
  <c r="V618" i="1"/>
  <c r="AA618" i="1" s="1"/>
  <c r="V619" i="1"/>
  <c r="V617" i="1"/>
  <c r="V615" i="1"/>
  <c r="V616" i="1"/>
  <c r="V614" i="1"/>
  <c r="V613" i="1"/>
  <c r="V612" i="1"/>
  <c r="V611" i="1"/>
  <c r="AA611" i="1" s="1"/>
  <c r="V610" i="1"/>
  <c r="V608" i="1"/>
  <c r="V609" i="1"/>
  <c r="V607" i="1"/>
  <c r="V605" i="1"/>
  <c r="V606" i="1"/>
  <c r="V604" i="1"/>
  <c r="V603" i="1"/>
  <c r="AA603" i="1" s="1"/>
  <c r="V601" i="1"/>
  <c r="V602" i="1"/>
  <c r="V600" i="1"/>
  <c r="V599" i="1"/>
  <c r="V597" i="1"/>
  <c r="V598" i="1"/>
  <c r="V596" i="1"/>
  <c r="V595" i="1"/>
  <c r="AA595" i="1" s="1"/>
  <c r="V594" i="1"/>
  <c r="V593" i="1"/>
  <c r="V592" i="1"/>
  <c r="V591" i="1"/>
  <c r="V590" i="1"/>
  <c r="V588" i="1"/>
  <c r="V589" i="1"/>
  <c r="V587" i="1"/>
  <c r="AA587" i="1" s="1"/>
  <c r="V585" i="1"/>
  <c r="V586" i="1"/>
  <c r="V583" i="1"/>
  <c r="V584" i="1"/>
  <c r="V582" i="1"/>
  <c r="V581" i="1"/>
  <c r="V577" i="1"/>
  <c r="V578" i="1"/>
  <c r="V579" i="1"/>
  <c r="V580" i="1"/>
  <c r="V576" i="1"/>
  <c r="V575" i="1"/>
  <c r="V573" i="1"/>
  <c r="V574" i="1"/>
  <c r="V572" i="1"/>
  <c r="AA572" i="1" s="1"/>
  <c r="V570" i="1"/>
  <c r="AA570" i="1" s="1"/>
  <c r="V571" i="1"/>
  <c r="V569" i="1"/>
  <c r="V566" i="1"/>
  <c r="V567" i="1"/>
  <c r="V568" i="1"/>
  <c r="V565" i="1"/>
  <c r="V564" i="1"/>
  <c r="V561" i="1"/>
  <c r="AA561" i="1" s="1"/>
  <c r="V562" i="1"/>
  <c r="V563" i="1"/>
  <c r="AA563" i="1" s="1"/>
  <c r="V560" i="1"/>
  <c r="V559" i="1"/>
  <c r="V556" i="1"/>
  <c r="V557" i="1"/>
  <c r="V558" i="1"/>
  <c r="V555" i="1"/>
  <c r="AA555" i="1" s="1"/>
  <c r="V554" i="1"/>
  <c r="V552" i="1"/>
  <c r="V553" i="1"/>
  <c r="V550" i="1"/>
  <c r="V551" i="1"/>
  <c r="V549" i="1"/>
  <c r="V547" i="1"/>
  <c r="V548" i="1"/>
  <c r="AA548" i="1" s="1"/>
  <c r="V546" i="1"/>
  <c r="V545" i="1"/>
  <c r="V544" i="1"/>
  <c r="V543" i="1"/>
  <c r="V541" i="1"/>
  <c r="V542" i="1"/>
  <c r="Z542" i="1" s="1"/>
  <c r="V538" i="1"/>
  <c r="V539" i="1"/>
  <c r="AA539" i="1" s="1"/>
  <c r="V540" i="1"/>
  <c r="V537" i="1"/>
  <c r="V536" i="1"/>
  <c r="V534" i="1"/>
  <c r="V535" i="1"/>
  <c r="V532" i="1"/>
  <c r="V533" i="1"/>
  <c r="V530" i="1"/>
  <c r="AA530" i="1" s="1"/>
  <c r="V531" i="1"/>
  <c r="V529" i="1"/>
  <c r="V528" i="1"/>
  <c r="V527" i="1"/>
  <c r="V526" i="1"/>
  <c r="V525" i="1"/>
  <c r="V523" i="1"/>
  <c r="V524" i="1"/>
  <c r="AA524" i="1" s="1"/>
  <c r="V522" i="1"/>
  <c r="AA522" i="1" s="1"/>
  <c r="V521" i="1"/>
  <c r="AA521" i="1" s="1"/>
  <c r="V519" i="1"/>
  <c r="V520" i="1"/>
  <c r="V518" i="1"/>
  <c r="V517" i="1"/>
  <c r="V515" i="1"/>
  <c r="V516" i="1"/>
  <c r="AA516" i="1" s="1"/>
  <c r="V514" i="1"/>
  <c r="V512" i="1"/>
  <c r="V513" i="1"/>
  <c r="V510" i="1"/>
  <c r="V511" i="1"/>
  <c r="V509" i="1"/>
  <c r="AA509" i="1" s="1"/>
  <c r="V508" i="1"/>
  <c r="V507" i="1"/>
  <c r="AA507" i="1" s="1"/>
  <c r="V505" i="1"/>
  <c r="V506" i="1"/>
  <c r="V503" i="1"/>
  <c r="V504" i="1"/>
  <c r="V501" i="1"/>
  <c r="V502" i="1"/>
  <c r="V500" i="1"/>
  <c r="V499" i="1"/>
  <c r="AA499" i="1" s="1"/>
  <c r="V498" i="1"/>
  <c r="V497" i="1"/>
  <c r="V496" i="1"/>
  <c r="V495" i="1"/>
  <c r="V494" i="1"/>
  <c r="V493" i="1"/>
  <c r="V492" i="1"/>
  <c r="V489" i="1"/>
  <c r="AA489" i="1" s="1"/>
  <c r="V490" i="1"/>
  <c r="V491" i="1"/>
  <c r="V488" i="1"/>
  <c r="V487" i="1"/>
  <c r="V486" i="1"/>
  <c r="V485" i="1"/>
  <c r="V483" i="1"/>
  <c r="V484" i="1"/>
  <c r="AA484" i="1" s="1"/>
  <c r="V482" i="1"/>
  <c r="V481" i="1"/>
  <c r="V480" i="1"/>
  <c r="V479" i="1"/>
  <c r="V477" i="1"/>
  <c r="V478" i="1"/>
  <c r="V475" i="1"/>
  <c r="V476" i="1"/>
  <c r="AA476" i="1" s="1"/>
  <c r="V474" i="1"/>
  <c r="AA474" i="1" s="1"/>
  <c r="V473" i="1"/>
  <c r="V472" i="1"/>
  <c r="V471" i="1"/>
  <c r="V470" i="1"/>
  <c r="V469" i="1"/>
  <c r="V468" i="1"/>
  <c r="V467" i="1"/>
  <c r="AA467" i="1" s="1"/>
  <c r="V466" i="1"/>
  <c r="V465" i="1"/>
  <c r="V464" i="1"/>
  <c r="V460" i="1"/>
  <c r="V461" i="1"/>
  <c r="V462" i="1"/>
  <c r="V463" i="1"/>
  <c r="V459" i="1"/>
  <c r="AA459" i="1" s="1"/>
  <c r="V458" i="1"/>
  <c r="AA458" i="1" s="1"/>
  <c r="V457" i="1"/>
  <c r="AA457" i="1" s="1"/>
  <c r="V456" i="1"/>
  <c r="V454" i="1"/>
  <c r="V455" i="1"/>
  <c r="V453" i="1"/>
  <c r="V452" i="1"/>
  <c r="V451" i="1"/>
  <c r="AA451" i="1" s="1"/>
  <c r="V449" i="1"/>
  <c r="V450" i="1"/>
  <c r="V448" i="1"/>
  <c r="V447" i="1"/>
  <c r="V446" i="1"/>
  <c r="V445" i="1"/>
  <c r="V442" i="1"/>
  <c r="V443" i="1"/>
  <c r="AA443" i="1" s="1"/>
  <c r="V444" i="1"/>
  <c r="V441" i="1"/>
  <c r="V440" i="1"/>
  <c r="V439" i="1"/>
  <c r="V438" i="1"/>
  <c r="V437" i="1"/>
  <c r="V436" i="1"/>
  <c r="V435" i="1"/>
  <c r="AA435" i="1" s="1"/>
  <c r="V434" i="1"/>
  <c r="V433" i="1"/>
  <c r="V432" i="1"/>
  <c r="V431" i="1"/>
  <c r="V430" i="1"/>
  <c r="V428" i="1"/>
  <c r="V429" i="1"/>
  <c r="V426" i="1"/>
  <c r="AA426" i="1" s="1"/>
  <c r="V427" i="1"/>
  <c r="V425" i="1"/>
  <c r="V424" i="1"/>
  <c r="V423" i="1"/>
  <c r="V422" i="1"/>
  <c r="V420" i="1"/>
  <c r="V421" i="1"/>
  <c r="V419" i="1"/>
  <c r="AA419" i="1" s="1"/>
  <c r="V417" i="1"/>
  <c r="Z417" i="1" s="1"/>
  <c r="V418" i="1"/>
  <c r="V416" i="1"/>
  <c r="V415" i="1"/>
  <c r="V414" i="1"/>
  <c r="V413" i="1"/>
  <c r="V412" i="1"/>
  <c r="V411" i="1"/>
  <c r="AA411" i="1" s="1"/>
  <c r="V410" i="1"/>
  <c r="V409" i="1"/>
  <c r="V408" i="1"/>
  <c r="V407" i="1"/>
  <c r="V406" i="1"/>
  <c r="V405" i="1"/>
  <c r="AA405" i="1" s="1"/>
  <c r="V404" i="1"/>
  <c r="V403" i="1"/>
  <c r="AA403" i="1" s="1"/>
  <c r="V402" i="1"/>
  <c r="V401" i="1"/>
  <c r="V400" i="1"/>
  <c r="V399" i="1"/>
  <c r="V398" i="1"/>
  <c r="V397" i="1"/>
  <c r="V394" i="1"/>
  <c r="V395" i="1"/>
  <c r="AA395" i="1" s="1"/>
  <c r="V396" i="1"/>
  <c r="V392" i="1"/>
  <c r="AA392" i="1" s="1"/>
  <c r="V393" i="1"/>
  <c r="V390" i="1"/>
  <c r="V391" i="1"/>
  <c r="V389" i="1"/>
  <c r="AA389" i="1" s="1"/>
  <c r="V387" i="1"/>
  <c r="V388" i="1"/>
  <c r="AA388" i="1" s="1"/>
  <c r="V386" i="1"/>
  <c r="V385" i="1"/>
  <c r="V384" i="1"/>
  <c r="V383" i="1"/>
  <c r="V381" i="1"/>
  <c r="V382" i="1"/>
  <c r="V380" i="1"/>
  <c r="V379" i="1"/>
  <c r="AA379" i="1" s="1"/>
  <c r="V377" i="1"/>
  <c r="V378" i="1"/>
  <c r="V376" i="1"/>
  <c r="V375" i="1"/>
  <c r="V374" i="1"/>
  <c r="V373" i="1"/>
  <c r="Z373" i="1" s="1"/>
  <c r="V371" i="1"/>
  <c r="V372" i="1"/>
  <c r="AA372" i="1" s="1"/>
  <c r="V370" i="1"/>
  <c r="V369" i="1"/>
  <c r="AA369" i="1" s="1"/>
  <c r="V368" i="1"/>
  <c r="V367" i="1"/>
  <c r="V366" i="1"/>
  <c r="V365" i="1"/>
  <c r="V364" i="1"/>
  <c r="V363" i="1"/>
  <c r="AA363" i="1" s="1"/>
  <c r="V361" i="1"/>
  <c r="V362" i="1"/>
  <c r="V360" i="1"/>
  <c r="V359" i="1"/>
  <c r="V358" i="1"/>
  <c r="V357" i="1"/>
  <c r="AA357" i="1" s="1"/>
  <c r="V355" i="1"/>
  <c r="V356" i="1"/>
  <c r="AA356" i="1" s="1"/>
  <c r="V354" i="1"/>
  <c r="AA354" i="1" s="1"/>
  <c r="V352" i="1"/>
  <c r="V353" i="1"/>
  <c r="V349" i="1"/>
  <c r="V350" i="1"/>
  <c r="V351" i="1"/>
  <c r="V348" i="1"/>
  <c r="V347" i="1"/>
  <c r="AA347" i="1" s="1"/>
  <c r="V345" i="1"/>
  <c r="V346" i="1"/>
  <c r="V344" i="1"/>
  <c r="V342" i="1"/>
  <c r="V343" i="1"/>
  <c r="V341" i="1"/>
  <c r="V340" i="1"/>
  <c r="V339" i="1"/>
  <c r="AA339" i="1" s="1"/>
  <c r="V338" i="1"/>
  <c r="V337" i="1"/>
  <c r="V335" i="1"/>
  <c r="V336" i="1"/>
  <c r="V334" i="1"/>
  <c r="V333" i="1"/>
  <c r="V332" i="1"/>
  <c r="V331" i="1"/>
  <c r="AA331" i="1" s="1"/>
  <c r="V329" i="1"/>
  <c r="V330" i="1"/>
  <c r="AA330" i="1" s="1"/>
  <c r="V328" i="1"/>
  <c r="V326" i="1"/>
  <c r="V327" i="1"/>
  <c r="V325" i="1"/>
  <c r="V322" i="1"/>
  <c r="V323" i="1"/>
  <c r="AA323" i="1" s="1"/>
  <c r="V324" i="1"/>
  <c r="V321" i="1"/>
  <c r="AA321" i="1" s="1"/>
  <c r="V320" i="1"/>
  <c r="V319" i="1"/>
  <c r="V318" i="1"/>
  <c r="V315" i="1"/>
  <c r="V316" i="1"/>
  <c r="V317" i="1"/>
  <c r="AA317" i="1" s="1"/>
  <c r="V314" i="1"/>
  <c r="V313" i="1"/>
  <c r="V312" i="1"/>
  <c r="V311" i="1"/>
  <c r="V310" i="1"/>
  <c r="V309" i="1"/>
  <c r="V308" i="1"/>
  <c r="V306" i="1"/>
  <c r="AA306" i="1" s="1"/>
  <c r="V307" i="1"/>
  <c r="V305" i="1"/>
  <c r="V304" i="1"/>
  <c r="V303" i="1"/>
  <c r="V302" i="1"/>
  <c r="V301" i="1"/>
  <c r="V300" i="1"/>
  <c r="V299" i="1"/>
  <c r="AA299" i="1" s="1"/>
  <c r="V298" i="1"/>
  <c r="V297" i="1"/>
  <c r="V296" i="1"/>
  <c r="V295" i="1"/>
  <c r="V294" i="1"/>
  <c r="V292" i="1"/>
  <c r="V293" i="1"/>
  <c r="V291" i="1"/>
  <c r="AA291" i="1" s="1"/>
  <c r="V290" i="1"/>
  <c r="V289" i="1"/>
  <c r="V288" i="1"/>
  <c r="V287" i="1"/>
  <c r="V286" i="1"/>
  <c r="V285" i="1"/>
  <c r="AA285" i="1" s="1"/>
  <c r="V284" i="1"/>
  <c r="V283" i="1"/>
  <c r="AA283" i="1" s="1"/>
  <c r="V281" i="1"/>
  <c r="V282" i="1"/>
  <c r="V280" i="1"/>
  <c r="V277" i="1"/>
  <c r="V278" i="1"/>
  <c r="V279" i="1"/>
  <c r="V275" i="1"/>
  <c r="V276" i="1"/>
  <c r="AA276" i="1" s="1"/>
  <c r="V274" i="1"/>
  <c r="V273" i="1"/>
  <c r="V272" i="1"/>
  <c r="V270" i="1"/>
  <c r="V271" i="1"/>
  <c r="V269" i="1"/>
  <c r="V268" i="1"/>
  <c r="V267" i="1"/>
  <c r="AA267" i="1" s="1"/>
  <c r="V266" i="1"/>
  <c r="V265" i="1"/>
  <c r="V264" i="1"/>
  <c r="V261" i="1"/>
  <c r="V262" i="1"/>
  <c r="V263" i="1"/>
  <c r="V260" i="1"/>
  <c r="V259" i="1"/>
  <c r="AA259" i="1" s="1"/>
  <c r="V258" i="1"/>
  <c r="V257" i="1"/>
  <c r="AA257" i="1" s="1"/>
  <c r="V256" i="1"/>
  <c r="V255" i="1"/>
  <c r="V253" i="1"/>
  <c r="V254" i="1"/>
  <c r="Z254" i="1" s="1"/>
  <c r="V251" i="1"/>
  <c r="V252" i="1"/>
  <c r="AA252" i="1" s="1"/>
  <c r="V248" i="1"/>
  <c r="V249" i="1"/>
  <c r="V250" i="1"/>
  <c r="V246" i="1"/>
  <c r="V247" i="1"/>
  <c r="V245" i="1"/>
  <c r="V244" i="1"/>
  <c r="V243" i="1"/>
  <c r="AA243" i="1" s="1"/>
  <c r="V242" i="1"/>
  <c r="AA242" i="1" s="1"/>
  <c r="V241" i="1"/>
  <c r="AA241" i="1" s="1"/>
  <c r="V238" i="1"/>
  <c r="V239" i="1"/>
  <c r="V240" i="1"/>
  <c r="V236" i="1"/>
  <c r="V237" i="1"/>
  <c r="V234" i="1"/>
  <c r="AA234" i="1" s="1"/>
  <c r="V235" i="1"/>
  <c r="V233" i="1"/>
  <c r="V232" i="1"/>
  <c r="V229" i="1"/>
  <c r="V230" i="1"/>
  <c r="V231" i="1"/>
  <c r="V228" i="1"/>
  <c r="V227" i="1"/>
  <c r="AA227" i="1" s="1"/>
  <c r="V226" i="1"/>
  <c r="V225" i="1"/>
  <c r="V224" i="1"/>
  <c r="V222" i="1"/>
  <c r="V223" i="1"/>
  <c r="V220" i="1"/>
  <c r="V221" i="1"/>
  <c r="V219" i="1"/>
  <c r="AA219" i="1" s="1"/>
  <c r="V218" i="1"/>
  <c r="AA218" i="1" s="1"/>
  <c r="V216" i="1"/>
  <c r="V217" i="1"/>
  <c r="V215" i="1"/>
  <c r="V214" i="1"/>
  <c r="V212" i="1"/>
  <c r="V213" i="1"/>
  <c r="V211" i="1"/>
  <c r="AA211" i="1" s="1"/>
  <c r="V210" i="1"/>
  <c r="V209" i="1"/>
  <c r="V208" i="1"/>
  <c r="V207" i="1"/>
  <c r="V205" i="1"/>
  <c r="V206" i="1"/>
  <c r="V204" i="1"/>
  <c r="V203" i="1"/>
  <c r="AA203" i="1" s="1"/>
  <c r="V200" i="1"/>
  <c r="V201" i="1"/>
  <c r="V202" i="1"/>
  <c r="V199" i="1"/>
  <c r="V198" i="1"/>
  <c r="V197" i="1"/>
  <c r="V196" i="1"/>
  <c r="V195" i="1"/>
  <c r="AA195" i="1" s="1"/>
  <c r="V194" i="1"/>
  <c r="V192" i="1"/>
  <c r="V193" i="1"/>
  <c r="V191" i="1"/>
  <c r="V189" i="1"/>
  <c r="V190" i="1"/>
  <c r="V188" i="1"/>
  <c r="V187" i="1"/>
  <c r="AA187" i="1" s="1"/>
  <c r="V186" i="1"/>
  <c r="V185" i="1"/>
  <c r="AA185" i="1" s="1"/>
  <c r="V183" i="1"/>
  <c r="V184" i="1"/>
  <c r="V182" i="1"/>
  <c r="V180" i="1"/>
  <c r="V181" i="1"/>
  <c r="V179" i="1"/>
  <c r="AA179" i="1" s="1"/>
  <c r="V177" i="1"/>
  <c r="V178" i="1"/>
  <c r="V175" i="1"/>
  <c r="V176" i="1"/>
  <c r="V174" i="1"/>
  <c r="V173" i="1"/>
  <c r="V172" i="1"/>
  <c r="V171" i="1"/>
  <c r="AA171" i="1" s="1"/>
  <c r="V170" i="1"/>
  <c r="V169" i="1"/>
  <c r="V167" i="1"/>
  <c r="V168" i="1"/>
  <c r="V165" i="1"/>
  <c r="V166" i="1"/>
  <c r="V163" i="1"/>
  <c r="V164" i="1"/>
  <c r="AA164" i="1" s="1"/>
  <c r="V162" i="1"/>
  <c r="V161" i="1"/>
  <c r="V160" i="1"/>
  <c r="V159" i="1"/>
  <c r="V158" i="1"/>
  <c r="V157" i="1"/>
  <c r="V154" i="1"/>
  <c r="V155" i="1"/>
  <c r="AA155" i="1" s="1"/>
  <c r="V156" i="1"/>
  <c r="Z156" i="1" s="1"/>
  <c r="V153" i="1"/>
  <c r="V151" i="1"/>
  <c r="V152" i="1"/>
  <c r="V150" i="1"/>
  <c r="V149" i="1"/>
  <c r="Z149" i="1" s="1"/>
  <c r="V148" i="1"/>
  <c r="V147" i="1"/>
  <c r="AA147" i="1" s="1"/>
  <c r="V144" i="1"/>
  <c r="V145" i="1"/>
  <c r="V146" i="1"/>
  <c r="V143" i="1"/>
  <c r="V141" i="1"/>
  <c r="V142" i="1"/>
  <c r="V140" i="1"/>
  <c r="V139" i="1"/>
  <c r="AA139" i="1" s="1"/>
  <c r="V137" i="1"/>
  <c r="V138" i="1"/>
  <c r="V136" i="1"/>
  <c r="V135" i="1"/>
  <c r="V133" i="1"/>
  <c r="V134" i="1"/>
  <c r="AA134" i="1" s="1"/>
  <c r="V132" i="1"/>
  <c r="V130" i="1"/>
  <c r="AA130" i="1" s="1"/>
  <c r="V131" i="1"/>
  <c r="V129" i="1"/>
  <c r="V128" i="1"/>
  <c r="V127" i="1"/>
  <c r="V126" i="1"/>
  <c r="V125" i="1"/>
  <c r="V124" i="1"/>
  <c r="V123" i="1"/>
  <c r="AA123" i="1" s="1"/>
  <c r="V120" i="1"/>
  <c r="V121" i="1"/>
  <c r="V122" i="1"/>
  <c r="V119" i="1"/>
  <c r="V116" i="1"/>
  <c r="V117" i="1"/>
  <c r="AA117" i="1" s="1"/>
  <c r="V118" i="1"/>
  <c r="V114" i="1"/>
  <c r="V115" i="1"/>
  <c r="AA115" i="1" s="1"/>
  <c r="V113" i="1"/>
  <c r="Z113" i="1" s="1"/>
  <c r="V110" i="1"/>
  <c r="V111" i="1"/>
  <c r="V112" i="1"/>
  <c r="V109" i="1"/>
  <c r="V107" i="1"/>
  <c r="V108" i="1"/>
  <c r="AA108" i="1" s="1"/>
  <c r="V106" i="1"/>
  <c r="V105" i="1"/>
  <c r="V104" i="1"/>
  <c r="V103" i="1"/>
  <c r="V102" i="1"/>
  <c r="V101" i="1"/>
  <c r="Z101" i="1" s="1"/>
  <c r="V99" i="1"/>
  <c r="V100" i="1"/>
  <c r="AA100" i="1" s="1"/>
  <c r="V98" i="1"/>
  <c r="AA98" i="1" s="1"/>
  <c r="V97" i="1"/>
  <c r="V96" i="1"/>
  <c r="V94" i="1"/>
  <c r="V95" i="1"/>
  <c r="V91" i="1"/>
  <c r="V92" i="1"/>
  <c r="V93" i="1"/>
  <c r="AA93" i="1" s="1"/>
  <c r="V89" i="1"/>
  <c r="V90" i="1"/>
  <c r="V88" i="1"/>
  <c r="V86" i="1"/>
  <c r="V87" i="1"/>
  <c r="V84" i="1"/>
  <c r="V85" i="1"/>
  <c r="V81" i="1"/>
  <c r="AA81" i="1" s="1"/>
  <c r="V82" i="1"/>
  <c r="AA82" i="1" s="1"/>
  <c r="V83" i="1"/>
  <c r="V80" i="1"/>
  <c r="V78" i="1"/>
  <c r="V79" i="1"/>
  <c r="V77" i="1"/>
  <c r="V74" i="1"/>
  <c r="V75" i="1"/>
  <c r="AA75" i="1" s="1"/>
  <c r="V76" i="1"/>
  <c r="V73" i="1"/>
  <c r="V72" i="1"/>
  <c r="V71" i="1"/>
  <c r="V70" i="1"/>
  <c r="V68" i="1"/>
  <c r="V69" i="1"/>
  <c r="V63" i="1"/>
  <c r="AA63" i="1" s="1"/>
  <c r="V64" i="1"/>
  <c r="V65" i="1"/>
  <c r="V66" i="1"/>
  <c r="V67" i="1"/>
  <c r="Z67" i="1" s="1"/>
  <c r="V62" i="1"/>
  <c r="V60" i="1"/>
  <c r="V61" i="1"/>
  <c r="V58" i="1"/>
  <c r="AA58" i="1" s="1"/>
  <c r="V59" i="1"/>
  <c r="V55" i="1"/>
  <c r="V56" i="1"/>
  <c r="V57" i="1"/>
  <c r="V54" i="1"/>
  <c r="V53" i="1"/>
  <c r="V51" i="1"/>
  <c r="V52" i="1"/>
  <c r="V50" i="1"/>
  <c r="V49" i="1"/>
  <c r="AA49" i="1" s="1"/>
  <c r="V47" i="1"/>
  <c r="V48" i="1"/>
  <c r="V46" i="1"/>
  <c r="V45" i="1"/>
  <c r="V44" i="1"/>
  <c r="V43" i="1"/>
  <c r="AA43" i="1" s="1"/>
  <c r="V42" i="1"/>
  <c r="V40" i="1"/>
  <c r="V41" i="1"/>
  <c r="V39" i="1"/>
  <c r="V38" i="1"/>
  <c r="V37" i="1"/>
  <c r="V36" i="1"/>
  <c r="V35" i="1"/>
  <c r="V34" i="1"/>
  <c r="V30" i="1"/>
  <c r="AA30" i="1" s="1"/>
  <c r="V31" i="1"/>
  <c r="V32" i="1"/>
  <c r="V33" i="1"/>
  <c r="V29" i="1"/>
  <c r="Z29" i="1" s="1"/>
  <c r="V28" i="1"/>
  <c r="V25" i="1"/>
  <c r="AA25" i="1" s="1"/>
  <c r="V26" i="1"/>
  <c r="V27" i="1"/>
  <c r="V24" i="1"/>
  <c r="V23" i="1"/>
  <c r="V22" i="1"/>
  <c r="V21" i="1"/>
  <c r="V20" i="1"/>
  <c r="V19" i="1"/>
  <c r="AA19" i="1" s="1"/>
  <c r="V18" i="1"/>
  <c r="V17" i="1"/>
  <c r="V16" i="1"/>
  <c r="V14" i="1"/>
  <c r="V15" i="1"/>
  <c r="Z15" i="1" s="1"/>
  <c r="V13" i="1"/>
  <c r="V12" i="1"/>
  <c r="V10" i="1"/>
  <c r="AA10" i="1" s="1"/>
  <c r="V11" i="1"/>
  <c r="V9" i="1"/>
  <c r="AA9" i="1" s="1"/>
  <c r="V8" i="1"/>
  <c r="V7" i="1"/>
  <c r="V6" i="1"/>
  <c r="V5" i="1"/>
  <c r="V4" i="1"/>
  <c r="V3" i="1"/>
  <c r="V2" i="1"/>
  <c r="V632" i="1"/>
  <c r="U3" i="1" l="1"/>
  <c r="U5" i="1"/>
  <c r="U140" i="1"/>
  <c r="U149" i="1"/>
  <c r="U212" i="1"/>
  <c r="U281" i="1"/>
  <c r="U290" i="1"/>
  <c r="U365" i="1"/>
  <c r="U557" i="1"/>
  <c r="U570" i="1"/>
  <c r="U316" i="1"/>
  <c r="U521" i="1"/>
  <c r="U33" i="1"/>
  <c r="U123" i="1"/>
  <c r="U508" i="1"/>
  <c r="U507" i="1"/>
  <c r="U67" i="1"/>
  <c r="AA3" i="1"/>
  <c r="U16" i="1"/>
  <c r="U8" i="1"/>
  <c r="U51" i="1"/>
  <c r="U178" i="1"/>
  <c r="U580" i="1"/>
  <c r="U569" i="1"/>
  <c r="AA569" i="1"/>
  <c r="AA593" i="1"/>
  <c r="U593" i="1"/>
  <c r="Z586" i="1"/>
  <c r="AA586" i="1"/>
  <c r="U586" i="1"/>
  <c r="U24" i="1"/>
  <c r="U56" i="1"/>
  <c r="U66" i="1"/>
  <c r="Z80" i="1"/>
  <c r="U80" i="1"/>
  <c r="U88" i="1"/>
  <c r="U110" i="1"/>
  <c r="U122" i="1"/>
  <c r="U146" i="1"/>
  <c r="U167" i="1"/>
  <c r="U202" i="1"/>
  <c r="U208" i="1"/>
  <c r="U224" i="1"/>
  <c r="U232" i="1"/>
  <c r="U256" i="1"/>
  <c r="U264" i="1"/>
  <c r="U280" i="1"/>
  <c r="U312" i="1"/>
  <c r="U320" i="1"/>
  <c r="AA335" i="1"/>
  <c r="U335" i="1"/>
  <c r="U344" i="1"/>
  <c r="U368" i="1"/>
  <c r="U376" i="1"/>
  <c r="U400" i="1"/>
  <c r="U424" i="1"/>
  <c r="U432" i="1"/>
  <c r="AA440" i="1"/>
  <c r="U440" i="1"/>
  <c r="U464" i="1"/>
  <c r="U472" i="1"/>
  <c r="U488" i="1"/>
  <c r="U496" i="1"/>
  <c r="U513" i="1"/>
  <c r="U536" i="1"/>
  <c r="U553" i="1"/>
  <c r="Z560" i="1"/>
  <c r="U560" i="1"/>
  <c r="U576" i="1"/>
  <c r="U592" i="1"/>
  <c r="U625" i="1"/>
  <c r="U404" i="1"/>
  <c r="Z9" i="1"/>
  <c r="U9" i="1"/>
  <c r="Z27" i="1"/>
  <c r="U27" i="1"/>
  <c r="AA27" i="1"/>
  <c r="Z40" i="1"/>
  <c r="AA40" i="1"/>
  <c r="U40" i="1"/>
  <c r="Z55" i="1"/>
  <c r="U55" i="1"/>
  <c r="Z73" i="1"/>
  <c r="U73" i="1"/>
  <c r="AA73" i="1"/>
  <c r="Z90" i="1"/>
  <c r="AA90" i="1"/>
  <c r="U90" i="1"/>
  <c r="AA129" i="1"/>
  <c r="U129" i="1"/>
  <c r="Z145" i="1"/>
  <c r="U145" i="1"/>
  <c r="AA145" i="1"/>
  <c r="AA161" i="1"/>
  <c r="U161" i="1"/>
  <c r="Z178" i="1"/>
  <c r="AA178" i="1"/>
  <c r="AA192" i="1"/>
  <c r="U192" i="1"/>
  <c r="Z209" i="1"/>
  <c r="U209" i="1"/>
  <c r="AA209" i="1"/>
  <c r="AA225" i="1"/>
  <c r="U225" i="1"/>
  <c r="Z233" i="1"/>
  <c r="AA233" i="1"/>
  <c r="U233" i="1"/>
  <c r="U249" i="1"/>
  <c r="Z265" i="1"/>
  <c r="U265" i="1"/>
  <c r="AA265" i="1"/>
  <c r="U282" i="1"/>
  <c r="AA282" i="1"/>
  <c r="Z297" i="1"/>
  <c r="AA297" i="1"/>
  <c r="U297" i="1"/>
  <c r="U337" i="1"/>
  <c r="AA337" i="1"/>
  <c r="AA352" i="1"/>
  <c r="U352" i="1"/>
  <c r="AA362" i="1"/>
  <c r="U362" i="1"/>
  <c r="U378" i="1"/>
  <c r="U385" i="1"/>
  <c r="AA385" i="1"/>
  <c r="Z433" i="1"/>
  <c r="U433" i="1"/>
  <c r="U602" i="1"/>
  <c r="Z608" i="1"/>
  <c r="U608" i="1"/>
  <c r="AA608" i="1"/>
  <c r="U624" i="1"/>
  <c r="AA624" i="1"/>
  <c r="U115" i="1"/>
  <c r="AA11" i="1"/>
  <c r="U11" i="1"/>
  <c r="U15" i="1"/>
  <c r="U50" i="1"/>
  <c r="Z64" i="1"/>
  <c r="U64" i="1"/>
  <c r="AA64" i="1"/>
  <c r="U63" i="1"/>
  <c r="U68" i="1"/>
  <c r="AA76" i="1"/>
  <c r="U76" i="1"/>
  <c r="Z89" i="1"/>
  <c r="U89" i="1"/>
  <c r="AA89" i="1"/>
  <c r="Z131" i="1"/>
  <c r="U131" i="1"/>
  <c r="AA131" i="1"/>
  <c r="U170" i="1"/>
  <c r="U171" i="1"/>
  <c r="AA170" i="1"/>
  <c r="Z186" i="1"/>
  <c r="AA186" i="1"/>
  <c r="U186" i="1"/>
  <c r="AA200" i="1"/>
  <c r="U200" i="1"/>
  <c r="AA226" i="1"/>
  <c r="U227" i="1"/>
  <c r="U235" i="1"/>
  <c r="U234" i="1"/>
  <c r="AA235" i="1"/>
  <c r="Z248" i="1"/>
  <c r="AA248" i="1"/>
  <c r="U248" i="1"/>
  <c r="U258" i="1"/>
  <c r="AA258" i="1"/>
  <c r="AA266" i="1"/>
  <c r="U266" i="1"/>
  <c r="AA274" i="1"/>
  <c r="U276" i="1"/>
  <c r="U274" i="1"/>
  <c r="U298" i="1"/>
  <c r="U299" i="1"/>
  <c r="AA298" i="1"/>
  <c r="AA314" i="1"/>
  <c r="U314" i="1"/>
  <c r="AA329" i="1"/>
  <c r="U329" i="1"/>
  <c r="AA338" i="1"/>
  <c r="U339" i="1"/>
  <c r="U338" i="1"/>
  <c r="U372" i="1"/>
  <c r="U370" i="1"/>
  <c r="AA377" i="1"/>
  <c r="U377" i="1"/>
  <c r="U379" i="1"/>
  <c r="AA396" i="1"/>
  <c r="U396" i="1"/>
  <c r="AA402" i="1"/>
  <c r="U403" i="1"/>
  <c r="U402" i="1"/>
  <c r="U410" i="1"/>
  <c r="AA410" i="1"/>
  <c r="U427" i="1"/>
  <c r="U426" i="1"/>
  <c r="AA427" i="1"/>
  <c r="U428" i="1"/>
  <c r="AA444" i="1"/>
  <c r="U444" i="1"/>
  <c r="U443" i="1"/>
  <c r="AA466" i="1"/>
  <c r="U467" i="1"/>
  <c r="U466" i="1"/>
  <c r="U484" i="1"/>
  <c r="U482" i="1"/>
  <c r="U490" i="1"/>
  <c r="U489" i="1"/>
  <c r="AA490" i="1"/>
  <c r="AA505" i="1"/>
  <c r="U505" i="1"/>
  <c r="U514" i="1"/>
  <c r="AA514" i="1"/>
  <c r="AA531" i="1"/>
  <c r="U530" i="1"/>
  <c r="U531" i="1"/>
  <c r="U533" i="1"/>
  <c r="AA546" i="1"/>
  <c r="U548" i="1"/>
  <c r="U546" i="1"/>
  <c r="U561" i="1"/>
  <c r="U562" i="1"/>
  <c r="AA562" i="1"/>
  <c r="Z579" i="1"/>
  <c r="U579" i="1"/>
  <c r="AA579" i="1"/>
  <c r="U595" i="1"/>
  <c r="U594" i="1"/>
  <c r="U611" i="1"/>
  <c r="AA610" i="1"/>
  <c r="U610" i="1"/>
  <c r="AA627" i="1"/>
  <c r="U626" i="1"/>
  <c r="U627" i="1"/>
  <c r="AA281" i="1"/>
  <c r="U10" i="1"/>
  <c r="U118" i="1"/>
  <c r="U251" i="1"/>
  <c r="U43" i="1"/>
  <c r="U81" i="1"/>
  <c r="U114" i="1"/>
  <c r="U139" i="1"/>
  <c r="U195" i="1"/>
  <c r="U203" i="1"/>
  <c r="U219" i="1"/>
  <c r="U259" i="1"/>
  <c r="U267" i="1"/>
  <c r="U283" i="1"/>
  <c r="U323" i="1"/>
  <c r="U331" i="1"/>
  <c r="U347" i="1"/>
  <c r="U388" i="1"/>
  <c r="U12" i="1"/>
  <c r="U188" i="1"/>
  <c r="U257" i="1"/>
  <c r="U330" i="1"/>
  <c r="U419" i="1"/>
  <c r="U522" i="1"/>
  <c r="U21" i="1"/>
  <c r="U101" i="1"/>
  <c r="U166" i="1"/>
  <c r="U204" i="1"/>
  <c r="U236" i="1"/>
  <c r="U268" i="1"/>
  <c r="U275" i="1"/>
  <c r="U332" i="1"/>
  <c r="U341" i="1"/>
  <c r="U380" i="1"/>
  <c r="U442" i="1"/>
  <c r="U532" i="1"/>
  <c r="AA290" i="1"/>
  <c r="AA417" i="1"/>
  <c r="AA580" i="1"/>
  <c r="U29" i="1"/>
  <c r="U82" i="1"/>
  <c r="U213" i="1"/>
  <c r="U279" i="1"/>
  <c r="U354" i="1"/>
  <c r="U457" i="1"/>
  <c r="AA370" i="1"/>
  <c r="AA482" i="1"/>
  <c r="U85" i="1"/>
  <c r="U148" i="1"/>
  <c r="U356" i="1"/>
  <c r="U458" i="1"/>
  <c r="U563" i="1"/>
  <c r="AA50" i="1"/>
  <c r="AA113" i="1"/>
  <c r="AA249" i="1"/>
  <c r="AA378" i="1"/>
  <c r="AA433" i="1"/>
  <c r="AA594" i="1"/>
  <c r="U30" i="1"/>
  <c r="U93" i="1"/>
  <c r="U218" i="1"/>
  <c r="U468" i="1"/>
  <c r="U31" i="1"/>
  <c r="U41" i="1"/>
  <c r="Z47" i="1"/>
  <c r="U47" i="1"/>
  <c r="U72" i="1"/>
  <c r="U96" i="1"/>
  <c r="U104" i="1"/>
  <c r="U128" i="1"/>
  <c r="U136" i="1"/>
  <c r="Z151" i="1"/>
  <c r="U151" i="1"/>
  <c r="U160" i="1"/>
  <c r="U175" i="1"/>
  <c r="AA183" i="1"/>
  <c r="U183" i="1"/>
  <c r="U193" i="1"/>
  <c r="U217" i="1"/>
  <c r="U238" i="1"/>
  <c r="U250" i="1"/>
  <c r="U272" i="1"/>
  <c r="U288" i="1"/>
  <c r="U296" i="1"/>
  <c r="Z304" i="1"/>
  <c r="U304" i="1"/>
  <c r="U328" i="1"/>
  <c r="U353" i="1"/>
  <c r="U360" i="1"/>
  <c r="U384" i="1"/>
  <c r="U393" i="1"/>
  <c r="Z408" i="1"/>
  <c r="U408" i="1"/>
  <c r="U416" i="1"/>
  <c r="U448" i="1"/>
  <c r="U456" i="1"/>
  <c r="U480" i="1"/>
  <c r="U503" i="1"/>
  <c r="U519" i="1"/>
  <c r="U528" i="1"/>
  <c r="U544" i="1"/>
  <c r="U566" i="1"/>
  <c r="U583" i="1"/>
  <c r="U600" i="1"/>
  <c r="AA609" i="1"/>
  <c r="U609" i="1"/>
  <c r="U615" i="1"/>
  <c r="AA633" i="1"/>
  <c r="U633" i="1"/>
  <c r="U113" i="1"/>
  <c r="U243" i="1"/>
  <c r="U317" i="1"/>
  <c r="U632" i="1"/>
  <c r="AA632" i="1"/>
  <c r="Z17" i="1"/>
  <c r="U17" i="1"/>
  <c r="AA17" i="1"/>
  <c r="Z49" i="1"/>
  <c r="U49" i="1"/>
  <c r="U65" i="1"/>
  <c r="AA65" i="1"/>
  <c r="AA83" i="1"/>
  <c r="U83" i="1"/>
  <c r="U97" i="1"/>
  <c r="AA97" i="1"/>
  <c r="Z105" i="1"/>
  <c r="AA105" i="1"/>
  <c r="U105" i="1"/>
  <c r="Z121" i="1"/>
  <c r="U121" i="1"/>
  <c r="AA121" i="1"/>
  <c r="Z138" i="1"/>
  <c r="AA138" i="1"/>
  <c r="U138" i="1"/>
  <c r="U153" i="1"/>
  <c r="AA153" i="1"/>
  <c r="AA169" i="1"/>
  <c r="U169" i="1"/>
  <c r="Z185" i="1"/>
  <c r="U185" i="1"/>
  <c r="Z201" i="1"/>
  <c r="U201" i="1"/>
  <c r="U216" i="1"/>
  <c r="AA216" i="1"/>
  <c r="U241" i="1"/>
  <c r="U273" i="1"/>
  <c r="AA273" i="1"/>
  <c r="AA289" i="1"/>
  <c r="U289" i="1"/>
  <c r="Z305" i="1"/>
  <c r="AA305" i="1"/>
  <c r="U305" i="1"/>
  <c r="Z313" i="1"/>
  <c r="U313" i="1"/>
  <c r="AA313" i="1"/>
  <c r="U346" i="1"/>
  <c r="AA346" i="1"/>
  <c r="U392" i="1"/>
  <c r="Z401" i="1"/>
  <c r="U401" i="1"/>
  <c r="AA401" i="1"/>
  <c r="U409" i="1"/>
  <c r="AA409" i="1"/>
  <c r="AA418" i="1"/>
  <c r="U418" i="1"/>
  <c r="Z425" i="1"/>
  <c r="AA425" i="1"/>
  <c r="U425" i="1"/>
  <c r="U441" i="1"/>
  <c r="AA441" i="1"/>
  <c r="U450" i="1"/>
  <c r="AA450" i="1"/>
  <c r="U465" i="1"/>
  <c r="AA465" i="1"/>
  <c r="U473" i="1"/>
  <c r="AA473" i="1"/>
  <c r="AA481" i="1"/>
  <c r="U481" i="1"/>
  <c r="AA491" i="1"/>
  <c r="U491" i="1"/>
  <c r="U497" i="1"/>
  <c r="AA497" i="1"/>
  <c r="U506" i="1"/>
  <c r="AA506" i="1"/>
  <c r="U512" i="1"/>
  <c r="AA512" i="1"/>
  <c r="Z529" i="1"/>
  <c r="AA529" i="1"/>
  <c r="U529" i="1"/>
  <c r="U537" i="1"/>
  <c r="AA537" i="1"/>
  <c r="U545" i="1"/>
  <c r="AA545" i="1"/>
  <c r="U552" i="1"/>
  <c r="AA552" i="1"/>
  <c r="U617" i="1"/>
  <c r="AA617" i="1"/>
  <c r="U58" i="1"/>
  <c r="U179" i="1"/>
  <c r="U252" i="1"/>
  <c r="U405" i="1"/>
  <c r="Z2" i="1"/>
  <c r="AA2" i="1"/>
  <c r="U2" i="1"/>
  <c r="AA18" i="1"/>
  <c r="U19" i="1"/>
  <c r="U18" i="1"/>
  <c r="Z26" i="1"/>
  <c r="U26" i="1"/>
  <c r="U25" i="1"/>
  <c r="AA26" i="1"/>
  <c r="Z34" i="1"/>
  <c r="U34" i="1"/>
  <c r="AA34" i="1"/>
  <c r="AA42" i="1"/>
  <c r="U42" i="1"/>
  <c r="Z59" i="1"/>
  <c r="AA59" i="1"/>
  <c r="U59" i="1"/>
  <c r="Z98" i="1"/>
  <c r="U98" i="1"/>
  <c r="U100" i="1"/>
  <c r="AA106" i="1"/>
  <c r="U106" i="1"/>
  <c r="AA120" i="1"/>
  <c r="U120" i="1"/>
  <c r="U124" i="1"/>
  <c r="AA137" i="1"/>
  <c r="U137" i="1"/>
  <c r="AA144" i="1"/>
  <c r="U147" i="1"/>
  <c r="U144" i="1"/>
  <c r="Z162" i="1"/>
  <c r="U164" i="1"/>
  <c r="U162" i="1"/>
  <c r="AA162" i="1"/>
  <c r="U177" i="1"/>
  <c r="AA177" i="1"/>
  <c r="U194" i="1"/>
  <c r="AA194" i="1"/>
  <c r="AA210" i="1"/>
  <c r="U211" i="1"/>
  <c r="U210" i="1"/>
  <c r="U242" i="1"/>
  <c r="U292" i="1"/>
  <c r="U307" i="1"/>
  <c r="U306" i="1"/>
  <c r="AA307" i="1"/>
  <c r="U324" i="1"/>
  <c r="AA324" i="1"/>
  <c r="U345" i="1"/>
  <c r="U361" i="1"/>
  <c r="U363" i="1"/>
  <c r="AA361" i="1"/>
  <c r="U386" i="1"/>
  <c r="AA386" i="1"/>
  <c r="U435" i="1"/>
  <c r="U434" i="1"/>
  <c r="Z449" i="1"/>
  <c r="U449" i="1"/>
  <c r="AA449" i="1"/>
  <c r="U474" i="1"/>
  <c r="U499" i="1"/>
  <c r="U498" i="1"/>
  <c r="AA498" i="1"/>
  <c r="U540" i="1"/>
  <c r="AA540" i="1"/>
  <c r="U554" i="1"/>
  <c r="AA554" i="1"/>
  <c r="U555" i="1"/>
  <c r="AA571" i="1"/>
  <c r="U571" i="1"/>
  <c r="Z585" i="1"/>
  <c r="AA585" i="1"/>
  <c r="U585" i="1"/>
  <c r="U601" i="1"/>
  <c r="AA601" i="1"/>
  <c r="U619" i="1"/>
  <c r="U618" i="1"/>
  <c r="AA619" i="1"/>
  <c r="AA156" i="1"/>
  <c r="AA345" i="1"/>
  <c r="U61" i="1"/>
  <c r="U187" i="1"/>
  <c r="U321" i="1"/>
  <c r="U417" i="1"/>
  <c r="U35" i="1"/>
  <c r="U52" i="1"/>
  <c r="U75" i="1"/>
  <c r="U108" i="1"/>
  <c r="U130" i="1"/>
  <c r="U155" i="1"/>
  <c r="Z7" i="1"/>
  <c r="U7" i="1"/>
  <c r="Z14" i="1"/>
  <c r="U14" i="1"/>
  <c r="U23" i="1"/>
  <c r="Z32" i="1"/>
  <c r="U32" i="1"/>
  <c r="Z39" i="1"/>
  <c r="U39" i="1"/>
  <c r="Z48" i="1"/>
  <c r="U48" i="1"/>
  <c r="U57" i="1"/>
  <c r="AA71" i="1"/>
  <c r="U71" i="1"/>
  <c r="Z78" i="1"/>
  <c r="U78" i="1"/>
  <c r="U86" i="1"/>
  <c r="Z94" i="1"/>
  <c r="U94" i="1"/>
  <c r="Z103" i="1"/>
  <c r="U103" i="1"/>
  <c r="Z111" i="1"/>
  <c r="U111" i="1"/>
  <c r="U119" i="1"/>
  <c r="AA127" i="1"/>
  <c r="U127" i="1"/>
  <c r="Z135" i="1"/>
  <c r="U135" i="1"/>
  <c r="AA143" i="1"/>
  <c r="U143" i="1"/>
  <c r="U152" i="1"/>
  <c r="Z159" i="1"/>
  <c r="U159" i="1"/>
  <c r="Z168" i="1"/>
  <c r="U168" i="1"/>
  <c r="Z176" i="1"/>
  <c r="U176" i="1"/>
  <c r="U184" i="1"/>
  <c r="Z191" i="1"/>
  <c r="U191" i="1"/>
  <c r="Z199" i="1"/>
  <c r="U199" i="1"/>
  <c r="Z207" i="1"/>
  <c r="U207" i="1"/>
  <c r="U215" i="1"/>
  <c r="AA222" i="1"/>
  <c r="U222" i="1"/>
  <c r="Z229" i="1"/>
  <c r="U229" i="1"/>
  <c r="AA239" i="1"/>
  <c r="U239" i="1"/>
  <c r="U246" i="1"/>
  <c r="AA255" i="1"/>
  <c r="U255" i="1"/>
  <c r="AA261" i="1"/>
  <c r="U261" i="1"/>
  <c r="Z270" i="1"/>
  <c r="U270" i="1"/>
  <c r="U277" i="1"/>
  <c r="AA287" i="1"/>
  <c r="U287" i="1"/>
  <c r="AA295" i="1"/>
  <c r="U295" i="1"/>
  <c r="AA303" i="1"/>
  <c r="U303" i="1"/>
  <c r="U311" i="1"/>
  <c r="AA319" i="1"/>
  <c r="AF319" i="1" s="1"/>
  <c r="U319" i="1"/>
  <c r="AA326" i="1"/>
  <c r="U326" i="1"/>
  <c r="AA336" i="1"/>
  <c r="U336" i="1"/>
  <c r="U342" i="1"/>
  <c r="AA349" i="1"/>
  <c r="U349" i="1"/>
  <c r="AA359" i="1"/>
  <c r="U359" i="1"/>
  <c r="AA367" i="1"/>
  <c r="U367" i="1"/>
  <c r="U375" i="1"/>
  <c r="AA383" i="1"/>
  <c r="U383" i="1"/>
  <c r="AA390" i="1"/>
  <c r="U390" i="1"/>
  <c r="AA399" i="1"/>
  <c r="U399" i="1"/>
  <c r="U407" i="1"/>
  <c r="AA415" i="1"/>
  <c r="U415" i="1"/>
  <c r="AA423" i="1"/>
  <c r="U423" i="1"/>
  <c r="AA431" i="1"/>
  <c r="U431" i="1"/>
  <c r="U439" i="1"/>
  <c r="AA447" i="1"/>
  <c r="U447" i="1"/>
  <c r="AA454" i="1"/>
  <c r="U454" i="1"/>
  <c r="AA460" i="1"/>
  <c r="U460" i="1"/>
  <c r="U471" i="1"/>
  <c r="AA479" i="1"/>
  <c r="AD479" i="1" s="1"/>
  <c r="U479" i="1"/>
  <c r="AA487" i="1"/>
  <c r="U487" i="1"/>
  <c r="AA495" i="1"/>
  <c r="U495" i="1"/>
  <c r="U504" i="1"/>
  <c r="AA510" i="1"/>
  <c r="U510" i="1"/>
  <c r="AA520" i="1"/>
  <c r="U520" i="1"/>
  <c r="AA527" i="1"/>
  <c r="U527" i="1"/>
  <c r="U534" i="1"/>
  <c r="AA543" i="1"/>
  <c r="U543" i="1"/>
  <c r="AA550" i="1"/>
  <c r="U550" i="1"/>
  <c r="AA559" i="1"/>
  <c r="U559" i="1"/>
  <c r="Z567" i="1"/>
  <c r="U567" i="1"/>
  <c r="U575" i="1"/>
  <c r="U584" i="1"/>
  <c r="U591" i="1"/>
  <c r="U599" i="1"/>
  <c r="AA607" i="1"/>
  <c r="U607" i="1"/>
  <c r="Z616" i="1"/>
  <c r="U616" i="1"/>
  <c r="AA623" i="1"/>
  <c r="U623" i="1"/>
  <c r="U630" i="1"/>
  <c r="AA55" i="1"/>
  <c r="AA201" i="1"/>
  <c r="AA434" i="1"/>
  <c r="AA602" i="1"/>
  <c r="U38" i="1"/>
  <c r="U92" i="1"/>
  <c r="U156" i="1"/>
  <c r="U226" i="1"/>
  <c r="U291" i="1"/>
  <c r="U369" i="1"/>
  <c r="U469" i="1"/>
  <c r="U572" i="1"/>
  <c r="U411" i="1"/>
  <c r="U451" i="1"/>
  <c r="U476" i="1"/>
  <c r="U516" i="1"/>
  <c r="U539" i="1"/>
  <c r="U578" i="1"/>
  <c r="U28" i="1"/>
  <c r="U69" i="1"/>
  <c r="U74" i="1"/>
  <c r="U77" i="1"/>
  <c r="U107" i="1"/>
  <c r="U109" i="1"/>
  <c r="U154" i="1"/>
  <c r="U157" i="1"/>
  <c r="U172" i="1"/>
  <c r="U228" i="1"/>
  <c r="U244" i="1"/>
  <c r="U263" i="1"/>
  <c r="U260" i="1"/>
  <c r="U284" i="1"/>
  <c r="U285" i="1"/>
  <c r="U300" i="1"/>
  <c r="U348" i="1"/>
  <c r="U351" i="1"/>
  <c r="U357" i="1"/>
  <c r="U355" i="1"/>
  <c r="U371" i="1"/>
  <c r="U389" i="1"/>
  <c r="U387" i="1"/>
  <c r="U420" i="1"/>
  <c r="U421" i="1"/>
  <c r="U436" i="1"/>
  <c r="U453" i="1"/>
  <c r="U452" i="1"/>
  <c r="U492" i="1"/>
  <c r="U523" i="1"/>
  <c r="U538" i="1"/>
  <c r="U542" i="1"/>
  <c r="U558" i="1"/>
  <c r="U581" i="1"/>
  <c r="U577" i="1"/>
  <c r="AA596" i="1"/>
  <c r="U598" i="1"/>
  <c r="U613" i="1"/>
  <c r="U612" i="1"/>
  <c r="U628" i="1"/>
  <c r="AA628" i="1"/>
  <c r="U20" i="1"/>
  <c r="U231" i="1"/>
  <c r="U60" i="1"/>
  <c r="U84" i="1"/>
  <c r="U125" i="1"/>
  <c r="U180" i="1"/>
  <c r="U206" i="1"/>
  <c r="U269" i="1"/>
  <c r="U315" i="1"/>
  <c r="U382" i="1"/>
  <c r="U397" i="1"/>
  <c r="U437" i="1"/>
  <c r="U445" i="1"/>
  <c r="U462" i="1"/>
  <c r="U502" i="1"/>
  <c r="U525" i="1"/>
  <c r="U565" i="1"/>
  <c r="U574" i="1"/>
  <c r="U588" i="1"/>
  <c r="U340" i="1"/>
  <c r="U493" i="1"/>
  <c r="U596" i="1"/>
  <c r="U395" i="1"/>
  <c r="U459" i="1"/>
  <c r="U524" i="1"/>
  <c r="U587" i="1"/>
  <c r="U4" i="1"/>
  <c r="U37" i="1"/>
  <c r="U36" i="1"/>
  <c r="U44" i="1"/>
  <c r="U45" i="1"/>
  <c r="U99" i="1"/>
  <c r="U134" i="1"/>
  <c r="U132" i="1"/>
  <c r="U163" i="1"/>
  <c r="U181" i="1"/>
  <c r="U197" i="1"/>
  <c r="U196" i="1"/>
  <c r="U221" i="1"/>
  <c r="U220" i="1"/>
  <c r="U237" i="1"/>
  <c r="U293" i="1"/>
  <c r="U308" i="1"/>
  <c r="U325" i="1"/>
  <c r="U322" i="1"/>
  <c r="U364" i="1"/>
  <c r="U394" i="1"/>
  <c r="U412" i="1"/>
  <c r="U413" i="1"/>
  <c r="U429" i="1"/>
  <c r="U463" i="1"/>
  <c r="U475" i="1"/>
  <c r="U478" i="1"/>
  <c r="U485" i="1"/>
  <c r="U483" i="1"/>
  <c r="U500" i="1"/>
  <c r="U517" i="1"/>
  <c r="U515" i="1"/>
  <c r="U549" i="1"/>
  <c r="U547" i="1"/>
  <c r="U564" i="1"/>
  <c r="U589" i="1"/>
  <c r="AA604" i="1"/>
  <c r="U604" i="1"/>
  <c r="U606" i="1"/>
  <c r="U620" i="1"/>
  <c r="U621" i="1"/>
  <c r="U301" i="1"/>
  <c r="U13" i="1"/>
  <c r="U53" i="1"/>
  <c r="U91" i="1"/>
  <c r="U142" i="1"/>
  <c r="U190" i="1"/>
  <c r="U245" i="1"/>
  <c r="U309" i="1"/>
  <c r="U333" i="1"/>
  <c r="U6" i="1"/>
  <c r="U22" i="1"/>
  <c r="U173" i="1"/>
  <c r="AA52" i="1"/>
  <c r="AA114" i="1"/>
  <c r="U254" i="1"/>
  <c r="U509" i="1"/>
  <c r="AA35" i="1"/>
  <c r="U117" i="1"/>
  <c r="U603" i="1"/>
  <c r="U46" i="1"/>
  <c r="U54" i="1"/>
  <c r="U62" i="1"/>
  <c r="U70" i="1"/>
  <c r="U79" i="1"/>
  <c r="U87" i="1"/>
  <c r="U95" i="1"/>
  <c r="U102" i="1"/>
  <c r="U112" i="1"/>
  <c r="U116" i="1"/>
  <c r="U126" i="1"/>
  <c r="Z133" i="1"/>
  <c r="U133" i="1"/>
  <c r="U141" i="1"/>
  <c r="U150" i="1"/>
  <c r="U158" i="1"/>
  <c r="Z165" i="1"/>
  <c r="U165" i="1"/>
  <c r="U174" i="1"/>
  <c r="U182" i="1"/>
  <c r="U189" i="1"/>
  <c r="U198" i="1"/>
  <c r="U205" i="1"/>
  <c r="U214" i="1"/>
  <c r="U223" i="1"/>
  <c r="U230" i="1"/>
  <c r="AA240" i="1"/>
  <c r="U240" i="1"/>
  <c r="U247" i="1"/>
  <c r="U253" i="1"/>
  <c r="U262" i="1"/>
  <c r="AA271" i="1"/>
  <c r="U271" i="1"/>
  <c r="U278" i="1"/>
  <c r="U286" i="1"/>
  <c r="U294" i="1"/>
  <c r="U302" i="1"/>
  <c r="U310" i="1"/>
  <c r="U318" i="1"/>
  <c r="U327" i="1"/>
  <c r="U334" i="1"/>
  <c r="U343" i="1"/>
  <c r="U350" i="1"/>
  <c r="U358" i="1"/>
  <c r="U366" i="1"/>
  <c r="U374" i="1"/>
  <c r="U381" i="1"/>
  <c r="Z391" i="1"/>
  <c r="U391" i="1"/>
  <c r="U398" i="1"/>
  <c r="U406" i="1"/>
  <c r="U414" i="1"/>
  <c r="AA422" i="1"/>
  <c r="U422" i="1"/>
  <c r="U430" i="1"/>
  <c r="U438" i="1"/>
  <c r="U446" i="1"/>
  <c r="U455" i="1"/>
  <c r="U461" i="1"/>
  <c r="U470" i="1"/>
  <c r="U477" i="1"/>
  <c r="U486" i="1"/>
  <c r="AA494" i="1"/>
  <c r="U494" i="1"/>
  <c r="U501" i="1"/>
  <c r="U511" i="1"/>
  <c r="U518" i="1"/>
  <c r="AA526" i="1"/>
  <c r="U526" i="1"/>
  <c r="U535" i="1"/>
  <c r="U541" i="1"/>
  <c r="U551" i="1"/>
  <c r="U556" i="1"/>
  <c r="U568" i="1"/>
  <c r="U573" i="1"/>
  <c r="AA582" i="1"/>
  <c r="U582" i="1"/>
  <c r="U590" i="1"/>
  <c r="U597" i="1"/>
  <c r="U605" i="1"/>
  <c r="U614" i="1"/>
  <c r="U622" i="1"/>
  <c r="U631" i="1"/>
  <c r="AA578" i="1"/>
  <c r="U373" i="1"/>
  <c r="U629" i="1"/>
  <c r="AA4" i="1"/>
  <c r="AA12" i="1"/>
  <c r="AA20" i="1"/>
  <c r="AA28" i="1"/>
  <c r="AA36" i="1"/>
  <c r="AA44" i="1"/>
  <c r="AA51" i="1"/>
  <c r="AA61" i="1"/>
  <c r="AA69" i="1"/>
  <c r="AA74" i="1"/>
  <c r="AA85" i="1"/>
  <c r="AA92" i="1"/>
  <c r="AA99" i="1"/>
  <c r="AA107" i="1"/>
  <c r="AA118" i="1"/>
  <c r="AA124" i="1"/>
  <c r="AA132" i="1"/>
  <c r="AA140" i="1"/>
  <c r="AA148" i="1"/>
  <c r="AA154" i="1"/>
  <c r="AA163" i="1"/>
  <c r="AA172" i="1"/>
  <c r="AA181" i="1"/>
  <c r="AA188" i="1"/>
  <c r="AA196" i="1"/>
  <c r="AA204" i="1"/>
  <c r="AA213" i="1"/>
  <c r="AA221" i="1"/>
  <c r="AA228" i="1"/>
  <c r="AA237" i="1"/>
  <c r="AA244" i="1"/>
  <c r="AA251" i="1"/>
  <c r="AA260" i="1"/>
  <c r="AA268" i="1"/>
  <c r="AA275" i="1"/>
  <c r="AA284" i="1"/>
  <c r="AA293" i="1"/>
  <c r="AA300" i="1"/>
  <c r="AA308" i="1"/>
  <c r="AA316" i="1"/>
  <c r="AA322" i="1"/>
  <c r="AA332" i="1"/>
  <c r="AA340" i="1"/>
  <c r="AA348" i="1"/>
  <c r="AA355" i="1"/>
  <c r="AA364" i="1"/>
  <c r="AA371" i="1"/>
  <c r="AA380" i="1"/>
  <c r="AA387" i="1"/>
  <c r="AA394" i="1"/>
  <c r="AA404" i="1"/>
  <c r="AA412" i="1"/>
  <c r="AA421" i="1"/>
  <c r="AA429" i="1"/>
  <c r="AA436" i="1"/>
  <c r="AA442" i="1"/>
  <c r="AA452" i="1"/>
  <c r="AA463" i="1"/>
  <c r="AA468" i="1"/>
  <c r="AA475" i="1"/>
  <c r="AA483" i="1"/>
  <c r="AA492" i="1"/>
  <c r="AA500" i="1"/>
  <c r="AA508" i="1"/>
  <c r="AA515" i="1"/>
  <c r="AA523" i="1"/>
  <c r="AA533" i="1"/>
  <c r="AA538" i="1"/>
  <c r="AA547" i="1"/>
  <c r="AA558" i="1"/>
  <c r="AA564" i="1"/>
  <c r="AA577" i="1"/>
  <c r="AA589" i="1"/>
  <c r="AA612" i="1"/>
  <c r="AA621" i="1"/>
  <c r="AA5" i="1"/>
  <c r="AA13" i="1"/>
  <c r="AA21" i="1"/>
  <c r="AA29" i="1"/>
  <c r="AA37" i="1"/>
  <c r="AA45" i="1"/>
  <c r="AA53" i="1"/>
  <c r="AA60" i="1"/>
  <c r="AA68" i="1"/>
  <c r="AA77" i="1"/>
  <c r="AA84" i="1"/>
  <c r="AA91" i="1"/>
  <c r="AA101" i="1"/>
  <c r="AA109" i="1"/>
  <c r="AA125" i="1"/>
  <c r="AA142" i="1"/>
  <c r="AA149" i="1"/>
  <c r="AA157" i="1"/>
  <c r="AA166" i="1"/>
  <c r="AA173" i="1"/>
  <c r="AA180" i="1"/>
  <c r="AA190" i="1"/>
  <c r="AA197" i="1"/>
  <c r="AA206" i="1"/>
  <c r="AA212" i="1"/>
  <c r="AA220" i="1"/>
  <c r="AA231" i="1"/>
  <c r="AA236" i="1"/>
  <c r="AA245" i="1"/>
  <c r="AA254" i="1"/>
  <c r="AA263" i="1"/>
  <c r="AA269" i="1"/>
  <c r="AA279" i="1"/>
  <c r="AA292" i="1"/>
  <c r="AA301" i="1"/>
  <c r="AA309" i="1"/>
  <c r="AA315" i="1"/>
  <c r="AA325" i="1"/>
  <c r="AA333" i="1"/>
  <c r="AA341" i="1"/>
  <c r="AA351" i="1"/>
  <c r="AA365" i="1"/>
  <c r="AA373" i="1"/>
  <c r="AA382" i="1"/>
  <c r="AA397" i="1"/>
  <c r="AA413" i="1"/>
  <c r="AA420" i="1"/>
  <c r="AA428" i="1"/>
  <c r="AA437" i="1"/>
  <c r="AA445" i="1"/>
  <c r="AA453" i="1"/>
  <c r="AA462" i="1"/>
  <c r="AA469" i="1"/>
  <c r="AA478" i="1"/>
  <c r="AA485" i="1"/>
  <c r="AA493" i="1"/>
  <c r="AA502" i="1"/>
  <c r="AA517" i="1"/>
  <c r="AA525" i="1"/>
  <c r="AA532" i="1"/>
  <c r="AA542" i="1"/>
  <c r="AA549" i="1"/>
  <c r="AA557" i="1"/>
  <c r="AA565" i="1"/>
  <c r="AA574" i="1"/>
  <c r="AA581" i="1"/>
  <c r="AA588" i="1"/>
  <c r="AA598" i="1"/>
  <c r="AA606" i="1"/>
  <c r="AA613" i="1"/>
  <c r="AA620" i="1"/>
  <c r="AA6" i="1"/>
  <c r="AA15" i="1"/>
  <c r="AA22" i="1"/>
  <c r="AA33" i="1"/>
  <c r="AA38" i="1"/>
  <c r="AA46" i="1"/>
  <c r="AA54" i="1"/>
  <c r="AA62" i="1"/>
  <c r="AA70" i="1"/>
  <c r="AA79" i="1"/>
  <c r="AA87" i="1"/>
  <c r="AA95" i="1"/>
  <c r="AA102" i="1"/>
  <c r="AA112" i="1"/>
  <c r="AA116" i="1"/>
  <c r="AA126" i="1"/>
  <c r="AA133" i="1"/>
  <c r="AA141" i="1"/>
  <c r="AA150" i="1"/>
  <c r="AA158" i="1"/>
  <c r="AA165" i="1"/>
  <c r="AA174" i="1"/>
  <c r="AA182" i="1"/>
  <c r="AA189" i="1"/>
  <c r="AA198" i="1"/>
  <c r="AA205" i="1"/>
  <c r="AA214" i="1"/>
  <c r="AA223" i="1"/>
  <c r="AA230" i="1"/>
  <c r="AA247" i="1"/>
  <c r="AA253" i="1"/>
  <c r="AA262" i="1"/>
  <c r="AA278" i="1"/>
  <c r="AA286" i="1"/>
  <c r="AA294" i="1"/>
  <c r="AA302" i="1"/>
  <c r="AA310" i="1"/>
  <c r="AA318" i="1"/>
  <c r="AA327" i="1"/>
  <c r="AA334" i="1"/>
  <c r="AA343" i="1"/>
  <c r="AA350" i="1"/>
  <c r="AA358" i="1"/>
  <c r="AA366" i="1"/>
  <c r="AA374" i="1"/>
  <c r="AA381" i="1"/>
  <c r="AA391" i="1"/>
  <c r="AA398" i="1"/>
  <c r="AA406" i="1"/>
  <c r="AA414" i="1"/>
  <c r="AA430" i="1"/>
  <c r="AA438" i="1"/>
  <c r="AA446" i="1"/>
  <c r="AA455" i="1"/>
  <c r="AA461" i="1"/>
  <c r="AA470" i="1"/>
  <c r="AA477" i="1"/>
  <c r="AA486" i="1"/>
  <c r="AA501" i="1"/>
  <c r="AA511" i="1"/>
  <c r="AA518" i="1"/>
  <c r="AA535" i="1"/>
  <c r="AA541" i="1"/>
  <c r="AA551" i="1"/>
  <c r="AA556" i="1"/>
  <c r="AA568" i="1"/>
  <c r="AA573" i="1"/>
  <c r="AA590" i="1"/>
  <c r="AA597" i="1"/>
  <c r="AA605" i="1"/>
  <c r="AA614" i="1"/>
  <c r="AA622" i="1"/>
  <c r="AA631" i="1"/>
  <c r="AA7" i="1"/>
  <c r="AA14" i="1"/>
  <c r="AA23" i="1"/>
  <c r="AA32" i="1"/>
  <c r="AA39" i="1"/>
  <c r="AA48" i="1"/>
  <c r="AA57" i="1"/>
  <c r="AA67" i="1"/>
  <c r="AA78" i="1"/>
  <c r="AA86" i="1"/>
  <c r="AA94" i="1"/>
  <c r="AA103" i="1"/>
  <c r="AA111" i="1"/>
  <c r="AA119" i="1"/>
  <c r="AA135" i="1"/>
  <c r="AA152" i="1"/>
  <c r="AA159" i="1"/>
  <c r="AA168" i="1"/>
  <c r="AA176" i="1"/>
  <c r="AA184" i="1"/>
  <c r="AA191" i="1"/>
  <c r="AA199" i="1"/>
  <c r="AA207" i="1"/>
  <c r="AF207" i="1" s="1"/>
  <c r="AA215" i="1"/>
  <c r="AA229" i="1"/>
  <c r="AA246" i="1"/>
  <c r="AA270" i="1"/>
  <c r="AA277" i="1"/>
  <c r="AA311" i="1"/>
  <c r="AA342" i="1"/>
  <c r="AA375" i="1"/>
  <c r="AA407" i="1"/>
  <c r="AA439" i="1"/>
  <c r="AA471" i="1"/>
  <c r="AA504" i="1"/>
  <c r="AA534" i="1"/>
  <c r="AA567" i="1"/>
  <c r="AF567" i="1" s="1"/>
  <c r="AA575" i="1"/>
  <c r="AA584" i="1"/>
  <c r="AA591" i="1"/>
  <c r="AA599" i="1"/>
  <c r="AA616" i="1"/>
  <c r="AA630" i="1"/>
  <c r="AA8" i="1"/>
  <c r="AA16" i="1"/>
  <c r="AA24" i="1"/>
  <c r="AA31" i="1"/>
  <c r="AA41" i="1"/>
  <c r="AA47" i="1"/>
  <c r="AA56" i="1"/>
  <c r="AA66" i="1"/>
  <c r="AA72" i="1"/>
  <c r="AA80" i="1"/>
  <c r="AA88" i="1"/>
  <c r="AA96" i="1"/>
  <c r="AA104" i="1"/>
  <c r="AA110" i="1"/>
  <c r="AA122" i="1"/>
  <c r="AA128" i="1"/>
  <c r="AA136" i="1"/>
  <c r="AA146" i="1"/>
  <c r="AA151" i="1"/>
  <c r="AA160" i="1"/>
  <c r="AA167" i="1"/>
  <c r="AA175" i="1"/>
  <c r="AA193" i="1"/>
  <c r="AA202" i="1"/>
  <c r="AA208" i="1"/>
  <c r="AA217" i="1"/>
  <c r="AA224" i="1"/>
  <c r="AA232" i="1"/>
  <c r="AA238" i="1"/>
  <c r="AA250" i="1"/>
  <c r="AA256" i="1"/>
  <c r="AA264" i="1"/>
  <c r="AA272" i="1"/>
  <c r="AA280" i="1"/>
  <c r="AA288" i="1"/>
  <c r="AA296" i="1"/>
  <c r="AA304" i="1"/>
  <c r="AA312" i="1"/>
  <c r="AA320" i="1"/>
  <c r="AA328" i="1"/>
  <c r="AA344" i="1"/>
  <c r="AA353" i="1"/>
  <c r="AA360" i="1"/>
  <c r="AA368" i="1"/>
  <c r="AA376" i="1"/>
  <c r="AA384" i="1"/>
  <c r="AA393" i="1"/>
  <c r="AA400" i="1"/>
  <c r="AA408" i="1"/>
  <c r="AA416" i="1"/>
  <c r="AA424" i="1"/>
  <c r="AA432" i="1"/>
  <c r="AA448" i="1"/>
  <c r="AA456" i="1"/>
  <c r="AA464" i="1"/>
  <c r="AA472" i="1"/>
  <c r="AA480" i="1"/>
  <c r="AA488" i="1"/>
  <c r="AA496" i="1"/>
  <c r="AA503" i="1"/>
  <c r="AA513" i="1"/>
  <c r="AA519" i="1"/>
  <c r="AA528" i="1"/>
  <c r="AA536" i="1"/>
  <c r="AA544" i="1"/>
  <c r="AA553" i="1"/>
  <c r="AA560" i="1"/>
  <c r="AA566" i="1"/>
  <c r="AA576" i="1"/>
  <c r="AA583" i="1"/>
  <c r="AA592" i="1"/>
  <c r="AA600" i="1"/>
  <c r="AA615" i="1"/>
  <c r="AA625" i="1"/>
  <c r="Z330" i="1"/>
  <c r="Z369" i="1"/>
  <c r="Z409" i="1"/>
  <c r="Z473" i="1"/>
  <c r="AB473" i="1" s="1"/>
  <c r="AE473" i="1" s="1"/>
  <c r="Z609" i="1"/>
  <c r="Z120" i="1"/>
  <c r="Z194" i="1"/>
  <c r="Z218" i="1"/>
  <c r="Z226" i="1"/>
  <c r="Z258" i="1"/>
  <c r="Z281" i="1"/>
  <c r="Z290" i="1"/>
  <c r="Z314" i="1"/>
  <c r="Z324" i="1"/>
  <c r="Z345" i="1"/>
  <c r="Z354" i="1"/>
  <c r="AB354" i="1" s="1"/>
  <c r="AE354" i="1" s="1"/>
  <c r="Z377" i="1"/>
  <c r="Z386" i="1"/>
  <c r="Z410" i="1"/>
  <c r="Z444" i="1"/>
  <c r="Z474" i="1"/>
  <c r="AB474" i="1" s="1"/>
  <c r="AE474" i="1" s="1"/>
  <c r="Z482" i="1"/>
  <c r="Z505" i="1"/>
  <c r="Z514" i="1"/>
  <c r="Z540" i="1"/>
  <c r="Z546" i="1"/>
  <c r="Z562" i="1"/>
  <c r="Z571" i="1"/>
  <c r="Z619" i="1"/>
  <c r="Z627" i="1"/>
  <c r="Z563" i="1"/>
  <c r="Z183" i="1"/>
  <c r="Z241" i="1"/>
  <c r="Z273" i="1"/>
  <c r="AB273" i="1" s="1"/>
  <c r="AE273" i="1" s="1"/>
  <c r="Z346" i="1"/>
  <c r="Z378" i="1"/>
  <c r="Z457" i="1"/>
  <c r="Z506" i="1"/>
  <c r="Z572" i="1"/>
  <c r="Z596" i="1"/>
  <c r="Z604" i="1"/>
  <c r="Z335" i="1"/>
  <c r="Z633" i="1"/>
  <c r="Z83" i="1"/>
  <c r="Z216" i="1"/>
  <c r="Z362" i="1"/>
  <c r="Z465" i="1"/>
  <c r="Z491" i="1"/>
  <c r="Z521" i="1"/>
  <c r="Z537" i="1"/>
  <c r="Z552" i="1"/>
  <c r="Z117" i="1"/>
  <c r="Z357" i="1"/>
  <c r="Z389" i="1"/>
  <c r="Z405" i="1"/>
  <c r="Z509" i="1"/>
  <c r="Z392" i="1"/>
  <c r="Z441" i="1"/>
  <c r="Z285" i="1"/>
  <c r="Z526" i="1"/>
  <c r="Z440" i="1"/>
  <c r="Z153" i="1"/>
  <c r="Z169" i="1"/>
  <c r="Z249" i="1"/>
  <c r="Z282" i="1"/>
  <c r="Z337" i="1"/>
  <c r="Z497" i="1"/>
  <c r="Z134" i="1"/>
  <c r="Z240" i="1"/>
  <c r="Z271" i="1"/>
  <c r="Z422" i="1"/>
  <c r="Z494" i="1"/>
  <c r="Z582" i="1"/>
  <c r="Z71" i="1"/>
  <c r="Z127" i="1"/>
  <c r="Z143" i="1"/>
  <c r="Z222" i="1"/>
  <c r="Z239" i="1"/>
  <c r="Z255" i="1"/>
  <c r="Z261" i="1"/>
  <c r="Z287" i="1"/>
  <c r="Z295" i="1"/>
  <c r="Z303" i="1"/>
  <c r="Z319" i="1"/>
  <c r="Z326" i="1"/>
  <c r="Z336" i="1"/>
  <c r="Z349" i="1"/>
  <c r="Z359" i="1"/>
  <c r="Z367" i="1"/>
  <c r="Z383" i="1"/>
  <c r="Z390" i="1"/>
  <c r="Z399" i="1"/>
  <c r="Z415" i="1"/>
  <c r="Z423" i="1"/>
  <c r="Z431" i="1"/>
  <c r="Z447" i="1"/>
  <c r="Z454" i="1"/>
  <c r="Z460" i="1"/>
  <c r="Z479" i="1"/>
  <c r="Z487" i="1"/>
  <c r="Z495" i="1"/>
  <c r="Z510" i="1"/>
  <c r="Z520" i="1"/>
  <c r="Z527" i="1"/>
  <c r="Z543" i="1"/>
  <c r="Z550" i="1"/>
  <c r="Z559" i="1"/>
  <c r="Z607" i="1"/>
  <c r="Z623" i="1"/>
  <c r="AD98" i="1"/>
  <c r="AF563" i="1"/>
  <c r="AF185" i="1"/>
  <c r="AF392" i="1"/>
  <c r="AF369" i="1"/>
  <c r="AD218" i="1"/>
  <c r="AF378" i="1"/>
  <c r="AF505" i="1"/>
  <c r="AF389" i="1"/>
  <c r="AF410" i="1"/>
  <c r="AF474" i="1"/>
  <c r="Z8" i="1"/>
  <c r="Z24" i="1"/>
  <c r="Z41" i="1"/>
  <c r="Z66" i="1"/>
  <c r="Z96" i="1"/>
  <c r="Z167" i="1"/>
  <c r="Z175" i="1"/>
  <c r="Z193" i="1"/>
  <c r="Z202" i="1"/>
  <c r="Z217" i="1"/>
  <c r="Z232" i="1"/>
  <c r="Z250" i="1"/>
  <c r="Z264" i="1"/>
  <c r="Z280" i="1"/>
  <c r="Z296" i="1"/>
  <c r="Z312" i="1"/>
  <c r="Z328" i="1"/>
  <c r="Z344" i="1"/>
  <c r="Z360" i="1"/>
  <c r="Z376" i="1"/>
  <c r="Z400" i="1"/>
  <c r="Z416" i="1"/>
  <c r="Z456" i="1"/>
  <c r="Z472" i="1"/>
  <c r="Z488" i="1"/>
  <c r="Z503" i="1"/>
  <c r="Z519" i="1"/>
  <c r="Z536" i="1"/>
  <c r="Z553" i="1"/>
  <c r="Z566" i="1"/>
  <c r="Z583" i="1"/>
  <c r="Z625" i="1"/>
  <c r="Z104" i="1"/>
  <c r="Z16" i="1"/>
  <c r="Z31" i="1"/>
  <c r="Z56" i="1"/>
  <c r="Z72" i="1"/>
  <c r="Z88" i="1"/>
  <c r="Z110" i="1"/>
  <c r="Z122" i="1"/>
  <c r="Z128" i="1"/>
  <c r="Z136" i="1"/>
  <c r="Z146" i="1"/>
  <c r="Z160" i="1"/>
  <c r="Z208" i="1"/>
  <c r="Z224" i="1"/>
  <c r="Z238" i="1"/>
  <c r="Z256" i="1"/>
  <c r="Z272" i="1"/>
  <c r="Z288" i="1"/>
  <c r="Z320" i="1"/>
  <c r="Z353" i="1"/>
  <c r="Z368" i="1"/>
  <c r="Z384" i="1"/>
  <c r="Z393" i="1"/>
  <c r="Z424" i="1"/>
  <c r="Z432" i="1"/>
  <c r="Z448" i="1"/>
  <c r="Z464" i="1"/>
  <c r="Z480" i="1"/>
  <c r="Z496" i="1"/>
  <c r="Z513" i="1"/>
  <c r="Z528" i="1"/>
  <c r="Z544" i="1"/>
  <c r="Z576" i="1"/>
  <c r="Z592" i="1"/>
  <c r="Z600" i="1"/>
  <c r="Z615" i="1"/>
  <c r="Z13" i="1"/>
  <c r="Z21" i="1"/>
  <c r="Z37" i="1"/>
  <c r="Z45" i="1"/>
  <c r="Z53" i="1"/>
  <c r="Z60" i="1"/>
  <c r="Z68" i="1"/>
  <c r="Z77" i="1"/>
  <c r="Z84" i="1"/>
  <c r="Z91" i="1"/>
  <c r="Z109" i="1"/>
  <c r="Z125" i="1"/>
  <c r="Z142" i="1"/>
  <c r="Z157" i="1"/>
  <c r="Z166" i="1"/>
  <c r="Z173" i="1"/>
  <c r="Z180" i="1"/>
  <c r="Z190" i="1"/>
  <c r="Z197" i="1"/>
  <c r="Z206" i="1"/>
  <c r="Z212" i="1"/>
  <c r="Z220" i="1"/>
  <c r="Z231" i="1"/>
  <c r="Z236" i="1"/>
  <c r="Z245" i="1"/>
  <c r="Z263" i="1"/>
  <c r="Z269" i="1"/>
  <c r="Z279" i="1"/>
  <c r="Z292" i="1"/>
  <c r="Z301" i="1"/>
  <c r="Z309" i="1"/>
  <c r="Z315" i="1"/>
  <c r="Z325" i="1"/>
  <c r="Z333" i="1"/>
  <c r="Z341" i="1"/>
  <c r="Z351" i="1"/>
  <c r="Z365" i="1"/>
  <c r="Z382" i="1"/>
  <c r="Z397" i="1"/>
  <c r="Z413" i="1"/>
  <c r="Z420" i="1"/>
  <c r="Z428" i="1"/>
  <c r="Z437" i="1"/>
  <c r="Z445" i="1"/>
  <c r="Z453" i="1"/>
  <c r="Z462" i="1"/>
  <c r="Z469" i="1"/>
  <c r="Z478" i="1"/>
  <c r="Z485" i="1"/>
  <c r="Z493" i="1"/>
  <c r="Z502" i="1"/>
  <c r="Z517" i="1"/>
  <c r="Z525" i="1"/>
  <c r="Z532" i="1"/>
  <c r="Z549" i="1"/>
  <c r="Z557" i="1"/>
  <c r="Z565" i="1"/>
  <c r="Z574" i="1"/>
  <c r="Z581" i="1"/>
  <c r="Z588" i="1"/>
  <c r="Z598" i="1"/>
  <c r="Z606" i="1"/>
  <c r="Z613" i="1"/>
  <c r="Z620" i="1"/>
  <c r="Z629" i="1"/>
  <c r="Z5" i="1"/>
  <c r="Z6" i="1"/>
  <c r="Z22" i="1"/>
  <c r="Z33" i="1"/>
  <c r="Z38" i="1"/>
  <c r="Z46" i="1"/>
  <c r="Z54" i="1"/>
  <c r="Z62" i="1"/>
  <c r="Z70" i="1"/>
  <c r="Z79" i="1"/>
  <c r="Z87" i="1"/>
  <c r="Z95" i="1"/>
  <c r="Z102" i="1"/>
  <c r="Z112" i="1"/>
  <c r="Z116" i="1"/>
  <c r="Z126" i="1"/>
  <c r="Z141" i="1"/>
  <c r="Z150" i="1"/>
  <c r="Z158" i="1"/>
  <c r="Z174" i="1"/>
  <c r="Z182" i="1"/>
  <c r="Z189" i="1"/>
  <c r="Z198" i="1"/>
  <c r="Z205" i="1"/>
  <c r="Z214" i="1"/>
  <c r="Z223" i="1"/>
  <c r="Z230" i="1"/>
  <c r="Z247" i="1"/>
  <c r="Z253" i="1"/>
  <c r="Z262" i="1"/>
  <c r="Z278" i="1"/>
  <c r="Z286" i="1"/>
  <c r="Z294" i="1"/>
  <c r="Z302" i="1"/>
  <c r="Z310" i="1"/>
  <c r="Z318" i="1"/>
  <c r="Z327" i="1"/>
  <c r="Z334" i="1"/>
  <c r="Z343" i="1"/>
  <c r="Z350" i="1"/>
  <c r="Z358" i="1"/>
  <c r="Z366" i="1"/>
  <c r="Z374" i="1"/>
  <c r="Z381" i="1"/>
  <c r="Z398" i="1"/>
  <c r="Z406" i="1"/>
  <c r="Z414" i="1"/>
  <c r="Z430" i="1"/>
  <c r="Z438" i="1"/>
  <c r="Z446" i="1"/>
  <c r="Z455" i="1"/>
  <c r="Z461" i="1"/>
  <c r="Z470" i="1"/>
  <c r="Z477" i="1"/>
  <c r="Z486" i="1"/>
  <c r="Z501" i="1"/>
  <c r="Z511" i="1"/>
  <c r="Z518" i="1"/>
  <c r="Z535" i="1"/>
  <c r="Z541" i="1"/>
  <c r="Z551" i="1"/>
  <c r="Z556" i="1"/>
  <c r="Z568" i="1"/>
  <c r="Z573" i="1"/>
  <c r="Z590" i="1"/>
  <c r="Z597" i="1"/>
  <c r="Z605" i="1"/>
  <c r="Z614" i="1"/>
  <c r="Z622" i="1"/>
  <c r="Z631" i="1"/>
  <c r="Z23" i="1"/>
  <c r="Z57" i="1"/>
  <c r="Z86" i="1"/>
  <c r="Z119" i="1"/>
  <c r="Z152" i="1"/>
  <c r="Z184" i="1"/>
  <c r="Z215" i="1"/>
  <c r="Z246" i="1"/>
  <c r="Z277" i="1"/>
  <c r="Z311" i="1"/>
  <c r="Z342" i="1"/>
  <c r="Z375" i="1"/>
  <c r="Z407" i="1"/>
  <c r="Z439" i="1"/>
  <c r="Z471" i="1"/>
  <c r="Z504" i="1"/>
  <c r="Z534" i="1"/>
  <c r="Z575" i="1"/>
  <c r="Z584" i="1"/>
  <c r="Z591" i="1"/>
  <c r="Z599" i="1"/>
  <c r="Z630" i="1"/>
  <c r="Z632" i="1"/>
  <c r="Z30" i="1"/>
  <c r="Z65" i="1"/>
  <c r="Z97" i="1"/>
  <c r="Z129" i="1"/>
  <c r="Z161" i="1"/>
  <c r="Z192" i="1"/>
  <c r="Z225" i="1"/>
  <c r="Z257" i="1"/>
  <c r="Z289" i="1"/>
  <c r="Z321" i="1"/>
  <c r="Z352" i="1"/>
  <c r="Z385" i="1"/>
  <c r="Z418" i="1"/>
  <c r="Z450" i="1"/>
  <c r="Z481" i="1"/>
  <c r="Z512" i="1"/>
  <c r="Z545" i="1"/>
  <c r="Z569" i="1"/>
  <c r="Z580" i="1"/>
  <c r="Z593" i="1"/>
  <c r="Z602" i="1"/>
  <c r="Z617" i="1"/>
  <c r="Z624" i="1"/>
  <c r="Z11" i="1"/>
  <c r="Z42" i="1"/>
  <c r="Z76" i="1"/>
  <c r="Z106" i="1"/>
  <c r="Z137" i="1"/>
  <c r="Z170" i="1"/>
  <c r="Z200" i="1"/>
  <c r="Z235" i="1"/>
  <c r="Z266" i="1"/>
  <c r="Z298" i="1"/>
  <c r="Z329" i="1"/>
  <c r="Z361" i="1"/>
  <c r="Z427" i="1"/>
  <c r="Z466" i="1"/>
  <c r="Z490" i="1"/>
  <c r="Z522" i="1"/>
  <c r="Z531" i="1"/>
  <c r="Z594" i="1"/>
  <c r="Z18" i="1"/>
  <c r="Z50" i="1"/>
  <c r="Z82" i="1"/>
  <c r="Z115" i="1"/>
  <c r="Z144" i="1"/>
  <c r="Z177" i="1"/>
  <c r="Z210" i="1"/>
  <c r="Z242" i="1"/>
  <c r="Z274" i="1"/>
  <c r="Z307" i="1"/>
  <c r="Z338" i="1"/>
  <c r="Z370" i="1"/>
  <c r="Z396" i="1"/>
  <c r="Z402" i="1"/>
  <c r="Z434" i="1"/>
  <c r="Z458" i="1"/>
  <c r="Z498" i="1"/>
  <c r="Z554" i="1"/>
  <c r="Z601" i="1"/>
  <c r="Z610" i="1"/>
  <c r="Z3" i="1"/>
  <c r="Z10" i="1"/>
  <c r="Z19" i="1"/>
  <c r="Z25" i="1"/>
  <c r="Z35" i="1"/>
  <c r="Z43" i="1"/>
  <c r="Z52" i="1"/>
  <c r="Z58" i="1"/>
  <c r="Z63" i="1"/>
  <c r="Z75" i="1"/>
  <c r="Z81" i="1"/>
  <c r="Z93" i="1"/>
  <c r="Z100" i="1"/>
  <c r="Z108" i="1"/>
  <c r="Z114" i="1"/>
  <c r="Z123" i="1"/>
  <c r="Z130" i="1"/>
  <c r="Z139" i="1"/>
  <c r="Z147" i="1"/>
  <c r="Z155" i="1"/>
  <c r="Z164" i="1"/>
  <c r="Z171" i="1"/>
  <c r="Z179" i="1"/>
  <c r="Z187" i="1"/>
  <c r="Z195" i="1"/>
  <c r="Z203" i="1"/>
  <c r="Z211" i="1"/>
  <c r="Z219" i="1"/>
  <c r="Z227" i="1"/>
  <c r="Z234" i="1"/>
  <c r="Z243" i="1"/>
  <c r="Z252" i="1"/>
  <c r="Z259" i="1"/>
  <c r="Z267" i="1"/>
  <c r="Z276" i="1"/>
  <c r="Z283" i="1"/>
  <c r="Z291" i="1"/>
  <c r="Z299" i="1"/>
  <c r="Z306" i="1"/>
  <c r="Z317" i="1"/>
  <c r="Z323" i="1"/>
  <c r="Z331" i="1"/>
  <c r="Z339" i="1"/>
  <c r="Z347" i="1"/>
  <c r="Z356" i="1"/>
  <c r="Z363" i="1"/>
  <c r="Z372" i="1"/>
  <c r="Z379" i="1"/>
  <c r="Z388" i="1"/>
  <c r="Z395" i="1"/>
  <c r="Z403" i="1"/>
  <c r="Z411" i="1"/>
  <c r="Z419" i="1"/>
  <c r="Z426" i="1"/>
  <c r="Z435" i="1"/>
  <c r="Z443" i="1"/>
  <c r="Z451" i="1"/>
  <c r="Z459" i="1"/>
  <c r="Z467" i="1"/>
  <c r="Z476" i="1"/>
  <c r="Z484" i="1"/>
  <c r="Z489" i="1"/>
  <c r="Z499" i="1"/>
  <c r="Z507" i="1"/>
  <c r="Z516" i="1"/>
  <c r="Z524" i="1"/>
  <c r="Z530" i="1"/>
  <c r="Z539" i="1"/>
  <c r="Z548" i="1"/>
  <c r="Z555" i="1"/>
  <c r="Z561" i="1"/>
  <c r="Z570" i="1"/>
  <c r="Z578" i="1"/>
  <c r="Z587" i="1"/>
  <c r="Z595" i="1"/>
  <c r="Z603" i="1"/>
  <c r="Z611" i="1"/>
  <c r="Z618" i="1"/>
  <c r="Z626" i="1"/>
  <c r="Z4" i="1"/>
  <c r="Z12" i="1"/>
  <c r="Z20" i="1"/>
  <c r="Z28" i="1"/>
  <c r="Z36" i="1"/>
  <c r="Z44" i="1"/>
  <c r="Z51" i="1"/>
  <c r="Z61" i="1"/>
  <c r="Z69" i="1"/>
  <c r="Z74" i="1"/>
  <c r="Z85" i="1"/>
  <c r="Z92" i="1"/>
  <c r="Z99" i="1"/>
  <c r="Z107" i="1"/>
  <c r="Z118" i="1"/>
  <c r="Z124" i="1"/>
  <c r="Z132" i="1"/>
  <c r="Z140" i="1"/>
  <c r="Z148" i="1"/>
  <c r="Z154" i="1"/>
  <c r="Z163" i="1"/>
  <c r="Z172" i="1"/>
  <c r="Z181" i="1"/>
  <c r="Z188" i="1"/>
  <c r="Z196" i="1"/>
  <c r="Z204" i="1"/>
  <c r="Z213" i="1"/>
  <c r="Z221" i="1"/>
  <c r="Z228" i="1"/>
  <c r="Z237" i="1"/>
  <c r="Z244" i="1"/>
  <c r="Z251" i="1"/>
  <c r="Z260" i="1"/>
  <c r="Z268" i="1"/>
  <c r="Z275" i="1"/>
  <c r="Z284" i="1"/>
  <c r="Z293" i="1"/>
  <c r="Z300" i="1"/>
  <c r="Z308" i="1"/>
  <c r="Z316" i="1"/>
  <c r="Z322" i="1"/>
  <c r="Z332" i="1"/>
  <c r="Z340" i="1"/>
  <c r="Z348" i="1"/>
  <c r="Z355" i="1"/>
  <c r="Z364" i="1"/>
  <c r="Z371" i="1"/>
  <c r="Z380" i="1"/>
  <c r="Z387" i="1"/>
  <c r="Z394" i="1"/>
  <c r="Z404" i="1"/>
  <c r="Z412" i="1"/>
  <c r="Z421" i="1"/>
  <c r="Z429" i="1"/>
  <c r="Z436" i="1"/>
  <c r="Z442" i="1"/>
  <c r="Z452" i="1"/>
  <c r="Z463" i="1"/>
  <c r="Z468" i="1"/>
  <c r="Z475" i="1"/>
  <c r="Z483" i="1"/>
  <c r="Z492" i="1"/>
  <c r="Z500" i="1"/>
  <c r="Z508" i="1"/>
  <c r="Z515" i="1"/>
  <c r="Z523" i="1"/>
  <c r="Z533" i="1"/>
  <c r="Z538" i="1"/>
  <c r="Z547" i="1"/>
  <c r="Z558" i="1"/>
  <c r="Z564" i="1"/>
  <c r="Z577" i="1"/>
  <c r="Z589" i="1"/>
  <c r="Z612" i="1"/>
  <c r="Z621" i="1"/>
  <c r="Z628" i="1"/>
  <c r="AD514" i="1" l="1"/>
  <c r="AF248" i="1"/>
  <c r="AF491" i="1"/>
  <c r="AB199" i="1"/>
  <c r="AE199" i="1" s="1"/>
  <c r="AF527" i="1"/>
  <c r="AF67" i="1"/>
  <c r="AF201" i="1"/>
  <c r="AD607" i="1"/>
  <c r="AF199" i="1"/>
  <c r="AF48" i="1"/>
  <c r="AD337" i="1"/>
  <c r="AD303" i="1"/>
  <c r="AF391" i="1"/>
  <c r="AF324" i="1"/>
  <c r="AB2" i="1"/>
  <c r="AE2" i="1" s="1"/>
  <c r="AD441" i="1"/>
  <c r="AF83" i="1"/>
  <c r="AB514" i="1"/>
  <c r="AE514" i="1" s="1"/>
  <c r="AF542" i="1"/>
  <c r="AD156" i="1"/>
  <c r="AB121" i="1"/>
  <c r="AE121" i="1" s="1"/>
  <c r="AD609" i="1"/>
  <c r="AF64" i="1"/>
  <c r="AD586" i="1"/>
  <c r="AF543" i="1"/>
  <c r="AF359" i="1"/>
  <c r="AF287" i="1"/>
  <c r="AF216" i="1"/>
  <c r="AD15" i="1"/>
  <c r="AF258" i="1"/>
  <c r="AF103" i="1"/>
  <c r="AD460" i="1"/>
  <c r="AD319" i="1"/>
  <c r="AF138" i="1"/>
  <c r="AF17" i="1"/>
  <c r="AD529" i="1"/>
  <c r="AF494" i="1"/>
  <c r="AF165" i="1"/>
  <c r="AD258" i="1"/>
  <c r="AD270" i="1"/>
  <c r="AF616" i="1"/>
  <c r="AD168" i="1"/>
  <c r="AF14" i="1"/>
  <c r="AF423" i="1"/>
  <c r="AD113" i="1"/>
  <c r="AB233" i="1"/>
  <c r="AE233" i="1" s="1"/>
  <c r="AF440" i="1"/>
  <c r="AF335" i="1"/>
  <c r="AB222" i="1"/>
  <c r="AE222" i="1" s="1"/>
  <c r="AD233" i="1"/>
  <c r="AD14" i="1"/>
  <c r="AD423" i="1"/>
  <c r="AB48" i="1"/>
  <c r="AE48" i="1" s="1"/>
  <c r="AB138" i="1"/>
  <c r="AE138" i="1" s="1"/>
  <c r="AB423" i="1"/>
  <c r="AE423" i="1" s="1"/>
  <c r="AF441" i="1"/>
  <c r="AB441" i="1"/>
  <c r="AE441" i="1" s="1"/>
  <c r="AB32" i="1"/>
  <c r="AE32" i="1" s="1"/>
  <c r="AD324" i="1"/>
  <c r="AF586" i="1"/>
  <c r="AB103" i="1"/>
  <c r="AE103" i="1" s="1"/>
  <c r="AB319" i="1"/>
  <c r="AE319" i="1" s="1"/>
  <c r="AD199" i="1"/>
  <c r="AF460" i="1"/>
  <c r="AD103" i="1"/>
  <c r="AB15" i="1"/>
  <c r="AE15" i="1" s="1"/>
  <c r="AB17" i="1"/>
  <c r="AE17" i="1" s="1"/>
  <c r="AD17" i="1"/>
  <c r="AB248" i="1"/>
  <c r="AE248" i="1" s="1"/>
  <c r="AD185" i="1"/>
  <c r="AF15" i="1"/>
  <c r="AF98" i="1"/>
  <c r="AB165" i="1"/>
  <c r="AE165" i="1" s="1"/>
  <c r="AF303" i="1"/>
  <c r="AB117" i="1"/>
  <c r="AE117" i="1" s="1"/>
  <c r="AF473" i="1"/>
  <c r="AD248" i="1"/>
  <c r="V1048574" i="1"/>
  <c r="AB460" i="1"/>
  <c r="AE460" i="1" s="1"/>
  <c r="AB392" i="1"/>
  <c r="AE392" i="1" s="1"/>
  <c r="AD543" i="1"/>
  <c r="AF270" i="1"/>
  <c r="AF233" i="1"/>
  <c r="AD359" i="1"/>
  <c r="AB201" i="1"/>
  <c r="AE201" i="1" s="1"/>
  <c r="AF218" i="1"/>
  <c r="AB454" i="1"/>
  <c r="AE454" i="1" s="1"/>
  <c r="AB218" i="1"/>
  <c r="AE218" i="1" s="1"/>
  <c r="AB457" i="1"/>
  <c r="AE457" i="1" s="1"/>
  <c r="AD273" i="1"/>
  <c r="AF273" i="1"/>
  <c r="AD474" i="1"/>
  <c r="AD48" i="1"/>
  <c r="AD165" i="1"/>
  <c r="AB440" i="1"/>
  <c r="AE440" i="1" s="1"/>
  <c r="AB324" i="1"/>
  <c r="AE324" i="1" s="1"/>
  <c r="AB207" i="1"/>
  <c r="AE207" i="1" s="1"/>
  <c r="AF607" i="1"/>
  <c r="AD32" i="1"/>
  <c r="AB14" i="1"/>
  <c r="AE14" i="1" s="1"/>
  <c r="AB168" i="1"/>
  <c r="AE168" i="1" s="1"/>
  <c r="AD207" i="1"/>
  <c r="AF32" i="1"/>
  <c r="AB83" i="1"/>
  <c r="AE83" i="1" s="1"/>
  <c r="AF168" i="1"/>
  <c r="AD392" i="1"/>
  <c r="AD83" i="1"/>
  <c r="AB287" i="1"/>
  <c r="AE287" i="1" s="1"/>
  <c r="AF514" i="1"/>
  <c r="AD138" i="1"/>
  <c r="AB185" i="1"/>
  <c r="AE185" i="1" s="1"/>
  <c r="AB543" i="1"/>
  <c r="AE543" i="1" s="1"/>
  <c r="AB67" i="1"/>
  <c r="AE67" i="1" s="1"/>
  <c r="AD567" i="1"/>
  <c r="AF2" i="1"/>
  <c r="AD542" i="1"/>
  <c r="AB494" i="1"/>
  <c r="AE494" i="1" s="1"/>
  <c r="AD67" i="1"/>
  <c r="AD2" i="1"/>
  <c r="AF156" i="1"/>
  <c r="AD121" i="1"/>
  <c r="AB567" i="1"/>
  <c r="AE567" i="1" s="1"/>
  <c r="AD389" i="1"/>
  <c r="AB586" i="1"/>
  <c r="AE586" i="1" s="1"/>
  <c r="AD494" i="1"/>
  <c r="AB64" i="1"/>
  <c r="AE64" i="1" s="1"/>
  <c r="AD335" i="1"/>
  <c r="AB335" i="1"/>
  <c r="AE335" i="1" s="1"/>
  <c r="AB609" i="1"/>
  <c r="AE609" i="1" s="1"/>
  <c r="AD616" i="1"/>
  <c r="AF609" i="1"/>
  <c r="AF121" i="1"/>
  <c r="AD64" i="1"/>
  <c r="AB616" i="1"/>
  <c r="AE616" i="1" s="1"/>
  <c r="AF479" i="1"/>
  <c r="AB369" i="1"/>
  <c r="AE369" i="1" s="1"/>
  <c r="AB98" i="1"/>
  <c r="AE98" i="1" s="1"/>
  <c r="AB479" i="1"/>
  <c r="AE479" i="1" s="1"/>
  <c r="AB303" i="1"/>
  <c r="AE303" i="1" s="1"/>
  <c r="AD222" i="1"/>
  <c r="AB389" i="1"/>
  <c r="AE389" i="1" s="1"/>
  <c r="AD527" i="1"/>
  <c r="AD201" i="1"/>
  <c r="AB113" i="1"/>
  <c r="AE113" i="1" s="1"/>
  <c r="AB391" i="1"/>
  <c r="AE391" i="1" s="1"/>
  <c r="AB527" i="1"/>
  <c r="AE527" i="1" s="1"/>
  <c r="AD473" i="1"/>
  <c r="AD287" i="1"/>
  <c r="AB270" i="1"/>
  <c r="AE270" i="1" s="1"/>
  <c r="AD117" i="1"/>
  <c r="AF222" i="1"/>
  <c r="AF113" i="1"/>
  <c r="AD391" i="1"/>
  <c r="AB156" i="1"/>
  <c r="AE156" i="1" s="1"/>
  <c r="AB359" i="1"/>
  <c r="AE359" i="1" s="1"/>
  <c r="AD457" i="1"/>
  <c r="AF354" i="1"/>
  <c r="AF117" i="1"/>
  <c r="AB337" i="1"/>
  <c r="AE337" i="1" s="1"/>
  <c r="AD369" i="1"/>
  <c r="AD454" i="1"/>
  <c r="AF337" i="1"/>
  <c r="AF454" i="1"/>
  <c r="AB378" i="1"/>
  <c r="AE378" i="1" s="1"/>
  <c r="AB607" i="1"/>
  <c r="AE607" i="1" s="1"/>
  <c r="AB542" i="1"/>
  <c r="AE542" i="1" s="1"/>
  <c r="AB563" i="1"/>
  <c r="AE563" i="1" s="1"/>
  <c r="AB491" i="1"/>
  <c r="AE491" i="1" s="1"/>
  <c r="AD378" i="1"/>
  <c r="AB529" i="1"/>
  <c r="AE529" i="1" s="1"/>
  <c r="AB410" i="1"/>
  <c r="AE410" i="1" s="1"/>
  <c r="AB216" i="1"/>
  <c r="AE216" i="1" s="1"/>
  <c r="AD563" i="1"/>
  <c r="AD354" i="1"/>
  <c r="AD491" i="1"/>
  <c r="AF457" i="1"/>
  <c r="AB258" i="1"/>
  <c r="AE258" i="1" s="1"/>
  <c r="AF529" i="1"/>
  <c r="AD410" i="1"/>
  <c r="AD216" i="1"/>
  <c r="AB505" i="1"/>
  <c r="AE505" i="1" s="1"/>
  <c r="AD440" i="1"/>
  <c r="AD505" i="1"/>
  <c r="AF39" i="1"/>
  <c r="AD39" i="1"/>
  <c r="AB39" i="1"/>
  <c r="AE39" i="1" s="1"/>
  <c r="AF329" i="1"/>
  <c r="AB329" i="1"/>
  <c r="AE329" i="1" s="1"/>
  <c r="AD329" i="1"/>
  <c r="AF90" i="1"/>
  <c r="AD90" i="1"/>
  <c r="AB90" i="1"/>
  <c r="AE90" i="1" s="1"/>
  <c r="AD129" i="1"/>
  <c r="AF129" i="1"/>
  <c r="AB129" i="1"/>
  <c r="AE129" i="1" s="1"/>
  <c r="AF546" i="1"/>
  <c r="AD546" i="1"/>
  <c r="AB546" i="1"/>
  <c r="AE546" i="1" s="1"/>
  <c r="AF150" i="1"/>
  <c r="AB150" i="1"/>
  <c r="AE150" i="1" s="1"/>
  <c r="AD150" i="1"/>
  <c r="AF240" i="1"/>
  <c r="AD240" i="1"/>
  <c r="AB240" i="1"/>
  <c r="AE240" i="1" s="1"/>
  <c r="AF571" i="1"/>
  <c r="AD571" i="1"/>
  <c r="AB571" i="1"/>
  <c r="AE571" i="1" s="1"/>
  <c r="AF326" i="1"/>
  <c r="AB326" i="1"/>
  <c r="AE326" i="1" s="1"/>
  <c r="AD326" i="1"/>
  <c r="AF71" i="1"/>
  <c r="AD71" i="1"/>
  <c r="AB71" i="1"/>
  <c r="AE71" i="1" s="1"/>
  <c r="AF510" i="1"/>
  <c r="AB510" i="1"/>
  <c r="AE510" i="1" s="1"/>
  <c r="AD510" i="1"/>
  <c r="AD255" i="1"/>
  <c r="AF255" i="1"/>
  <c r="AB255" i="1"/>
  <c r="AE255" i="1" s="1"/>
  <c r="AF630" i="1"/>
  <c r="AB630" i="1"/>
  <c r="AE630" i="1" s="1"/>
  <c r="AD630" i="1"/>
  <c r="AB575" i="1"/>
  <c r="AE575" i="1" s="1"/>
  <c r="AF575" i="1"/>
  <c r="AD575" i="1"/>
  <c r="AF311" i="1"/>
  <c r="AD311" i="1"/>
  <c r="AB311" i="1"/>
  <c r="AE311" i="1" s="1"/>
  <c r="AF184" i="1"/>
  <c r="AB184" i="1"/>
  <c r="AE184" i="1" s="1"/>
  <c r="AD184" i="1"/>
  <c r="AF57" i="1"/>
  <c r="AB57" i="1"/>
  <c r="AE57" i="1" s="1"/>
  <c r="AD57" i="1"/>
  <c r="AF544" i="1"/>
  <c r="AD544" i="1"/>
  <c r="AB544" i="1"/>
  <c r="AE544" i="1" s="1"/>
  <c r="AD480" i="1"/>
  <c r="AB480" i="1"/>
  <c r="AE480" i="1" s="1"/>
  <c r="AF480" i="1"/>
  <c r="AD424" i="1"/>
  <c r="AF424" i="1"/>
  <c r="AB424" i="1"/>
  <c r="AE424" i="1" s="1"/>
  <c r="AF353" i="1"/>
  <c r="AD353" i="1"/>
  <c r="AB353" i="1"/>
  <c r="AE353" i="1" s="1"/>
  <c r="AD160" i="1"/>
  <c r="AF160" i="1"/>
  <c r="AB160" i="1"/>
  <c r="AE160" i="1" s="1"/>
  <c r="AF122" i="1"/>
  <c r="AD122" i="1"/>
  <c r="AB122" i="1"/>
  <c r="AE122" i="1" s="1"/>
  <c r="AF56" i="1"/>
  <c r="AD56" i="1"/>
  <c r="AB56" i="1"/>
  <c r="AE56" i="1" s="1"/>
  <c r="AF254" i="1"/>
  <c r="AD254" i="1"/>
  <c r="AB254" i="1"/>
  <c r="AE254" i="1" s="1"/>
  <c r="AF633" i="1"/>
  <c r="AB633" i="1"/>
  <c r="AE633" i="1" s="1"/>
  <c r="AD633" i="1"/>
  <c r="AF133" i="1"/>
  <c r="AD133" i="1"/>
  <c r="AB133" i="1"/>
  <c r="AE133" i="1" s="1"/>
  <c r="AF566" i="1"/>
  <c r="AD566" i="1"/>
  <c r="AB566" i="1"/>
  <c r="AE566" i="1" s="1"/>
  <c r="AF503" i="1"/>
  <c r="AD503" i="1"/>
  <c r="AB503" i="1"/>
  <c r="AE503" i="1" s="1"/>
  <c r="AF344" i="1"/>
  <c r="AB344" i="1"/>
  <c r="AE344" i="1" s="1"/>
  <c r="AD344" i="1"/>
  <c r="AF280" i="1"/>
  <c r="AD280" i="1"/>
  <c r="AB280" i="1"/>
  <c r="AE280" i="1" s="1"/>
  <c r="AD167" i="1"/>
  <c r="AB167" i="1"/>
  <c r="AE167" i="1" s="1"/>
  <c r="AF167" i="1"/>
  <c r="AF521" i="1"/>
  <c r="AD521" i="1"/>
  <c r="AB521" i="1"/>
  <c r="AE521" i="1" s="1"/>
  <c r="AF265" i="1"/>
  <c r="AD265" i="1"/>
  <c r="AB265" i="1"/>
  <c r="AE265" i="1" s="1"/>
  <c r="AF9" i="1"/>
  <c r="AB9" i="1"/>
  <c r="AE9" i="1" s="1"/>
  <c r="AD9" i="1"/>
  <c r="AF367" i="1"/>
  <c r="AB367" i="1"/>
  <c r="AE367" i="1" s="1"/>
  <c r="AD367" i="1"/>
  <c r="AF111" i="1"/>
  <c r="AD111" i="1"/>
  <c r="AB111" i="1"/>
  <c r="AE111" i="1" s="1"/>
  <c r="AF465" i="1"/>
  <c r="AB465" i="1"/>
  <c r="AE465" i="1" s="1"/>
  <c r="AD465" i="1"/>
  <c r="AF209" i="1"/>
  <c r="AD209" i="1"/>
  <c r="AB209" i="1"/>
  <c r="AE209" i="1" s="1"/>
  <c r="AF594" i="1"/>
  <c r="AB594" i="1"/>
  <c r="AE594" i="1" s="1"/>
  <c r="AD594" i="1"/>
  <c r="AF466" i="1"/>
  <c r="AD466" i="1"/>
  <c r="AB466" i="1"/>
  <c r="AE466" i="1" s="1"/>
  <c r="AF298" i="1"/>
  <c r="AB298" i="1"/>
  <c r="AE298" i="1" s="1"/>
  <c r="AD298" i="1"/>
  <c r="AF42" i="1"/>
  <c r="AD42" i="1"/>
  <c r="AB42" i="1"/>
  <c r="AE42" i="1" s="1"/>
  <c r="AD497" i="1"/>
  <c r="AB497" i="1"/>
  <c r="AE497" i="1" s="1"/>
  <c r="AF497" i="1"/>
  <c r="AF241" i="1"/>
  <c r="AD241" i="1"/>
  <c r="AB241" i="1"/>
  <c r="AE241" i="1" s="1"/>
  <c r="AF624" i="1"/>
  <c r="AB624" i="1"/>
  <c r="AE624" i="1" s="1"/>
  <c r="AD624" i="1"/>
  <c r="AF580" i="1"/>
  <c r="AD580" i="1"/>
  <c r="AB580" i="1"/>
  <c r="AE580" i="1" s="1"/>
  <c r="AF352" i="1"/>
  <c r="AD352" i="1"/>
  <c r="AB352" i="1"/>
  <c r="AE352" i="1" s="1"/>
  <c r="AF225" i="1"/>
  <c r="AB225" i="1"/>
  <c r="AE225" i="1" s="1"/>
  <c r="AD225" i="1"/>
  <c r="AF97" i="1"/>
  <c r="AB97" i="1"/>
  <c r="AE97" i="1" s="1"/>
  <c r="AD97" i="1"/>
  <c r="AB495" i="1"/>
  <c r="AE495" i="1" s="1"/>
  <c r="AD495" i="1"/>
  <c r="AF495" i="1"/>
  <c r="AF622" i="1"/>
  <c r="AD622" i="1"/>
  <c r="AB622" i="1"/>
  <c r="AE622" i="1" s="1"/>
  <c r="AF590" i="1"/>
  <c r="AD590" i="1"/>
  <c r="AB590" i="1"/>
  <c r="AE590" i="1" s="1"/>
  <c r="AF551" i="1"/>
  <c r="AB551" i="1"/>
  <c r="AE551" i="1" s="1"/>
  <c r="AD551" i="1"/>
  <c r="AF511" i="1"/>
  <c r="AD511" i="1"/>
  <c r="AB511" i="1"/>
  <c r="AE511" i="1" s="1"/>
  <c r="AF438" i="1"/>
  <c r="AB438" i="1"/>
  <c r="AE438" i="1" s="1"/>
  <c r="AD438" i="1"/>
  <c r="AF398" i="1"/>
  <c r="AD398" i="1"/>
  <c r="AB398" i="1"/>
  <c r="AE398" i="1" s="1"/>
  <c r="AF358" i="1"/>
  <c r="AB358" i="1"/>
  <c r="AE358" i="1" s="1"/>
  <c r="AD358" i="1"/>
  <c r="AF327" i="1"/>
  <c r="AD327" i="1"/>
  <c r="AB327" i="1"/>
  <c r="AE327" i="1" s="1"/>
  <c r="AD253" i="1"/>
  <c r="AF253" i="1"/>
  <c r="AB253" i="1"/>
  <c r="AE253" i="1" s="1"/>
  <c r="AF214" i="1"/>
  <c r="AD214" i="1"/>
  <c r="AB214" i="1"/>
  <c r="AE214" i="1" s="1"/>
  <c r="AB182" i="1"/>
  <c r="AE182" i="1" s="1"/>
  <c r="AD182" i="1"/>
  <c r="AF182" i="1"/>
  <c r="AF141" i="1"/>
  <c r="AD141" i="1"/>
  <c r="AB141" i="1"/>
  <c r="AE141" i="1" s="1"/>
  <c r="AF70" i="1"/>
  <c r="AD70" i="1"/>
  <c r="AB70" i="1"/>
  <c r="AE70" i="1" s="1"/>
  <c r="AF38" i="1"/>
  <c r="AD38" i="1"/>
  <c r="AB38" i="1"/>
  <c r="AE38" i="1" s="1"/>
  <c r="AF5" i="1"/>
  <c r="AD5" i="1"/>
  <c r="AB5" i="1"/>
  <c r="AE5" i="1" s="1"/>
  <c r="AF606" i="1"/>
  <c r="AD606" i="1"/>
  <c r="AB606" i="1"/>
  <c r="AE606" i="1" s="1"/>
  <c r="AF574" i="1"/>
  <c r="AB574" i="1"/>
  <c r="AE574" i="1" s="1"/>
  <c r="AD574" i="1"/>
  <c r="AF532" i="1"/>
  <c r="AD532" i="1"/>
  <c r="AB532" i="1"/>
  <c r="AE532" i="1" s="1"/>
  <c r="AF493" i="1"/>
  <c r="AB493" i="1"/>
  <c r="AE493" i="1" s="1"/>
  <c r="AD493" i="1"/>
  <c r="AF428" i="1"/>
  <c r="AB428" i="1"/>
  <c r="AE428" i="1" s="1"/>
  <c r="AD428" i="1"/>
  <c r="AF382" i="1"/>
  <c r="AB382" i="1"/>
  <c r="AE382" i="1" s="1"/>
  <c r="AD382" i="1"/>
  <c r="AF333" i="1"/>
  <c r="AD333" i="1"/>
  <c r="AB333" i="1"/>
  <c r="AE333" i="1" s="1"/>
  <c r="AF301" i="1"/>
  <c r="AD301" i="1"/>
  <c r="AB301" i="1"/>
  <c r="AE301" i="1" s="1"/>
  <c r="AF263" i="1"/>
  <c r="AB263" i="1"/>
  <c r="AE263" i="1" s="1"/>
  <c r="AD263" i="1"/>
  <c r="AB220" i="1"/>
  <c r="AE220" i="1" s="1"/>
  <c r="AF220" i="1"/>
  <c r="AD220" i="1"/>
  <c r="AF157" i="1"/>
  <c r="AD157" i="1"/>
  <c r="AB157" i="1"/>
  <c r="AE157" i="1" s="1"/>
  <c r="AF91" i="1"/>
  <c r="AB91" i="1"/>
  <c r="AE91" i="1" s="1"/>
  <c r="AD91" i="1"/>
  <c r="AF60" i="1"/>
  <c r="AB60" i="1"/>
  <c r="AE60" i="1" s="1"/>
  <c r="AD60" i="1"/>
  <c r="AF21" i="1"/>
  <c r="AD21" i="1"/>
  <c r="AB21" i="1"/>
  <c r="AE21" i="1" s="1"/>
  <c r="AD348" i="1"/>
  <c r="AF348" i="1"/>
  <c r="AB348" i="1"/>
  <c r="AE348" i="1" s="1"/>
  <c r="AF284" i="1"/>
  <c r="AB284" i="1"/>
  <c r="AE284" i="1" s="1"/>
  <c r="AD284" i="1"/>
  <c r="AB221" i="1"/>
  <c r="AE221" i="1" s="1"/>
  <c r="AF221" i="1"/>
  <c r="AD221" i="1"/>
  <c r="AB188" i="1"/>
  <c r="AE188" i="1" s="1"/>
  <c r="AF188" i="1"/>
  <c r="AD188" i="1"/>
  <c r="AD154" i="1"/>
  <c r="AB154" i="1"/>
  <c r="AE154" i="1" s="1"/>
  <c r="AF154" i="1"/>
  <c r="AF92" i="1"/>
  <c r="AB92" i="1"/>
  <c r="AE92" i="1" s="1"/>
  <c r="AD92" i="1"/>
  <c r="AF28" i="1"/>
  <c r="AB28" i="1"/>
  <c r="AE28" i="1" s="1"/>
  <c r="AD28" i="1"/>
  <c r="AF623" i="1"/>
  <c r="AB623" i="1"/>
  <c r="AE623" i="1" s="1"/>
  <c r="AD623" i="1"/>
  <c r="AF59" i="1"/>
  <c r="AD59" i="1"/>
  <c r="AB59" i="1"/>
  <c r="AE59" i="1" s="1"/>
  <c r="AF578" i="1"/>
  <c r="AD578" i="1"/>
  <c r="AB578" i="1"/>
  <c r="AE578" i="1" s="1"/>
  <c r="AF548" i="1"/>
  <c r="AD548" i="1"/>
  <c r="AB548" i="1"/>
  <c r="AE548" i="1" s="1"/>
  <c r="AF516" i="1"/>
  <c r="AD516" i="1"/>
  <c r="AB516" i="1"/>
  <c r="AE516" i="1" s="1"/>
  <c r="AF451" i="1"/>
  <c r="AD451" i="1"/>
  <c r="AB451" i="1"/>
  <c r="AE451" i="1" s="1"/>
  <c r="AF388" i="1"/>
  <c r="AD388" i="1"/>
  <c r="AB388" i="1"/>
  <c r="AE388" i="1" s="1"/>
  <c r="AF356" i="1"/>
  <c r="AD356" i="1"/>
  <c r="AB356" i="1"/>
  <c r="AE356" i="1" s="1"/>
  <c r="AF323" i="1"/>
  <c r="AD323" i="1"/>
  <c r="AB323" i="1"/>
  <c r="AE323" i="1" s="1"/>
  <c r="AF259" i="1"/>
  <c r="AD259" i="1"/>
  <c r="AB259" i="1"/>
  <c r="AE259" i="1" s="1"/>
  <c r="AF195" i="1"/>
  <c r="AD195" i="1"/>
  <c r="AB195" i="1"/>
  <c r="AE195" i="1" s="1"/>
  <c r="AF164" i="1"/>
  <c r="AD164" i="1"/>
  <c r="AB164" i="1"/>
  <c r="AE164" i="1" s="1"/>
  <c r="AF130" i="1"/>
  <c r="AD130" i="1"/>
  <c r="AB130" i="1"/>
  <c r="AE130" i="1" s="1"/>
  <c r="AF63" i="1"/>
  <c r="AD63" i="1"/>
  <c r="AB63" i="1"/>
  <c r="AE63" i="1" s="1"/>
  <c r="AD3" i="1"/>
  <c r="AF3" i="1"/>
  <c r="AB3" i="1"/>
  <c r="AE3" i="1" s="1"/>
  <c r="AF498" i="1"/>
  <c r="AB498" i="1"/>
  <c r="AE498" i="1" s="1"/>
  <c r="AD498" i="1"/>
  <c r="AF396" i="1"/>
  <c r="AD396" i="1"/>
  <c r="AB396" i="1"/>
  <c r="AE396" i="1" s="1"/>
  <c r="AF274" i="1"/>
  <c r="AD274" i="1"/>
  <c r="AB274" i="1"/>
  <c r="AE274" i="1" s="1"/>
  <c r="AF449" i="1"/>
  <c r="AD449" i="1"/>
  <c r="AB449" i="1"/>
  <c r="AE449" i="1" s="1"/>
  <c r="AF194" i="1"/>
  <c r="AD194" i="1"/>
  <c r="AB194" i="1"/>
  <c r="AE194" i="1" s="1"/>
  <c r="AF482" i="1"/>
  <c r="AD482" i="1"/>
  <c r="AB482" i="1"/>
  <c r="AE482" i="1" s="1"/>
  <c r="AF226" i="1"/>
  <c r="AD226" i="1"/>
  <c r="AB226" i="1"/>
  <c r="AE226" i="1" s="1"/>
  <c r="AF444" i="1"/>
  <c r="AD444" i="1"/>
  <c r="AB444" i="1"/>
  <c r="AE444" i="1" s="1"/>
  <c r="AF186" i="1"/>
  <c r="AD186" i="1"/>
  <c r="AB186" i="1"/>
  <c r="AE186" i="1" s="1"/>
  <c r="AF534" i="1"/>
  <c r="AB534" i="1"/>
  <c r="AE534" i="1" s="1"/>
  <c r="AD534" i="1"/>
  <c r="AF277" i="1"/>
  <c r="AB277" i="1"/>
  <c r="AE277" i="1" s="1"/>
  <c r="AD277" i="1"/>
  <c r="AF152" i="1"/>
  <c r="AB152" i="1"/>
  <c r="AE152" i="1" s="1"/>
  <c r="AD152" i="1"/>
  <c r="AF23" i="1"/>
  <c r="AB23" i="1"/>
  <c r="AE23" i="1" s="1"/>
  <c r="AD23" i="1"/>
  <c r="AF600" i="1"/>
  <c r="AB600" i="1"/>
  <c r="AE600" i="1" s="1"/>
  <c r="AD600" i="1"/>
  <c r="AF464" i="1"/>
  <c r="AB464" i="1"/>
  <c r="AE464" i="1" s="1"/>
  <c r="AD464" i="1"/>
  <c r="AF393" i="1"/>
  <c r="AB393" i="1"/>
  <c r="AE393" i="1" s="1"/>
  <c r="AD393" i="1"/>
  <c r="AD238" i="1"/>
  <c r="AF238" i="1"/>
  <c r="AB238" i="1"/>
  <c r="AE238" i="1" s="1"/>
  <c r="AF110" i="1"/>
  <c r="AD110" i="1"/>
  <c r="AB110" i="1"/>
  <c r="AE110" i="1" s="1"/>
  <c r="AF509" i="1"/>
  <c r="AD509" i="1"/>
  <c r="AB509" i="1"/>
  <c r="AE509" i="1" s="1"/>
  <c r="AF553" i="1"/>
  <c r="AD553" i="1"/>
  <c r="AB553" i="1"/>
  <c r="AE553" i="1" s="1"/>
  <c r="AF488" i="1"/>
  <c r="AD488" i="1"/>
  <c r="AB488" i="1"/>
  <c r="AE488" i="1" s="1"/>
  <c r="AF400" i="1"/>
  <c r="AD400" i="1"/>
  <c r="AB400" i="1"/>
  <c r="AE400" i="1" s="1"/>
  <c r="AF328" i="1"/>
  <c r="AB328" i="1"/>
  <c r="AE328" i="1" s="1"/>
  <c r="AD328" i="1"/>
  <c r="AF264" i="1"/>
  <c r="AD264" i="1"/>
  <c r="AB264" i="1"/>
  <c r="AE264" i="1" s="1"/>
  <c r="AF202" i="1"/>
  <c r="AD202" i="1"/>
  <c r="AB202" i="1"/>
  <c r="AE202" i="1" s="1"/>
  <c r="AF96" i="1"/>
  <c r="AD96" i="1"/>
  <c r="AB96" i="1"/>
  <c r="AE96" i="1" s="1"/>
  <c r="AF8" i="1"/>
  <c r="AD8" i="1"/>
  <c r="AB8" i="1"/>
  <c r="AE8" i="1" s="1"/>
  <c r="AF229" i="1"/>
  <c r="AD229" i="1"/>
  <c r="AB229" i="1"/>
  <c r="AE229" i="1" s="1"/>
  <c r="AF552" i="1"/>
  <c r="AD552" i="1"/>
  <c r="AB552" i="1"/>
  <c r="AE552" i="1" s="1"/>
  <c r="AF297" i="1"/>
  <c r="AD297" i="1"/>
  <c r="AB297" i="1"/>
  <c r="AE297" i="1" s="1"/>
  <c r="AF40" i="1"/>
  <c r="AD40" i="1"/>
  <c r="AB40" i="1"/>
  <c r="AE40" i="1" s="1"/>
  <c r="AF415" i="1"/>
  <c r="AD415" i="1"/>
  <c r="AB415" i="1"/>
  <c r="AE415" i="1" s="1"/>
  <c r="AF531" i="1"/>
  <c r="AD531" i="1"/>
  <c r="AB531" i="1"/>
  <c r="AE531" i="1" s="1"/>
  <c r="AF427" i="1"/>
  <c r="AD427" i="1"/>
  <c r="AB427" i="1"/>
  <c r="AE427" i="1" s="1"/>
  <c r="AF137" i="1"/>
  <c r="AB137" i="1"/>
  <c r="AE137" i="1" s="1"/>
  <c r="AD137" i="1"/>
  <c r="AF11" i="1"/>
  <c r="AB11" i="1"/>
  <c r="AE11" i="1" s="1"/>
  <c r="AD11" i="1"/>
  <c r="AF191" i="1"/>
  <c r="AD191" i="1"/>
  <c r="AB191" i="1"/>
  <c r="AE191" i="1" s="1"/>
  <c r="AD569" i="1"/>
  <c r="AB569" i="1"/>
  <c r="AE569" i="1" s="1"/>
  <c r="AF569" i="1"/>
  <c r="AF450" i="1"/>
  <c r="AD450" i="1"/>
  <c r="AB450" i="1"/>
  <c r="AE450" i="1" s="1"/>
  <c r="AF192" i="1"/>
  <c r="AB192" i="1"/>
  <c r="AE192" i="1" s="1"/>
  <c r="AD192" i="1"/>
  <c r="AB425" i="1"/>
  <c r="AE425" i="1" s="1"/>
  <c r="AF425" i="1"/>
  <c r="AD425" i="1"/>
  <c r="AD169" i="1"/>
  <c r="AF169" i="1"/>
  <c r="AB169" i="1"/>
  <c r="AE169" i="1" s="1"/>
  <c r="AF614" i="1"/>
  <c r="AB614" i="1"/>
  <c r="AE614" i="1" s="1"/>
  <c r="AD614" i="1"/>
  <c r="AF541" i="1"/>
  <c r="AD541" i="1"/>
  <c r="AB541" i="1"/>
  <c r="AE541" i="1" s="1"/>
  <c r="AF501" i="1"/>
  <c r="AD501" i="1"/>
  <c r="AB501" i="1"/>
  <c r="AE501" i="1" s="1"/>
  <c r="AF461" i="1"/>
  <c r="AB461" i="1"/>
  <c r="AE461" i="1" s="1"/>
  <c r="AD461" i="1"/>
  <c r="AF381" i="1"/>
  <c r="AD381" i="1"/>
  <c r="AB381" i="1"/>
  <c r="AE381" i="1" s="1"/>
  <c r="AF318" i="1"/>
  <c r="AD318" i="1"/>
  <c r="AB318" i="1"/>
  <c r="AE318" i="1" s="1"/>
  <c r="AF286" i="1"/>
  <c r="AD286" i="1"/>
  <c r="AB286" i="1"/>
  <c r="AE286" i="1" s="1"/>
  <c r="AF247" i="1"/>
  <c r="AB247" i="1"/>
  <c r="AE247" i="1" s="1"/>
  <c r="AD247" i="1"/>
  <c r="AF205" i="1"/>
  <c r="AD205" i="1"/>
  <c r="AB205" i="1"/>
  <c r="AE205" i="1" s="1"/>
  <c r="AF126" i="1"/>
  <c r="AD126" i="1"/>
  <c r="AB126" i="1"/>
  <c r="AE126" i="1" s="1"/>
  <c r="AF62" i="1"/>
  <c r="AB62" i="1"/>
  <c r="AE62" i="1" s="1"/>
  <c r="AD62" i="1"/>
  <c r="AD33" i="1"/>
  <c r="AB33" i="1"/>
  <c r="AE33" i="1" s="1"/>
  <c r="AF33" i="1"/>
  <c r="AF629" i="1"/>
  <c r="AD629" i="1"/>
  <c r="AB629" i="1"/>
  <c r="AE629" i="1" s="1"/>
  <c r="AF598" i="1"/>
  <c r="AD598" i="1"/>
  <c r="AB598" i="1"/>
  <c r="AE598" i="1" s="1"/>
  <c r="AF565" i="1"/>
  <c r="AD565" i="1"/>
  <c r="AB565" i="1"/>
  <c r="AE565" i="1" s="1"/>
  <c r="AF525" i="1"/>
  <c r="AD525" i="1"/>
  <c r="AB525" i="1"/>
  <c r="AE525" i="1" s="1"/>
  <c r="AF453" i="1"/>
  <c r="AB453" i="1"/>
  <c r="AE453" i="1" s="1"/>
  <c r="AD453" i="1"/>
  <c r="AF365" i="1"/>
  <c r="AB365" i="1"/>
  <c r="AE365" i="1" s="1"/>
  <c r="AD365" i="1"/>
  <c r="AF325" i="1"/>
  <c r="AB325" i="1"/>
  <c r="AE325" i="1" s="1"/>
  <c r="AD325" i="1"/>
  <c r="AF292" i="1"/>
  <c r="AB292" i="1"/>
  <c r="AE292" i="1" s="1"/>
  <c r="AD292" i="1"/>
  <c r="AF245" i="1"/>
  <c r="AB245" i="1"/>
  <c r="AE245" i="1" s="1"/>
  <c r="AD245" i="1"/>
  <c r="AB180" i="1"/>
  <c r="AE180" i="1" s="1"/>
  <c r="AD180" i="1"/>
  <c r="AF180" i="1"/>
  <c r="AD84" i="1"/>
  <c r="AB84" i="1"/>
  <c r="AE84" i="1" s="1"/>
  <c r="AF84" i="1"/>
  <c r="AB53" i="1"/>
  <c r="AE53" i="1" s="1"/>
  <c r="AF53" i="1"/>
  <c r="AD53" i="1"/>
  <c r="AF13" i="1"/>
  <c r="AD13" i="1"/>
  <c r="AB13" i="1"/>
  <c r="AE13" i="1" s="1"/>
  <c r="AF401" i="1"/>
  <c r="AD401" i="1"/>
  <c r="AB401" i="1"/>
  <c r="AE401" i="1" s="1"/>
  <c r="AF621" i="1"/>
  <c r="AD621" i="1"/>
  <c r="AB621" i="1"/>
  <c r="AE621" i="1" s="1"/>
  <c r="AF533" i="1"/>
  <c r="AD533" i="1"/>
  <c r="AB533" i="1"/>
  <c r="AE533" i="1" s="1"/>
  <c r="AF500" i="1"/>
  <c r="AB500" i="1"/>
  <c r="AE500" i="1" s="1"/>
  <c r="AD500" i="1"/>
  <c r="AF404" i="1"/>
  <c r="AB404" i="1"/>
  <c r="AE404" i="1" s="1"/>
  <c r="AD404" i="1"/>
  <c r="AF371" i="1"/>
  <c r="AD371" i="1"/>
  <c r="AB371" i="1"/>
  <c r="AE371" i="1" s="1"/>
  <c r="AF275" i="1"/>
  <c r="AD275" i="1"/>
  <c r="AB275" i="1"/>
  <c r="AE275" i="1" s="1"/>
  <c r="AF181" i="1"/>
  <c r="AD181" i="1"/>
  <c r="AB181" i="1"/>
  <c r="AE181" i="1" s="1"/>
  <c r="AF118" i="1"/>
  <c r="AB118" i="1"/>
  <c r="AE118" i="1" s="1"/>
  <c r="AD118" i="1"/>
  <c r="AF51" i="1"/>
  <c r="AB51" i="1"/>
  <c r="AE51" i="1" s="1"/>
  <c r="AD51" i="1"/>
  <c r="AF282" i="1"/>
  <c r="AD282" i="1"/>
  <c r="AB282" i="1"/>
  <c r="AE282" i="1" s="1"/>
  <c r="AF570" i="1"/>
  <c r="AD570" i="1"/>
  <c r="AB570" i="1"/>
  <c r="AE570" i="1" s="1"/>
  <c r="AF476" i="1"/>
  <c r="AD476" i="1"/>
  <c r="AB476" i="1"/>
  <c r="AE476" i="1" s="1"/>
  <c r="AF379" i="1"/>
  <c r="AD379" i="1"/>
  <c r="AB379" i="1"/>
  <c r="AE379" i="1" s="1"/>
  <c r="AF317" i="1"/>
  <c r="AD317" i="1"/>
  <c r="AB317" i="1"/>
  <c r="AE317" i="1" s="1"/>
  <c r="AF252" i="1"/>
  <c r="AD252" i="1"/>
  <c r="AB252" i="1"/>
  <c r="AE252" i="1" s="1"/>
  <c r="AD187" i="1"/>
  <c r="AF187" i="1"/>
  <c r="AB187" i="1"/>
  <c r="AE187" i="1" s="1"/>
  <c r="AF123" i="1"/>
  <c r="AD123" i="1"/>
  <c r="AB123" i="1"/>
  <c r="AE123" i="1" s="1"/>
  <c r="AF25" i="1"/>
  <c r="AD25" i="1"/>
  <c r="AB25" i="1"/>
  <c r="AE25" i="1" s="1"/>
  <c r="AF610" i="1"/>
  <c r="AB610" i="1"/>
  <c r="AE610" i="1" s="1"/>
  <c r="AD610" i="1"/>
  <c r="AF242" i="1"/>
  <c r="AB242" i="1"/>
  <c r="AE242" i="1" s="1"/>
  <c r="AD242" i="1"/>
  <c r="AF115" i="1"/>
  <c r="AD115" i="1"/>
  <c r="AB115" i="1"/>
  <c r="AE115" i="1" s="1"/>
  <c r="AF399" i="1"/>
  <c r="AB399" i="1"/>
  <c r="AE399" i="1" s="1"/>
  <c r="AD399" i="1"/>
  <c r="AF176" i="1"/>
  <c r="AB176" i="1"/>
  <c r="AE176" i="1" s="1"/>
  <c r="AD176" i="1"/>
  <c r="AD409" i="1"/>
  <c r="AF409" i="1"/>
  <c r="AB409" i="1"/>
  <c r="AE409" i="1" s="1"/>
  <c r="AF591" i="1"/>
  <c r="AB591" i="1"/>
  <c r="AE591" i="1" s="1"/>
  <c r="AD591" i="1"/>
  <c r="AF504" i="1"/>
  <c r="AB504" i="1"/>
  <c r="AE504" i="1" s="1"/>
  <c r="AD504" i="1"/>
  <c r="AF375" i="1"/>
  <c r="AB375" i="1"/>
  <c r="AE375" i="1" s="1"/>
  <c r="AD375" i="1"/>
  <c r="AB246" i="1"/>
  <c r="AE246" i="1" s="1"/>
  <c r="AD246" i="1"/>
  <c r="AF246" i="1"/>
  <c r="AF119" i="1"/>
  <c r="AB119" i="1"/>
  <c r="AE119" i="1" s="1"/>
  <c r="AD119" i="1"/>
  <c r="AF513" i="1"/>
  <c r="AB513" i="1"/>
  <c r="AE513" i="1" s="1"/>
  <c r="AD513" i="1"/>
  <c r="AD448" i="1"/>
  <c r="AB448" i="1"/>
  <c r="AE448" i="1" s="1"/>
  <c r="AF448" i="1"/>
  <c r="AF384" i="1"/>
  <c r="AD384" i="1"/>
  <c r="AB384" i="1"/>
  <c r="AE384" i="1" s="1"/>
  <c r="AF288" i="1"/>
  <c r="AD288" i="1"/>
  <c r="AB288" i="1"/>
  <c r="AE288" i="1" s="1"/>
  <c r="AF224" i="1"/>
  <c r="AB224" i="1"/>
  <c r="AE224" i="1" s="1"/>
  <c r="AD224" i="1"/>
  <c r="AD136" i="1"/>
  <c r="AF136" i="1"/>
  <c r="AB136" i="1"/>
  <c r="AE136" i="1" s="1"/>
  <c r="AF88" i="1"/>
  <c r="AD88" i="1"/>
  <c r="AB88" i="1"/>
  <c r="AE88" i="1" s="1"/>
  <c r="AF16" i="1"/>
  <c r="AD16" i="1"/>
  <c r="AB16" i="1"/>
  <c r="AE16" i="1" s="1"/>
  <c r="AF149" i="1"/>
  <c r="AB149" i="1"/>
  <c r="AE149" i="1" s="1"/>
  <c r="AD149" i="1"/>
  <c r="AF285" i="1"/>
  <c r="AB285" i="1"/>
  <c r="AE285" i="1" s="1"/>
  <c r="AD285" i="1"/>
  <c r="AF560" i="1"/>
  <c r="AD560" i="1"/>
  <c r="AB560" i="1"/>
  <c r="AE560" i="1" s="1"/>
  <c r="AF625" i="1"/>
  <c r="AB625" i="1"/>
  <c r="AE625" i="1" s="1"/>
  <c r="AD625" i="1"/>
  <c r="AF536" i="1"/>
  <c r="AB536" i="1"/>
  <c r="AE536" i="1" s="1"/>
  <c r="AD536" i="1"/>
  <c r="AF472" i="1"/>
  <c r="AD472" i="1"/>
  <c r="AB472" i="1"/>
  <c r="AE472" i="1" s="1"/>
  <c r="AF376" i="1"/>
  <c r="AB376" i="1"/>
  <c r="AE376" i="1" s="1"/>
  <c r="AD376" i="1"/>
  <c r="AF312" i="1"/>
  <c r="AD312" i="1"/>
  <c r="AB312" i="1"/>
  <c r="AE312" i="1" s="1"/>
  <c r="AF250" i="1"/>
  <c r="AB250" i="1"/>
  <c r="AE250" i="1" s="1"/>
  <c r="AD250" i="1"/>
  <c r="AF193" i="1"/>
  <c r="AB193" i="1"/>
  <c r="AE193" i="1" s="1"/>
  <c r="AD193" i="1"/>
  <c r="AD66" i="1"/>
  <c r="AB66" i="1"/>
  <c r="AE66" i="1" s="1"/>
  <c r="AF66" i="1"/>
  <c r="AF559" i="1"/>
  <c r="AB559" i="1"/>
  <c r="AE559" i="1" s="1"/>
  <c r="AD559" i="1"/>
  <c r="AF336" i="1"/>
  <c r="AD336" i="1"/>
  <c r="AB336" i="1"/>
  <c r="AE336" i="1" s="1"/>
  <c r="AF162" i="1"/>
  <c r="AB162" i="1"/>
  <c r="AE162" i="1" s="1"/>
  <c r="AD162" i="1"/>
  <c r="AF572" i="1"/>
  <c r="AB572" i="1"/>
  <c r="AE572" i="1" s="1"/>
  <c r="AD572" i="1"/>
  <c r="AD313" i="1"/>
  <c r="AF313" i="1"/>
  <c r="AB313" i="1"/>
  <c r="AE313" i="1" s="1"/>
  <c r="AF490" i="1"/>
  <c r="AB490" i="1"/>
  <c r="AE490" i="1" s="1"/>
  <c r="AD490" i="1"/>
  <c r="AF200" i="1"/>
  <c r="AD200" i="1"/>
  <c r="AB200" i="1"/>
  <c r="AE200" i="1" s="1"/>
  <c r="AF596" i="1"/>
  <c r="AB596" i="1"/>
  <c r="AE596" i="1" s="1"/>
  <c r="AD596" i="1"/>
  <c r="AD593" i="1"/>
  <c r="AF593" i="1"/>
  <c r="AB593" i="1"/>
  <c r="AE593" i="1" s="1"/>
  <c r="AF385" i="1"/>
  <c r="AD385" i="1"/>
  <c r="AB385" i="1"/>
  <c r="AE385" i="1" s="1"/>
  <c r="AF290" i="1"/>
  <c r="AB290" i="1"/>
  <c r="AE290" i="1" s="1"/>
  <c r="AD290" i="1"/>
  <c r="AF271" i="1"/>
  <c r="AD271" i="1"/>
  <c r="AB271" i="1"/>
  <c r="AE271" i="1" s="1"/>
  <c r="AF631" i="1"/>
  <c r="AD631" i="1"/>
  <c r="AB631" i="1"/>
  <c r="AE631" i="1" s="1"/>
  <c r="AF597" i="1"/>
  <c r="AD597" i="1"/>
  <c r="AB597" i="1"/>
  <c r="AE597" i="1" s="1"/>
  <c r="AF556" i="1"/>
  <c r="AD556" i="1"/>
  <c r="AB556" i="1"/>
  <c r="AE556" i="1" s="1"/>
  <c r="AF518" i="1"/>
  <c r="AD518" i="1"/>
  <c r="AB518" i="1"/>
  <c r="AE518" i="1" s="1"/>
  <c r="AF446" i="1"/>
  <c r="AD446" i="1"/>
  <c r="AB446" i="1"/>
  <c r="AE446" i="1" s="1"/>
  <c r="AF406" i="1"/>
  <c r="AD406" i="1"/>
  <c r="AB406" i="1"/>
  <c r="AE406" i="1" s="1"/>
  <c r="AF366" i="1"/>
  <c r="AB366" i="1"/>
  <c r="AE366" i="1" s="1"/>
  <c r="AD366" i="1"/>
  <c r="AF334" i="1"/>
  <c r="AD334" i="1"/>
  <c r="AB334" i="1"/>
  <c r="AE334" i="1" s="1"/>
  <c r="AF302" i="1"/>
  <c r="AD302" i="1"/>
  <c r="AB302" i="1"/>
  <c r="AE302" i="1" s="1"/>
  <c r="AF262" i="1"/>
  <c r="AB262" i="1"/>
  <c r="AE262" i="1" s="1"/>
  <c r="AD262" i="1"/>
  <c r="AF189" i="1"/>
  <c r="AD189" i="1"/>
  <c r="AB189" i="1"/>
  <c r="AE189" i="1" s="1"/>
  <c r="AF112" i="1"/>
  <c r="AD112" i="1"/>
  <c r="AB112" i="1"/>
  <c r="AE112" i="1" s="1"/>
  <c r="AF79" i="1"/>
  <c r="AD79" i="1"/>
  <c r="AB79" i="1"/>
  <c r="AE79" i="1" s="1"/>
  <c r="AF46" i="1"/>
  <c r="AD46" i="1"/>
  <c r="AB46" i="1"/>
  <c r="AE46" i="1" s="1"/>
  <c r="AF6" i="1"/>
  <c r="AB6" i="1"/>
  <c r="AE6" i="1" s="1"/>
  <c r="AD6" i="1"/>
  <c r="AF151" i="1"/>
  <c r="AD151" i="1"/>
  <c r="AB151" i="1"/>
  <c r="AE151" i="1" s="1"/>
  <c r="AF613" i="1"/>
  <c r="AD613" i="1"/>
  <c r="AB613" i="1"/>
  <c r="AE613" i="1" s="1"/>
  <c r="AF549" i="1"/>
  <c r="AB549" i="1"/>
  <c r="AE549" i="1" s="1"/>
  <c r="AD549" i="1"/>
  <c r="AF502" i="1"/>
  <c r="AB502" i="1"/>
  <c r="AE502" i="1" s="1"/>
  <c r="AD502" i="1"/>
  <c r="AF469" i="1"/>
  <c r="AD469" i="1"/>
  <c r="AB469" i="1"/>
  <c r="AE469" i="1" s="1"/>
  <c r="AF437" i="1"/>
  <c r="AB437" i="1"/>
  <c r="AE437" i="1" s="1"/>
  <c r="AD437" i="1"/>
  <c r="AF397" i="1"/>
  <c r="AD397" i="1"/>
  <c r="AB397" i="1"/>
  <c r="AE397" i="1" s="1"/>
  <c r="AF341" i="1"/>
  <c r="AD341" i="1"/>
  <c r="AB341" i="1"/>
  <c r="AE341" i="1" s="1"/>
  <c r="AB309" i="1"/>
  <c r="AE309" i="1" s="1"/>
  <c r="AF309" i="1"/>
  <c r="AD309" i="1"/>
  <c r="AD269" i="1"/>
  <c r="AB269" i="1"/>
  <c r="AE269" i="1" s="1"/>
  <c r="AF269" i="1"/>
  <c r="AF231" i="1"/>
  <c r="AB231" i="1"/>
  <c r="AE231" i="1" s="1"/>
  <c r="AD231" i="1"/>
  <c r="AB197" i="1"/>
  <c r="AE197" i="1" s="1"/>
  <c r="AF197" i="1"/>
  <c r="AD197" i="1"/>
  <c r="AF166" i="1"/>
  <c r="AB166" i="1"/>
  <c r="AE166" i="1" s="1"/>
  <c r="AD166" i="1"/>
  <c r="AF109" i="1"/>
  <c r="AB109" i="1"/>
  <c r="AE109" i="1" s="1"/>
  <c r="AD109" i="1"/>
  <c r="AF68" i="1"/>
  <c r="AB68" i="1"/>
  <c r="AE68" i="1" s="1"/>
  <c r="AD68" i="1"/>
  <c r="AF37" i="1"/>
  <c r="AB37" i="1"/>
  <c r="AE37" i="1" s="1"/>
  <c r="AD37" i="1"/>
  <c r="AF582" i="1"/>
  <c r="AD582" i="1"/>
  <c r="AB582" i="1"/>
  <c r="AE582" i="1" s="1"/>
  <c r="AF304" i="1"/>
  <c r="AD304" i="1"/>
  <c r="AB304" i="1"/>
  <c r="AE304" i="1" s="1"/>
  <c r="AD104" i="1"/>
  <c r="AB104" i="1"/>
  <c r="AE104" i="1" s="1"/>
  <c r="AF104" i="1"/>
  <c r="AF540" i="1"/>
  <c r="AB540" i="1"/>
  <c r="AE540" i="1" s="1"/>
  <c r="AD540" i="1"/>
  <c r="AF281" i="1"/>
  <c r="AD281" i="1"/>
  <c r="AB281" i="1"/>
  <c r="AE281" i="1" s="1"/>
  <c r="AF26" i="1"/>
  <c r="AB26" i="1"/>
  <c r="AE26" i="1" s="1"/>
  <c r="AD26" i="1"/>
  <c r="AF547" i="1"/>
  <c r="AD547" i="1"/>
  <c r="AB547" i="1"/>
  <c r="AE547" i="1" s="1"/>
  <c r="AF515" i="1"/>
  <c r="AD515" i="1"/>
  <c r="AB515" i="1"/>
  <c r="AE515" i="1" s="1"/>
  <c r="AF483" i="1"/>
  <c r="AD483" i="1"/>
  <c r="AB483" i="1"/>
  <c r="AE483" i="1" s="1"/>
  <c r="AD452" i="1"/>
  <c r="AB452" i="1"/>
  <c r="AE452" i="1" s="1"/>
  <c r="AF452" i="1"/>
  <c r="AF421" i="1"/>
  <c r="AD421" i="1"/>
  <c r="AB421" i="1"/>
  <c r="AE421" i="1" s="1"/>
  <c r="AF355" i="1"/>
  <c r="AB355" i="1"/>
  <c r="AE355" i="1" s="1"/>
  <c r="AD355" i="1"/>
  <c r="AD322" i="1"/>
  <c r="AF322" i="1"/>
  <c r="AB322" i="1"/>
  <c r="AE322" i="1" s="1"/>
  <c r="AB293" i="1"/>
  <c r="AE293" i="1" s="1"/>
  <c r="AF293" i="1"/>
  <c r="AD293" i="1"/>
  <c r="AF228" i="1"/>
  <c r="AD228" i="1"/>
  <c r="AB228" i="1"/>
  <c r="AE228" i="1" s="1"/>
  <c r="AF132" i="1"/>
  <c r="AB132" i="1"/>
  <c r="AE132" i="1" s="1"/>
  <c r="AD132" i="1"/>
  <c r="AF408" i="1"/>
  <c r="AD408" i="1"/>
  <c r="AB408" i="1"/>
  <c r="AE408" i="1" s="1"/>
  <c r="AD506" i="1"/>
  <c r="AB506" i="1"/>
  <c r="AE506" i="1" s="1"/>
  <c r="AF506" i="1"/>
  <c r="AF628" i="1"/>
  <c r="AD628" i="1"/>
  <c r="AB628" i="1"/>
  <c r="AE628" i="1" s="1"/>
  <c r="AF577" i="1"/>
  <c r="AD577" i="1"/>
  <c r="AB577" i="1"/>
  <c r="AE577" i="1" s="1"/>
  <c r="AF508" i="1"/>
  <c r="AD508" i="1"/>
  <c r="AB508" i="1"/>
  <c r="AE508" i="1" s="1"/>
  <c r="AF442" i="1"/>
  <c r="AD442" i="1"/>
  <c r="AB442" i="1"/>
  <c r="AE442" i="1" s="1"/>
  <c r="AF412" i="1"/>
  <c r="AD412" i="1"/>
  <c r="AB412" i="1"/>
  <c r="AE412" i="1" s="1"/>
  <c r="AF316" i="1"/>
  <c r="AB316" i="1"/>
  <c r="AE316" i="1" s="1"/>
  <c r="AD316" i="1"/>
  <c r="AF124" i="1"/>
  <c r="AD124" i="1"/>
  <c r="AB124" i="1"/>
  <c r="AE124" i="1" s="1"/>
  <c r="AF314" i="1"/>
  <c r="AD314" i="1"/>
  <c r="AB314" i="1"/>
  <c r="AE314" i="1" s="1"/>
  <c r="AF484" i="1"/>
  <c r="AD484" i="1"/>
  <c r="AB484" i="1"/>
  <c r="AE484" i="1" s="1"/>
  <c r="AF291" i="1"/>
  <c r="AD291" i="1"/>
  <c r="AB291" i="1"/>
  <c r="AE291" i="1" s="1"/>
  <c r="AD100" i="1"/>
  <c r="AB100" i="1"/>
  <c r="AE100" i="1" s="1"/>
  <c r="AF100" i="1"/>
  <c r="AF144" i="1"/>
  <c r="AD144" i="1"/>
  <c r="AB144" i="1"/>
  <c r="AE144" i="1" s="1"/>
  <c r="AF599" i="1"/>
  <c r="AB599" i="1"/>
  <c r="AE599" i="1" s="1"/>
  <c r="AD599" i="1"/>
  <c r="AF528" i="1"/>
  <c r="AD528" i="1"/>
  <c r="AB528" i="1"/>
  <c r="AE528" i="1" s="1"/>
  <c r="AF146" i="1"/>
  <c r="AD146" i="1"/>
  <c r="AB146" i="1"/>
  <c r="AE146" i="1" s="1"/>
  <c r="AF487" i="1"/>
  <c r="AD487" i="1"/>
  <c r="AB487" i="1"/>
  <c r="AE487" i="1" s="1"/>
  <c r="AF266" i="1"/>
  <c r="AB266" i="1"/>
  <c r="AE266" i="1" s="1"/>
  <c r="AD266" i="1"/>
  <c r="AF617" i="1"/>
  <c r="AD617" i="1"/>
  <c r="AB617" i="1"/>
  <c r="AE617" i="1" s="1"/>
  <c r="AF65" i="1"/>
  <c r="AD65" i="1"/>
  <c r="AB65" i="1"/>
  <c r="AE65" i="1" s="1"/>
  <c r="AF573" i="1"/>
  <c r="AB573" i="1"/>
  <c r="AE573" i="1" s="1"/>
  <c r="AD573" i="1"/>
  <c r="AF350" i="1"/>
  <c r="AD350" i="1"/>
  <c r="AB350" i="1"/>
  <c r="AE350" i="1" s="1"/>
  <c r="AF95" i="1"/>
  <c r="AD95" i="1"/>
  <c r="AB95" i="1"/>
  <c r="AE95" i="1" s="1"/>
  <c r="AF373" i="1"/>
  <c r="AD373" i="1"/>
  <c r="AB373" i="1"/>
  <c r="AE373" i="1" s="1"/>
  <c r="AF420" i="1"/>
  <c r="AD420" i="1"/>
  <c r="AB420" i="1"/>
  <c r="AE420" i="1" s="1"/>
  <c r="AF142" i="1"/>
  <c r="AB142" i="1"/>
  <c r="AE142" i="1" s="1"/>
  <c r="AD142" i="1"/>
  <c r="AF627" i="1"/>
  <c r="AD627" i="1"/>
  <c r="AB627" i="1"/>
  <c r="AE627" i="1" s="1"/>
  <c r="AF564" i="1"/>
  <c r="AD564" i="1"/>
  <c r="AB564" i="1"/>
  <c r="AE564" i="1" s="1"/>
  <c r="AF436" i="1"/>
  <c r="AD436" i="1"/>
  <c r="AB436" i="1"/>
  <c r="AE436" i="1" s="1"/>
  <c r="AF308" i="1"/>
  <c r="AB308" i="1"/>
  <c r="AE308" i="1" s="1"/>
  <c r="AD308" i="1"/>
  <c r="AB213" i="1"/>
  <c r="AE213" i="1" s="1"/>
  <c r="AD213" i="1"/>
  <c r="AF213" i="1"/>
  <c r="AD85" i="1"/>
  <c r="AB85" i="1"/>
  <c r="AE85" i="1" s="1"/>
  <c r="AF85" i="1"/>
  <c r="AF537" i="1"/>
  <c r="AB537" i="1"/>
  <c r="AE537" i="1" s="1"/>
  <c r="AD537" i="1"/>
  <c r="AF603" i="1"/>
  <c r="AD603" i="1"/>
  <c r="AB603" i="1"/>
  <c r="AE603" i="1" s="1"/>
  <c r="AD507" i="1"/>
  <c r="AF507" i="1"/>
  <c r="AB507" i="1"/>
  <c r="AE507" i="1" s="1"/>
  <c r="AD411" i="1"/>
  <c r="AF411" i="1"/>
  <c r="AB411" i="1"/>
  <c r="AE411" i="1" s="1"/>
  <c r="AF283" i="1"/>
  <c r="AD283" i="1"/>
  <c r="AB283" i="1"/>
  <c r="AE283" i="1" s="1"/>
  <c r="AF155" i="1"/>
  <c r="AB155" i="1"/>
  <c r="AE155" i="1" s="1"/>
  <c r="AD155" i="1"/>
  <c r="AF58" i="1"/>
  <c r="AD58" i="1"/>
  <c r="AB58" i="1"/>
  <c r="AE58" i="1" s="1"/>
  <c r="AF370" i="1"/>
  <c r="AD370" i="1"/>
  <c r="AB370" i="1"/>
  <c r="AE370" i="1" s="1"/>
  <c r="AF431" i="1"/>
  <c r="AB431" i="1"/>
  <c r="AE431" i="1" s="1"/>
  <c r="AD431" i="1"/>
  <c r="AF153" i="1"/>
  <c r="AD153" i="1"/>
  <c r="AB153" i="1"/>
  <c r="AE153" i="1" s="1"/>
  <c r="AF604" i="1"/>
  <c r="AD604" i="1"/>
  <c r="AB604" i="1"/>
  <c r="AE604" i="1" s="1"/>
  <c r="AF386" i="1"/>
  <c r="AD386" i="1"/>
  <c r="AB386" i="1"/>
  <c r="AE386" i="1" s="1"/>
  <c r="AF131" i="1"/>
  <c r="AD131" i="1"/>
  <c r="AB131" i="1"/>
  <c r="AE131" i="1" s="1"/>
  <c r="AF520" i="1"/>
  <c r="AB520" i="1"/>
  <c r="AE520" i="1" s="1"/>
  <c r="AD520" i="1"/>
  <c r="AF261" i="1"/>
  <c r="AD261" i="1"/>
  <c r="AB261" i="1"/>
  <c r="AE261" i="1" s="1"/>
  <c r="AF7" i="1"/>
  <c r="AB7" i="1"/>
  <c r="AE7" i="1" s="1"/>
  <c r="AD7" i="1"/>
  <c r="AF345" i="1"/>
  <c r="AD345" i="1"/>
  <c r="AB345" i="1"/>
  <c r="AE345" i="1" s="1"/>
  <c r="AF89" i="1"/>
  <c r="AD89" i="1"/>
  <c r="AB89" i="1"/>
  <c r="AE89" i="1" s="1"/>
  <c r="AF522" i="1"/>
  <c r="AD522" i="1"/>
  <c r="AB522" i="1"/>
  <c r="AE522" i="1" s="1"/>
  <c r="AF361" i="1"/>
  <c r="AD361" i="1"/>
  <c r="AB361" i="1"/>
  <c r="AE361" i="1" s="1"/>
  <c r="AF235" i="1"/>
  <c r="AB235" i="1"/>
  <c r="AE235" i="1" s="1"/>
  <c r="AD235" i="1"/>
  <c r="AF106" i="1"/>
  <c r="AB106" i="1"/>
  <c r="AE106" i="1" s="1"/>
  <c r="AD106" i="1"/>
  <c r="AF377" i="1"/>
  <c r="AD377" i="1"/>
  <c r="AB377" i="1"/>
  <c r="AE377" i="1" s="1"/>
  <c r="AF120" i="1"/>
  <c r="AD120" i="1"/>
  <c r="AB120" i="1"/>
  <c r="AE120" i="1" s="1"/>
  <c r="AF602" i="1"/>
  <c r="AD602" i="1"/>
  <c r="AB602" i="1"/>
  <c r="AE602" i="1" s="1"/>
  <c r="AF545" i="1"/>
  <c r="AD545" i="1"/>
  <c r="AB545" i="1"/>
  <c r="AE545" i="1" s="1"/>
  <c r="AF418" i="1"/>
  <c r="AD418" i="1"/>
  <c r="AB418" i="1"/>
  <c r="AE418" i="1" s="1"/>
  <c r="AF289" i="1"/>
  <c r="AD289" i="1"/>
  <c r="AB289" i="1"/>
  <c r="AE289" i="1" s="1"/>
  <c r="AF161" i="1"/>
  <c r="AD161" i="1"/>
  <c r="AB161" i="1"/>
  <c r="AE161" i="1" s="1"/>
  <c r="AF30" i="1"/>
  <c r="AB30" i="1"/>
  <c r="AE30" i="1" s="1"/>
  <c r="AD30" i="1"/>
  <c r="AF585" i="1"/>
  <c r="AB585" i="1"/>
  <c r="AE585" i="1" s="1"/>
  <c r="AD585" i="1"/>
  <c r="AB390" i="1"/>
  <c r="AE390" i="1" s="1"/>
  <c r="AF390" i="1"/>
  <c r="AD390" i="1"/>
  <c r="AD135" i="1"/>
  <c r="AF135" i="1"/>
  <c r="AB135" i="1"/>
  <c r="AE135" i="1" s="1"/>
  <c r="AF605" i="1"/>
  <c r="AD605" i="1"/>
  <c r="AB605" i="1"/>
  <c r="AE605" i="1" s="1"/>
  <c r="AF568" i="1"/>
  <c r="AD568" i="1"/>
  <c r="AB568" i="1"/>
  <c r="AE568" i="1" s="1"/>
  <c r="AF535" i="1"/>
  <c r="AD535" i="1"/>
  <c r="AB535" i="1"/>
  <c r="AE535" i="1" s="1"/>
  <c r="AF486" i="1"/>
  <c r="AB486" i="1"/>
  <c r="AE486" i="1" s="1"/>
  <c r="AD486" i="1"/>
  <c r="AF455" i="1"/>
  <c r="AD455" i="1"/>
  <c r="AB455" i="1"/>
  <c r="AE455" i="1" s="1"/>
  <c r="AF414" i="1"/>
  <c r="AD414" i="1"/>
  <c r="AB414" i="1"/>
  <c r="AE414" i="1" s="1"/>
  <c r="AF374" i="1"/>
  <c r="AD374" i="1"/>
  <c r="AB374" i="1"/>
  <c r="AE374" i="1" s="1"/>
  <c r="AF343" i="1"/>
  <c r="AD343" i="1"/>
  <c r="AB343" i="1"/>
  <c r="AE343" i="1" s="1"/>
  <c r="AF310" i="1"/>
  <c r="AB310" i="1"/>
  <c r="AE310" i="1" s="1"/>
  <c r="AD310" i="1"/>
  <c r="AD278" i="1"/>
  <c r="AB278" i="1"/>
  <c r="AE278" i="1" s="1"/>
  <c r="AF278" i="1"/>
  <c r="AF230" i="1"/>
  <c r="AD230" i="1"/>
  <c r="AB230" i="1"/>
  <c r="AE230" i="1" s="1"/>
  <c r="AF198" i="1"/>
  <c r="AB198" i="1"/>
  <c r="AE198" i="1" s="1"/>
  <c r="AD198" i="1"/>
  <c r="AF158" i="1"/>
  <c r="AD158" i="1"/>
  <c r="AB158" i="1"/>
  <c r="AE158" i="1" s="1"/>
  <c r="AF116" i="1"/>
  <c r="AB116" i="1"/>
  <c r="AE116" i="1" s="1"/>
  <c r="AD116" i="1"/>
  <c r="AF87" i="1"/>
  <c r="AB87" i="1"/>
  <c r="AE87" i="1" s="1"/>
  <c r="AD87" i="1"/>
  <c r="AF54" i="1"/>
  <c r="AB54" i="1"/>
  <c r="AE54" i="1" s="1"/>
  <c r="AD54" i="1"/>
  <c r="AF22" i="1"/>
  <c r="AD22" i="1"/>
  <c r="AB22" i="1"/>
  <c r="AE22" i="1" s="1"/>
  <c r="AF620" i="1"/>
  <c r="AD620" i="1"/>
  <c r="AB620" i="1"/>
  <c r="AE620" i="1" s="1"/>
  <c r="AF588" i="1"/>
  <c r="AD588" i="1"/>
  <c r="AB588" i="1"/>
  <c r="AE588" i="1" s="1"/>
  <c r="AF557" i="1"/>
  <c r="AD557" i="1"/>
  <c r="AB557" i="1"/>
  <c r="AE557" i="1" s="1"/>
  <c r="AF517" i="1"/>
  <c r="AD517" i="1"/>
  <c r="AB517" i="1"/>
  <c r="AE517" i="1" s="1"/>
  <c r="AF478" i="1"/>
  <c r="AB478" i="1"/>
  <c r="AE478" i="1" s="1"/>
  <c r="AD478" i="1"/>
  <c r="AF445" i="1"/>
  <c r="AB445" i="1"/>
  <c r="AE445" i="1" s="1"/>
  <c r="AD445" i="1"/>
  <c r="AF413" i="1"/>
  <c r="AB413" i="1"/>
  <c r="AE413" i="1" s="1"/>
  <c r="AD413" i="1"/>
  <c r="AF351" i="1"/>
  <c r="AD351" i="1"/>
  <c r="AB351" i="1"/>
  <c r="AE351" i="1" s="1"/>
  <c r="AF315" i="1"/>
  <c r="AB315" i="1"/>
  <c r="AE315" i="1" s="1"/>
  <c r="AD315" i="1"/>
  <c r="AD279" i="1"/>
  <c r="AF279" i="1"/>
  <c r="AB279" i="1"/>
  <c r="AE279" i="1" s="1"/>
  <c r="AF236" i="1"/>
  <c r="AB236" i="1"/>
  <c r="AE236" i="1" s="1"/>
  <c r="AD236" i="1"/>
  <c r="AF206" i="1"/>
  <c r="AD206" i="1"/>
  <c r="AB206" i="1"/>
  <c r="AE206" i="1" s="1"/>
  <c r="AF173" i="1"/>
  <c r="AB173" i="1"/>
  <c r="AE173" i="1" s="1"/>
  <c r="AD173" i="1"/>
  <c r="AF125" i="1"/>
  <c r="AD125" i="1"/>
  <c r="AB125" i="1"/>
  <c r="AE125" i="1" s="1"/>
  <c r="AB77" i="1"/>
  <c r="AE77" i="1" s="1"/>
  <c r="AF77" i="1"/>
  <c r="AD77" i="1"/>
  <c r="AF45" i="1"/>
  <c r="AB45" i="1"/>
  <c r="AE45" i="1" s="1"/>
  <c r="AD45" i="1"/>
  <c r="AF101" i="1"/>
  <c r="AB101" i="1"/>
  <c r="AE101" i="1" s="1"/>
  <c r="AD101" i="1"/>
  <c r="AF183" i="1"/>
  <c r="AB183" i="1"/>
  <c r="AE183" i="1" s="1"/>
  <c r="AD183" i="1"/>
  <c r="AF29" i="1"/>
  <c r="AD29" i="1"/>
  <c r="AB29" i="1"/>
  <c r="AE29" i="1" s="1"/>
  <c r="AF78" i="1"/>
  <c r="AD78" i="1"/>
  <c r="AB78" i="1"/>
  <c r="AE78" i="1" s="1"/>
  <c r="AF417" i="1"/>
  <c r="AB417" i="1"/>
  <c r="AE417" i="1" s="1"/>
  <c r="AD417" i="1"/>
  <c r="AF55" i="1"/>
  <c r="AD55" i="1"/>
  <c r="AB55" i="1"/>
  <c r="AE55" i="1" s="1"/>
  <c r="AF76" i="1"/>
  <c r="AB76" i="1"/>
  <c r="AE76" i="1" s="1"/>
  <c r="AD76" i="1"/>
  <c r="AF346" i="1"/>
  <c r="AD346" i="1"/>
  <c r="AB346" i="1"/>
  <c r="AE346" i="1" s="1"/>
  <c r="AF512" i="1"/>
  <c r="AB512" i="1"/>
  <c r="AE512" i="1" s="1"/>
  <c r="AD512" i="1"/>
  <c r="AF257" i="1"/>
  <c r="AB257" i="1"/>
  <c r="AE257" i="1" s="1"/>
  <c r="AD257" i="1"/>
  <c r="AF34" i="1"/>
  <c r="AB34" i="1"/>
  <c r="AE34" i="1" s="1"/>
  <c r="AD34" i="1"/>
  <c r="AF477" i="1"/>
  <c r="AD477" i="1"/>
  <c r="AB477" i="1"/>
  <c r="AE477" i="1" s="1"/>
  <c r="AF223" i="1"/>
  <c r="AD223" i="1"/>
  <c r="AB223" i="1"/>
  <c r="AE223" i="1" s="1"/>
  <c r="AF581" i="1"/>
  <c r="AD581" i="1"/>
  <c r="AB581" i="1"/>
  <c r="AE581" i="1" s="1"/>
  <c r="AF589" i="1"/>
  <c r="AD589" i="1"/>
  <c r="AB589" i="1"/>
  <c r="AE589" i="1" s="1"/>
  <c r="AF387" i="1"/>
  <c r="AD387" i="1"/>
  <c r="AB387" i="1"/>
  <c r="AE387" i="1" s="1"/>
  <c r="AF260" i="1"/>
  <c r="AD260" i="1"/>
  <c r="AB260" i="1"/>
  <c r="AE260" i="1" s="1"/>
  <c r="AF196" i="1"/>
  <c r="AD196" i="1"/>
  <c r="AB196" i="1"/>
  <c r="AE196" i="1" s="1"/>
  <c r="AF163" i="1"/>
  <c r="AB163" i="1"/>
  <c r="AE163" i="1" s="1"/>
  <c r="AD163" i="1"/>
  <c r="AF99" i="1"/>
  <c r="AB99" i="1"/>
  <c r="AE99" i="1" s="1"/>
  <c r="AD99" i="1"/>
  <c r="AF69" i="1"/>
  <c r="AB69" i="1"/>
  <c r="AE69" i="1" s="1"/>
  <c r="AD69" i="1"/>
  <c r="AF36" i="1"/>
  <c r="AB36" i="1"/>
  <c r="AE36" i="1" s="1"/>
  <c r="AD36" i="1"/>
  <c r="AF4" i="1"/>
  <c r="AB4" i="1"/>
  <c r="AE4" i="1" s="1"/>
  <c r="AD4" i="1"/>
  <c r="AB383" i="1"/>
  <c r="AE383" i="1" s="1"/>
  <c r="AD383" i="1"/>
  <c r="AF383" i="1"/>
  <c r="AF127" i="1"/>
  <c r="AB127" i="1"/>
  <c r="AE127" i="1" s="1"/>
  <c r="AD127" i="1"/>
  <c r="AD618" i="1"/>
  <c r="AF618" i="1"/>
  <c r="AB618" i="1"/>
  <c r="AE618" i="1" s="1"/>
  <c r="AF587" i="1"/>
  <c r="AD587" i="1"/>
  <c r="AB587" i="1"/>
  <c r="AE587" i="1" s="1"/>
  <c r="AF555" i="1"/>
  <c r="AD555" i="1"/>
  <c r="AB555" i="1"/>
  <c r="AE555" i="1" s="1"/>
  <c r="AD524" i="1"/>
  <c r="AB524" i="1"/>
  <c r="AE524" i="1" s="1"/>
  <c r="AF524" i="1"/>
  <c r="AF489" i="1"/>
  <c r="AD489" i="1"/>
  <c r="AB489" i="1"/>
  <c r="AE489" i="1" s="1"/>
  <c r="AF459" i="1"/>
  <c r="AD459" i="1"/>
  <c r="AB459" i="1"/>
  <c r="AE459" i="1" s="1"/>
  <c r="AF426" i="1"/>
  <c r="AD426" i="1"/>
  <c r="AB426" i="1"/>
  <c r="AE426" i="1" s="1"/>
  <c r="AF395" i="1"/>
  <c r="AD395" i="1"/>
  <c r="AB395" i="1"/>
  <c r="AE395" i="1" s="1"/>
  <c r="AD363" i="1"/>
  <c r="AF363" i="1"/>
  <c r="AB363" i="1"/>
  <c r="AE363" i="1" s="1"/>
  <c r="AF331" i="1"/>
  <c r="AD331" i="1"/>
  <c r="AB331" i="1"/>
  <c r="AE331" i="1" s="1"/>
  <c r="AF299" i="1"/>
  <c r="AD299" i="1"/>
  <c r="AB299" i="1"/>
  <c r="AE299" i="1" s="1"/>
  <c r="AF267" i="1"/>
  <c r="AD267" i="1"/>
  <c r="AB267" i="1"/>
  <c r="AE267" i="1" s="1"/>
  <c r="AF234" i="1"/>
  <c r="AD234" i="1"/>
  <c r="AB234" i="1"/>
  <c r="AE234" i="1" s="1"/>
  <c r="AD203" i="1"/>
  <c r="AB203" i="1"/>
  <c r="AE203" i="1" s="1"/>
  <c r="AF203" i="1"/>
  <c r="AF171" i="1"/>
  <c r="AB171" i="1"/>
  <c r="AE171" i="1" s="1"/>
  <c r="AD171" i="1"/>
  <c r="AF139" i="1"/>
  <c r="AB139" i="1"/>
  <c r="AE139" i="1" s="1"/>
  <c r="AD139" i="1"/>
  <c r="AF108" i="1"/>
  <c r="AB108" i="1"/>
  <c r="AE108" i="1" s="1"/>
  <c r="AD108" i="1"/>
  <c r="AF75" i="1"/>
  <c r="AD75" i="1"/>
  <c r="AB75" i="1"/>
  <c r="AE75" i="1" s="1"/>
  <c r="AF43" i="1"/>
  <c r="AB43" i="1"/>
  <c r="AE43" i="1" s="1"/>
  <c r="AD43" i="1"/>
  <c r="AF10" i="1"/>
  <c r="AD10" i="1"/>
  <c r="AB10" i="1"/>
  <c r="AE10" i="1" s="1"/>
  <c r="AF554" i="1"/>
  <c r="AB554" i="1"/>
  <c r="AE554" i="1" s="1"/>
  <c r="AD554" i="1"/>
  <c r="AF402" i="1"/>
  <c r="AB402" i="1"/>
  <c r="AE402" i="1" s="1"/>
  <c r="AD402" i="1"/>
  <c r="AF307" i="1"/>
  <c r="AD307" i="1"/>
  <c r="AB307" i="1"/>
  <c r="AE307" i="1" s="1"/>
  <c r="AF177" i="1"/>
  <c r="AD177" i="1"/>
  <c r="AB177" i="1"/>
  <c r="AE177" i="1" s="1"/>
  <c r="AF50" i="1"/>
  <c r="AD50" i="1"/>
  <c r="AB50" i="1"/>
  <c r="AE50" i="1" s="1"/>
  <c r="AD550" i="1"/>
  <c r="AB550" i="1"/>
  <c r="AE550" i="1" s="1"/>
  <c r="AF550" i="1"/>
  <c r="AF295" i="1"/>
  <c r="AD295" i="1"/>
  <c r="AB295" i="1"/>
  <c r="AE295" i="1" s="1"/>
  <c r="AD632" i="1"/>
  <c r="AF632" i="1" s="1"/>
  <c r="AB632" i="1"/>
  <c r="AE632" i="1" s="1"/>
  <c r="AF439" i="1"/>
  <c r="AB439" i="1"/>
  <c r="AE439" i="1" s="1"/>
  <c r="AD439" i="1"/>
  <c r="AF615" i="1"/>
  <c r="AB615" i="1"/>
  <c r="AE615" i="1" s="1"/>
  <c r="AD615" i="1"/>
  <c r="AF256" i="1"/>
  <c r="AB256" i="1"/>
  <c r="AE256" i="1" s="1"/>
  <c r="AD256" i="1"/>
  <c r="AF526" i="1"/>
  <c r="AB526" i="1"/>
  <c r="AE526" i="1" s="1"/>
  <c r="AD526" i="1"/>
  <c r="AF416" i="1"/>
  <c r="AD416" i="1"/>
  <c r="AB416" i="1"/>
  <c r="AE416" i="1" s="1"/>
  <c r="AF217" i="1"/>
  <c r="AD217" i="1"/>
  <c r="AB217" i="1"/>
  <c r="AE217" i="1" s="1"/>
  <c r="AF24" i="1"/>
  <c r="AD24" i="1"/>
  <c r="AB24" i="1"/>
  <c r="AE24" i="1" s="1"/>
  <c r="AF170" i="1"/>
  <c r="AB170" i="1"/>
  <c r="AE170" i="1" s="1"/>
  <c r="AD170" i="1"/>
  <c r="AF481" i="1"/>
  <c r="AD481" i="1"/>
  <c r="AB481" i="1"/>
  <c r="AE481" i="1" s="1"/>
  <c r="AF239" i="1"/>
  <c r="AD239" i="1"/>
  <c r="AB239" i="1"/>
  <c r="AE239" i="1" s="1"/>
  <c r="AF470" i="1"/>
  <c r="AD470" i="1"/>
  <c r="AB470" i="1"/>
  <c r="AE470" i="1" s="1"/>
  <c r="AF294" i="1"/>
  <c r="AD294" i="1"/>
  <c r="AB294" i="1"/>
  <c r="AE294" i="1" s="1"/>
  <c r="AF102" i="1"/>
  <c r="AD102" i="1"/>
  <c r="AB102" i="1"/>
  <c r="AE102" i="1" s="1"/>
  <c r="AF462" i="1"/>
  <c r="AD462" i="1"/>
  <c r="AB462" i="1"/>
  <c r="AE462" i="1" s="1"/>
  <c r="AF190" i="1"/>
  <c r="AB190" i="1"/>
  <c r="AE190" i="1" s="1"/>
  <c r="AD190" i="1"/>
  <c r="AF405" i="1"/>
  <c r="AD405" i="1"/>
  <c r="AB405" i="1"/>
  <c r="AE405" i="1" s="1"/>
  <c r="AF249" i="1"/>
  <c r="AD249" i="1"/>
  <c r="AB249" i="1"/>
  <c r="AE249" i="1" s="1"/>
  <c r="AD538" i="1"/>
  <c r="AF538" i="1"/>
  <c r="AB538" i="1"/>
  <c r="AE538" i="1" s="1"/>
  <c r="AF475" i="1"/>
  <c r="AB475" i="1"/>
  <c r="AE475" i="1" s="1"/>
  <c r="AD475" i="1"/>
  <c r="AF380" i="1"/>
  <c r="AB380" i="1"/>
  <c r="AE380" i="1" s="1"/>
  <c r="AD380" i="1"/>
  <c r="AF251" i="1"/>
  <c r="AD251" i="1"/>
  <c r="AB251" i="1"/>
  <c r="AE251" i="1" s="1"/>
  <c r="AF61" i="1"/>
  <c r="AB61" i="1"/>
  <c r="AE61" i="1" s="1"/>
  <c r="AD61" i="1"/>
  <c r="AF611" i="1"/>
  <c r="AD611" i="1"/>
  <c r="AB611" i="1"/>
  <c r="AE611" i="1" s="1"/>
  <c r="AF419" i="1"/>
  <c r="AD419" i="1"/>
  <c r="AB419" i="1"/>
  <c r="AE419" i="1" s="1"/>
  <c r="AF227" i="1"/>
  <c r="AD227" i="1"/>
  <c r="AB227" i="1"/>
  <c r="AE227" i="1" s="1"/>
  <c r="AB35" i="1"/>
  <c r="AE35" i="1" s="1"/>
  <c r="AF35" i="1"/>
  <c r="AD35" i="1"/>
  <c r="AF18" i="1"/>
  <c r="AB18" i="1"/>
  <c r="AE18" i="1" s="1"/>
  <c r="AD18" i="1"/>
  <c r="AF407" i="1"/>
  <c r="AB407" i="1"/>
  <c r="AE407" i="1" s="1"/>
  <c r="AD407" i="1"/>
  <c r="AF422" i="1"/>
  <c r="AD422" i="1"/>
  <c r="AB422" i="1"/>
  <c r="AE422" i="1" s="1"/>
  <c r="AF320" i="1"/>
  <c r="AB320" i="1"/>
  <c r="AE320" i="1" s="1"/>
  <c r="AD320" i="1"/>
  <c r="AD31" i="1"/>
  <c r="AF31" i="1"/>
  <c r="AB31" i="1"/>
  <c r="AE31" i="1" s="1"/>
  <c r="AF159" i="1"/>
  <c r="AD159" i="1"/>
  <c r="AB159" i="1"/>
  <c r="AE159" i="1" s="1"/>
  <c r="AF447" i="1"/>
  <c r="AB447" i="1"/>
  <c r="AE447" i="1" s="1"/>
  <c r="AD447" i="1"/>
  <c r="AF321" i="1"/>
  <c r="AB321" i="1"/>
  <c r="AE321" i="1" s="1"/>
  <c r="AD321" i="1"/>
  <c r="AF430" i="1"/>
  <c r="AD430" i="1"/>
  <c r="AB430" i="1"/>
  <c r="AE430" i="1" s="1"/>
  <c r="AF174" i="1"/>
  <c r="AB174" i="1"/>
  <c r="AE174" i="1" s="1"/>
  <c r="AD174" i="1"/>
  <c r="AF485" i="1"/>
  <c r="AD485" i="1"/>
  <c r="AB485" i="1"/>
  <c r="AE485" i="1" s="1"/>
  <c r="AD212" i="1"/>
  <c r="AB212" i="1"/>
  <c r="AE212" i="1" s="1"/>
  <c r="AF212" i="1"/>
  <c r="AF145" i="1"/>
  <c r="AD145" i="1"/>
  <c r="AB145" i="1"/>
  <c r="AE145" i="1" s="1"/>
  <c r="AF468" i="1"/>
  <c r="AB468" i="1"/>
  <c r="AE468" i="1" s="1"/>
  <c r="AD468" i="1"/>
  <c r="AB340" i="1"/>
  <c r="AE340" i="1" s="1"/>
  <c r="AD340" i="1"/>
  <c r="AF340" i="1"/>
  <c r="AF244" i="1"/>
  <c r="AB244" i="1"/>
  <c r="AE244" i="1" s="1"/>
  <c r="AD244" i="1"/>
  <c r="AF148" i="1"/>
  <c r="AB148" i="1"/>
  <c r="AE148" i="1" s="1"/>
  <c r="AD148" i="1"/>
  <c r="AF20" i="1"/>
  <c r="AD20" i="1"/>
  <c r="AB20" i="1"/>
  <c r="AE20" i="1" s="1"/>
  <c r="AF27" i="1"/>
  <c r="AB27" i="1"/>
  <c r="AE27" i="1" s="1"/>
  <c r="AD27" i="1"/>
  <c r="AD539" i="1"/>
  <c r="AF539" i="1"/>
  <c r="AB539" i="1"/>
  <c r="AE539" i="1" s="1"/>
  <c r="AF443" i="1"/>
  <c r="AD443" i="1"/>
  <c r="AB443" i="1"/>
  <c r="AE443" i="1" s="1"/>
  <c r="AF347" i="1"/>
  <c r="AD347" i="1"/>
  <c r="AB347" i="1"/>
  <c r="AE347" i="1" s="1"/>
  <c r="AD219" i="1"/>
  <c r="AF219" i="1"/>
  <c r="AB219" i="1"/>
  <c r="AE219" i="1" s="1"/>
  <c r="AF93" i="1"/>
  <c r="AD93" i="1"/>
  <c r="AB93" i="1"/>
  <c r="AE93" i="1" s="1"/>
  <c r="AF458" i="1"/>
  <c r="AD458" i="1"/>
  <c r="AB458" i="1"/>
  <c r="AE458" i="1" s="1"/>
  <c r="AF143" i="1"/>
  <c r="AD143" i="1"/>
  <c r="AB143" i="1"/>
  <c r="AE143" i="1" s="1"/>
  <c r="AF608" i="1"/>
  <c r="AD608" i="1"/>
  <c r="AB608" i="1"/>
  <c r="AE608" i="1" s="1"/>
  <c r="AD592" i="1"/>
  <c r="AF592" i="1"/>
  <c r="AB592" i="1"/>
  <c r="AE592" i="1" s="1"/>
  <c r="AF579" i="1"/>
  <c r="AD579" i="1"/>
  <c r="AB579" i="1"/>
  <c r="AE579" i="1" s="1"/>
  <c r="AF349" i="1"/>
  <c r="AD349" i="1"/>
  <c r="AB349" i="1"/>
  <c r="AE349" i="1" s="1"/>
  <c r="AF94" i="1"/>
  <c r="AD94" i="1"/>
  <c r="AB94" i="1"/>
  <c r="AE94" i="1" s="1"/>
  <c r="AF612" i="1"/>
  <c r="AD612" i="1"/>
  <c r="AB612" i="1"/>
  <c r="AE612" i="1" s="1"/>
  <c r="AF558" i="1"/>
  <c r="AD558" i="1"/>
  <c r="AB558" i="1"/>
  <c r="AE558" i="1" s="1"/>
  <c r="AF523" i="1"/>
  <c r="AD523" i="1"/>
  <c r="AB523" i="1"/>
  <c r="AE523" i="1" s="1"/>
  <c r="AF492" i="1"/>
  <c r="AD492" i="1"/>
  <c r="AB492" i="1"/>
  <c r="AE492" i="1" s="1"/>
  <c r="AF463" i="1"/>
  <c r="AD463" i="1"/>
  <c r="AB463" i="1"/>
  <c r="AE463" i="1" s="1"/>
  <c r="AF429" i="1"/>
  <c r="AB429" i="1"/>
  <c r="AE429" i="1" s="1"/>
  <c r="AD429" i="1"/>
  <c r="AF394" i="1"/>
  <c r="AD394" i="1"/>
  <c r="AB394" i="1"/>
  <c r="AE394" i="1" s="1"/>
  <c r="AF364" i="1"/>
  <c r="AD364" i="1"/>
  <c r="AB364" i="1"/>
  <c r="AE364" i="1" s="1"/>
  <c r="AF332" i="1"/>
  <c r="AD332" i="1"/>
  <c r="AB332" i="1"/>
  <c r="AE332" i="1" s="1"/>
  <c r="AF300" i="1"/>
  <c r="AD300" i="1"/>
  <c r="AB300" i="1"/>
  <c r="AE300" i="1" s="1"/>
  <c r="AD268" i="1"/>
  <c r="AB268" i="1"/>
  <c r="AE268" i="1" s="1"/>
  <c r="AF268" i="1"/>
  <c r="AF237" i="1"/>
  <c r="AB237" i="1"/>
  <c r="AE237" i="1" s="1"/>
  <c r="AD237" i="1"/>
  <c r="AF204" i="1"/>
  <c r="AD204" i="1"/>
  <c r="AB204" i="1"/>
  <c r="AE204" i="1" s="1"/>
  <c r="AF172" i="1"/>
  <c r="AB172" i="1"/>
  <c r="AE172" i="1" s="1"/>
  <c r="AD172" i="1"/>
  <c r="AF140" i="1"/>
  <c r="AB140" i="1"/>
  <c r="AE140" i="1" s="1"/>
  <c r="AD140" i="1"/>
  <c r="AF107" i="1"/>
  <c r="AB107" i="1"/>
  <c r="AE107" i="1" s="1"/>
  <c r="AD107" i="1"/>
  <c r="AF74" i="1"/>
  <c r="AD74" i="1"/>
  <c r="AB74" i="1"/>
  <c r="AE74" i="1" s="1"/>
  <c r="AF44" i="1"/>
  <c r="AB44" i="1"/>
  <c r="AE44" i="1" s="1"/>
  <c r="AD44" i="1"/>
  <c r="AD12" i="1"/>
  <c r="AB12" i="1"/>
  <c r="AE12" i="1" s="1"/>
  <c r="AF12" i="1"/>
  <c r="AD433" i="1"/>
  <c r="AB433" i="1"/>
  <c r="AE433" i="1" s="1"/>
  <c r="AF433" i="1"/>
  <c r="AF178" i="1"/>
  <c r="AD178" i="1"/>
  <c r="AB178" i="1"/>
  <c r="AE178" i="1" s="1"/>
  <c r="AF626" i="1"/>
  <c r="AD626" i="1"/>
  <c r="AB626" i="1"/>
  <c r="AE626" i="1" s="1"/>
  <c r="AD595" i="1"/>
  <c r="AF595" i="1"/>
  <c r="AB595" i="1"/>
  <c r="AE595" i="1" s="1"/>
  <c r="AD561" i="1"/>
  <c r="AF561" i="1"/>
  <c r="AB561" i="1"/>
  <c r="AE561" i="1" s="1"/>
  <c r="AF530" i="1"/>
  <c r="AD530" i="1"/>
  <c r="AB530" i="1"/>
  <c r="AE530" i="1" s="1"/>
  <c r="AF499" i="1"/>
  <c r="AD499" i="1"/>
  <c r="AB499" i="1"/>
  <c r="AE499" i="1" s="1"/>
  <c r="AF467" i="1"/>
  <c r="AD467" i="1"/>
  <c r="AB467" i="1"/>
  <c r="AE467" i="1" s="1"/>
  <c r="AD435" i="1"/>
  <c r="AF435" i="1"/>
  <c r="AB435" i="1"/>
  <c r="AE435" i="1" s="1"/>
  <c r="AF403" i="1"/>
  <c r="AD403" i="1"/>
  <c r="AB403" i="1"/>
  <c r="AE403" i="1" s="1"/>
  <c r="AF372" i="1"/>
  <c r="AD372" i="1"/>
  <c r="AB372" i="1"/>
  <c r="AE372" i="1" s="1"/>
  <c r="AD339" i="1"/>
  <c r="AB339" i="1"/>
  <c r="AE339" i="1" s="1"/>
  <c r="AF339" i="1"/>
  <c r="AF306" i="1"/>
  <c r="AD306" i="1"/>
  <c r="AB306" i="1"/>
  <c r="AE306" i="1" s="1"/>
  <c r="AF276" i="1"/>
  <c r="AD276" i="1"/>
  <c r="AB276" i="1"/>
  <c r="AE276" i="1" s="1"/>
  <c r="AF243" i="1"/>
  <c r="AD243" i="1"/>
  <c r="AB243" i="1"/>
  <c r="AE243" i="1" s="1"/>
  <c r="AF211" i="1"/>
  <c r="AD211" i="1"/>
  <c r="AB211" i="1"/>
  <c r="AE211" i="1" s="1"/>
  <c r="AD179" i="1"/>
  <c r="AF179" i="1"/>
  <c r="AB179" i="1"/>
  <c r="AE179" i="1" s="1"/>
  <c r="AD147" i="1"/>
  <c r="AF147" i="1"/>
  <c r="AB147" i="1"/>
  <c r="AE147" i="1" s="1"/>
  <c r="AD114" i="1"/>
  <c r="AF114" i="1"/>
  <c r="AB114" i="1"/>
  <c r="AE114" i="1" s="1"/>
  <c r="AF81" i="1"/>
  <c r="AB81" i="1"/>
  <c r="AE81" i="1" s="1"/>
  <c r="AD81" i="1"/>
  <c r="AF52" i="1"/>
  <c r="AD52" i="1"/>
  <c r="AB52" i="1"/>
  <c r="AE52" i="1" s="1"/>
  <c r="AF19" i="1"/>
  <c r="AD19" i="1"/>
  <c r="AB19" i="1"/>
  <c r="AE19" i="1" s="1"/>
  <c r="AF601" i="1"/>
  <c r="AD601" i="1"/>
  <c r="AB601" i="1"/>
  <c r="AE601" i="1" s="1"/>
  <c r="AF434" i="1"/>
  <c r="AD434" i="1"/>
  <c r="AB434" i="1"/>
  <c r="AE434" i="1" s="1"/>
  <c r="AF338" i="1"/>
  <c r="AD338" i="1"/>
  <c r="AB338" i="1"/>
  <c r="AE338" i="1" s="1"/>
  <c r="AF210" i="1"/>
  <c r="AB210" i="1"/>
  <c r="AE210" i="1" s="1"/>
  <c r="AD210" i="1"/>
  <c r="AF82" i="1"/>
  <c r="AB82" i="1"/>
  <c r="AE82" i="1" s="1"/>
  <c r="AD82" i="1"/>
  <c r="AF330" i="1"/>
  <c r="AD330" i="1"/>
  <c r="AB330" i="1"/>
  <c r="AE330" i="1" s="1"/>
  <c r="AF73" i="1"/>
  <c r="AD73" i="1"/>
  <c r="AB73" i="1"/>
  <c r="AE73" i="1" s="1"/>
  <c r="AF619" i="1"/>
  <c r="AD619" i="1"/>
  <c r="AB619" i="1"/>
  <c r="AE619" i="1" s="1"/>
  <c r="AD362" i="1"/>
  <c r="AF362" i="1"/>
  <c r="AB362" i="1"/>
  <c r="AE362" i="1" s="1"/>
  <c r="AF105" i="1"/>
  <c r="AD105" i="1"/>
  <c r="AB105" i="1"/>
  <c r="AE105" i="1" s="1"/>
  <c r="AF562" i="1"/>
  <c r="AB562" i="1"/>
  <c r="AE562" i="1" s="1"/>
  <c r="AD562" i="1"/>
  <c r="AF305" i="1"/>
  <c r="AD305" i="1"/>
  <c r="AB305" i="1"/>
  <c r="AE305" i="1" s="1"/>
  <c r="AF49" i="1"/>
  <c r="AD49" i="1"/>
  <c r="AB49" i="1"/>
  <c r="AE49" i="1" s="1"/>
  <c r="AF584" i="1"/>
  <c r="AB584" i="1"/>
  <c r="AE584" i="1" s="1"/>
  <c r="AD584" i="1"/>
  <c r="AF471" i="1"/>
  <c r="AB471" i="1"/>
  <c r="AE471" i="1" s="1"/>
  <c r="AD471" i="1"/>
  <c r="AF342" i="1"/>
  <c r="AB342" i="1"/>
  <c r="AE342" i="1" s="1"/>
  <c r="AD342" i="1"/>
  <c r="AF215" i="1"/>
  <c r="AD215" i="1"/>
  <c r="AB215" i="1"/>
  <c r="AE215" i="1" s="1"/>
  <c r="AF86" i="1"/>
  <c r="AB86" i="1"/>
  <c r="AE86" i="1" s="1"/>
  <c r="AD86" i="1"/>
  <c r="AF47" i="1"/>
  <c r="AD47" i="1"/>
  <c r="AB47" i="1"/>
  <c r="AE47" i="1" s="1"/>
  <c r="AF576" i="1"/>
  <c r="AD576" i="1"/>
  <c r="AB576" i="1"/>
  <c r="AE576" i="1" s="1"/>
  <c r="AD496" i="1"/>
  <c r="AB496" i="1"/>
  <c r="AE496" i="1" s="1"/>
  <c r="AF496" i="1"/>
  <c r="AF432" i="1"/>
  <c r="AD432" i="1"/>
  <c r="AB432" i="1"/>
  <c r="AE432" i="1" s="1"/>
  <c r="AD368" i="1"/>
  <c r="AF368" i="1"/>
  <c r="AB368" i="1"/>
  <c r="AE368" i="1" s="1"/>
  <c r="AF272" i="1"/>
  <c r="AD272" i="1"/>
  <c r="AB272" i="1"/>
  <c r="AE272" i="1" s="1"/>
  <c r="AF208" i="1"/>
  <c r="AD208" i="1"/>
  <c r="AB208" i="1"/>
  <c r="AE208" i="1" s="1"/>
  <c r="AD128" i="1"/>
  <c r="AF128" i="1"/>
  <c r="AB128" i="1"/>
  <c r="AE128" i="1" s="1"/>
  <c r="AD72" i="1"/>
  <c r="AF72" i="1"/>
  <c r="AB72" i="1"/>
  <c r="AE72" i="1" s="1"/>
  <c r="AF80" i="1"/>
  <c r="AD80" i="1"/>
  <c r="AB80" i="1"/>
  <c r="AE80" i="1" s="1"/>
  <c r="AF357" i="1"/>
  <c r="AB357" i="1"/>
  <c r="AE357" i="1" s="1"/>
  <c r="AD357" i="1"/>
  <c r="AF134" i="1"/>
  <c r="AB134" i="1"/>
  <c r="AE134" i="1" s="1"/>
  <c r="AD134" i="1"/>
  <c r="AF583" i="1"/>
  <c r="AD583" i="1"/>
  <c r="AB583" i="1"/>
  <c r="AE583" i="1" s="1"/>
  <c r="AD519" i="1"/>
  <c r="AF519" i="1"/>
  <c r="AB519" i="1"/>
  <c r="AE519" i="1" s="1"/>
  <c r="AF456" i="1"/>
  <c r="AB456" i="1"/>
  <c r="AE456" i="1" s="1"/>
  <c r="AD456" i="1"/>
  <c r="AF360" i="1"/>
  <c r="AD360" i="1"/>
  <c r="AB360" i="1"/>
  <c r="AE360" i="1" s="1"/>
  <c r="AD296" i="1"/>
  <c r="AF296" i="1"/>
  <c r="AB296" i="1"/>
  <c r="AE296" i="1" s="1"/>
  <c r="AD232" i="1"/>
  <c r="AF232" i="1"/>
  <c r="AB232" i="1"/>
  <c r="AE232" i="1" s="1"/>
  <c r="AF175" i="1"/>
  <c r="AD175" i="1"/>
  <c r="AB175" i="1"/>
  <c r="AE175" i="1" s="1"/>
  <c r="AF41" i="1"/>
  <c r="AD41" i="1"/>
  <c r="AB41" i="1"/>
  <c r="AE41" i="1" s="1"/>
  <c r="G275" i="1"/>
  <c r="J275" i="1" s="1"/>
  <c r="I275" i="1" s="1"/>
  <c r="K275" i="1"/>
  <c r="K171" i="1"/>
  <c r="G171" i="1"/>
  <c r="J171" i="1" s="1"/>
  <c r="I171" i="1" s="1"/>
  <c r="K402" i="1"/>
  <c r="G402" i="1"/>
  <c r="J402" i="1" s="1"/>
  <c r="I402" i="1" s="1"/>
  <c r="G60" i="1"/>
  <c r="J60" i="1" s="1"/>
  <c r="I60" i="1" s="1"/>
  <c r="K60" i="1"/>
  <c r="G111" i="1"/>
  <c r="J111" i="1" s="1"/>
  <c r="I111" i="1" s="1"/>
  <c r="K111" i="1"/>
  <c r="G453" i="1"/>
  <c r="J453" i="1" s="1"/>
  <c r="I453" i="1" s="1"/>
  <c r="K453" i="1"/>
  <c r="G486" i="1"/>
  <c r="J486" i="1" s="1"/>
  <c r="I486" i="1" s="1"/>
  <c r="K486" i="1"/>
  <c r="K27" i="1"/>
  <c r="G27" i="1"/>
  <c r="J27" i="1" s="1"/>
  <c r="I27" i="1" s="1"/>
  <c r="K421" i="1"/>
  <c r="G421" i="1"/>
  <c r="J421" i="1" s="1"/>
  <c r="I421" i="1" s="1"/>
  <c r="K166" i="1"/>
  <c r="G166" i="1"/>
  <c r="J166" i="1" s="1"/>
  <c r="I166" i="1" s="1"/>
  <c r="K339" i="1"/>
  <c r="G339" i="1"/>
  <c r="J339" i="1" s="1"/>
  <c r="I339" i="1" s="1"/>
  <c r="K507" i="1"/>
  <c r="G507" i="1"/>
  <c r="J507" i="1" s="1"/>
  <c r="I507" i="1" s="1"/>
  <c r="G538" i="1"/>
  <c r="J538" i="1" s="1"/>
  <c r="I538" i="1" s="1"/>
  <c r="K538" i="1"/>
  <c r="K576" i="1"/>
  <c r="G576" i="1"/>
  <c r="J576" i="1" s="1"/>
  <c r="I576" i="1" s="1"/>
  <c r="K403" i="1"/>
  <c r="G403" i="1"/>
  <c r="J403" i="1" s="1"/>
  <c r="I403" i="1" s="1"/>
  <c r="G113" i="1"/>
  <c r="J113" i="1" s="1"/>
  <c r="I113" i="1" s="1"/>
  <c r="K113" i="1"/>
  <c r="G235" i="1"/>
  <c r="J235" i="1" s="1"/>
  <c r="I235" i="1" s="1"/>
  <c r="K235" i="1"/>
  <c r="G455" i="1"/>
  <c r="J455" i="1" s="1"/>
  <c r="I455" i="1" s="1"/>
  <c r="K455" i="1"/>
  <c r="G602" i="1"/>
  <c r="J602" i="1" s="1"/>
  <c r="I602" i="1" s="1"/>
  <c r="K602" i="1"/>
  <c r="K200" i="1"/>
  <c r="G200" i="1"/>
  <c r="J200" i="1" s="1"/>
  <c r="I200" i="1" s="1"/>
  <c r="K38" i="1"/>
  <c r="G38" i="1"/>
  <c r="J38" i="1" s="1"/>
  <c r="I38" i="1" s="1"/>
  <c r="K149" i="1"/>
  <c r="G149" i="1"/>
  <c r="J149" i="1" s="1"/>
  <c r="I149" i="1" s="1"/>
  <c r="K258" i="1"/>
  <c r="G258" i="1"/>
  <c r="J258" i="1" s="1"/>
  <c r="I258" i="1" s="1"/>
  <c r="G177" i="1"/>
  <c r="J177" i="1" s="1"/>
  <c r="I177" i="1" s="1"/>
  <c r="K177" i="1"/>
  <c r="G203" i="1"/>
  <c r="J203" i="1" s="1"/>
  <c r="I203" i="1" s="1"/>
  <c r="K203" i="1"/>
  <c r="G226" i="1"/>
  <c r="J226" i="1" s="1"/>
  <c r="I226" i="1" s="1"/>
  <c r="K226" i="1"/>
  <c r="G377" i="1"/>
  <c r="J377" i="1" s="1"/>
  <c r="I377" i="1" s="1"/>
  <c r="K377" i="1"/>
  <c r="G428" i="1"/>
  <c r="J428" i="1" s="1"/>
  <c r="I428" i="1" s="1"/>
  <c r="K428" i="1"/>
  <c r="G565" i="1"/>
  <c r="J565" i="1" s="1"/>
  <c r="I565" i="1" s="1"/>
  <c r="K565" i="1"/>
  <c r="K4" i="1"/>
  <c r="G4" i="1"/>
  <c r="J4" i="1" s="1"/>
  <c r="I4" i="1" s="1"/>
  <c r="K64" i="1"/>
  <c r="G64" i="1"/>
  <c r="J64" i="1" s="1"/>
  <c r="I64" i="1" s="1"/>
  <c r="K292" i="1"/>
  <c r="G292" i="1"/>
  <c r="J292" i="1" s="1"/>
  <c r="I292" i="1" s="1"/>
  <c r="K325" i="1"/>
  <c r="G325" i="1"/>
  <c r="J325" i="1" s="1"/>
  <c r="I325" i="1" s="1"/>
  <c r="K350" i="1"/>
  <c r="G350" i="1"/>
  <c r="J350" i="1" s="1"/>
  <c r="I350" i="1" s="1"/>
  <c r="K435" i="1"/>
  <c r="G435" i="1"/>
  <c r="J435" i="1" s="1"/>
  <c r="I435" i="1" s="1"/>
  <c r="K494" i="1"/>
  <c r="G494" i="1"/>
  <c r="J494" i="1" s="1"/>
  <c r="I494" i="1" s="1"/>
  <c r="K521" i="1"/>
  <c r="G521" i="1"/>
  <c r="J521" i="1" s="1"/>
  <c r="I521" i="1" s="1"/>
  <c r="G59" i="1"/>
  <c r="J59" i="1" s="1"/>
  <c r="I59" i="1" s="1"/>
  <c r="K59" i="1"/>
  <c r="G81" i="1"/>
  <c r="J81" i="1" s="1"/>
  <c r="I81" i="1" s="1"/>
  <c r="K81" i="1"/>
  <c r="G95" i="1"/>
  <c r="J95" i="1" s="1"/>
  <c r="I95" i="1" s="1"/>
  <c r="K95" i="1"/>
  <c r="G119" i="1"/>
  <c r="J119" i="1" s="1"/>
  <c r="I119" i="1" s="1"/>
  <c r="K119" i="1"/>
  <c r="G179" i="1"/>
  <c r="J179" i="1" s="1"/>
  <c r="I179" i="1" s="1"/>
  <c r="K179" i="1"/>
  <c r="G204" i="1"/>
  <c r="J204" i="1" s="1"/>
  <c r="I204" i="1" s="1"/>
  <c r="K204" i="1"/>
  <c r="G251" i="1"/>
  <c r="J251" i="1" s="1"/>
  <c r="I251" i="1" s="1"/>
  <c r="K251" i="1"/>
  <c r="G267" i="1"/>
  <c r="J267" i="1" s="1"/>
  <c r="I267" i="1" s="1"/>
  <c r="K267" i="1"/>
  <c r="G347" i="1"/>
  <c r="J347" i="1" s="1"/>
  <c r="I347" i="1" s="1"/>
  <c r="K347" i="1"/>
  <c r="G379" i="1"/>
  <c r="J379" i="1" s="1"/>
  <c r="I379" i="1" s="1"/>
  <c r="K379" i="1"/>
  <c r="G412" i="1"/>
  <c r="J412" i="1" s="1"/>
  <c r="I412" i="1" s="1"/>
  <c r="K412" i="1"/>
  <c r="G430" i="1"/>
  <c r="J430" i="1" s="1"/>
  <c r="I430" i="1" s="1"/>
  <c r="K430" i="1"/>
  <c r="G465" i="1"/>
  <c r="J465" i="1" s="1"/>
  <c r="I465" i="1" s="1"/>
  <c r="K465" i="1"/>
  <c r="K11" i="1"/>
  <c r="G11" i="1"/>
  <c r="J11" i="1" s="1"/>
  <c r="I11" i="1" s="1"/>
  <c r="K186" i="1"/>
  <c r="G186" i="1"/>
  <c r="J186" i="1" s="1"/>
  <c r="I186" i="1" s="1"/>
  <c r="K239" i="1"/>
  <c r="G239" i="1"/>
  <c r="J239" i="1" s="1"/>
  <c r="I239" i="1" s="1"/>
  <c r="G94" i="1"/>
  <c r="J94" i="1" s="1"/>
  <c r="I94" i="1" s="1"/>
  <c r="K94" i="1"/>
  <c r="G206" i="1"/>
  <c r="J206" i="1" s="1"/>
  <c r="I206" i="1" s="1"/>
  <c r="K206" i="1"/>
  <c r="G254" i="1"/>
  <c r="J254" i="1" s="1"/>
  <c r="I254" i="1" s="1"/>
  <c r="K254" i="1"/>
  <c r="G284" i="1"/>
  <c r="J284" i="1" s="1"/>
  <c r="I284" i="1" s="1"/>
  <c r="K284" i="1"/>
  <c r="G348" i="1"/>
  <c r="J348" i="1" s="1"/>
  <c r="I348" i="1" s="1"/>
  <c r="K348" i="1"/>
  <c r="G380" i="1"/>
  <c r="J380" i="1" s="1"/>
  <c r="I380" i="1" s="1"/>
  <c r="K380" i="1"/>
  <c r="G537" i="1"/>
  <c r="J537" i="1" s="1"/>
  <c r="I537" i="1" s="1"/>
  <c r="K537" i="1"/>
  <c r="K130" i="1"/>
  <c r="G130" i="1"/>
  <c r="J130" i="1" s="1"/>
  <c r="I130" i="1" s="1"/>
  <c r="K162" i="1"/>
  <c r="G162" i="1"/>
  <c r="J162" i="1" s="1"/>
  <c r="I162" i="1" s="1"/>
  <c r="K187" i="1"/>
  <c r="G187" i="1"/>
  <c r="J187" i="1" s="1"/>
  <c r="I187" i="1" s="1"/>
  <c r="K242" i="1"/>
  <c r="G242" i="1"/>
  <c r="J242" i="1" s="1"/>
  <c r="I242" i="1" s="1"/>
  <c r="K330" i="1"/>
  <c r="G330" i="1"/>
  <c r="J330" i="1" s="1"/>
  <c r="I330" i="1" s="1"/>
  <c r="K388" i="1"/>
  <c r="G388" i="1"/>
  <c r="J388" i="1" s="1"/>
  <c r="I388" i="1" s="1"/>
  <c r="K445" i="1"/>
  <c r="G445" i="1"/>
  <c r="J445" i="1" s="1"/>
  <c r="I445" i="1" s="1"/>
  <c r="K526" i="1"/>
  <c r="G526" i="1"/>
  <c r="J526" i="1" s="1"/>
  <c r="I526" i="1" s="1"/>
  <c r="K561" i="1"/>
  <c r="G561" i="1"/>
  <c r="J561" i="1" s="1"/>
  <c r="I561" i="1" s="1"/>
  <c r="K590" i="1"/>
  <c r="G590" i="1"/>
  <c r="J590" i="1" s="1"/>
  <c r="I590" i="1" s="1"/>
  <c r="K617" i="1"/>
  <c r="G617" i="1"/>
  <c r="J617" i="1" s="1"/>
  <c r="I617" i="1" s="1"/>
  <c r="G615" i="1"/>
  <c r="J615" i="1" s="1"/>
  <c r="I615" i="1" s="1"/>
  <c r="K615" i="1"/>
  <c r="K153" i="1"/>
  <c r="G153" i="1"/>
  <c r="J153" i="1" s="1"/>
  <c r="I153" i="1" s="1"/>
  <c r="K215" i="1"/>
  <c r="G215" i="1"/>
  <c r="J215" i="1" s="1"/>
  <c r="I215" i="1" s="1"/>
  <c r="K268" i="1"/>
  <c r="G268" i="1"/>
  <c r="J268" i="1" s="1"/>
  <c r="I268" i="1" s="1"/>
  <c r="K294" i="1"/>
  <c r="G294" i="1"/>
  <c r="J294" i="1" s="1"/>
  <c r="I294" i="1" s="1"/>
  <c r="K362" i="1"/>
  <c r="G362" i="1"/>
  <c r="J362" i="1" s="1"/>
  <c r="I362" i="1" s="1"/>
  <c r="K413" i="1"/>
  <c r="G413" i="1"/>
  <c r="J413" i="1" s="1"/>
  <c r="I413" i="1" s="1"/>
  <c r="K499" i="1"/>
  <c r="G499" i="1"/>
  <c r="J499" i="1" s="1"/>
  <c r="I499" i="1" s="1"/>
  <c r="G632" i="1"/>
  <c r="J632" i="1" s="1"/>
  <c r="I632" i="1" s="1"/>
  <c r="K632" i="1"/>
  <c r="G76" i="1"/>
  <c r="J76" i="1" s="1"/>
  <c r="I76" i="1" s="1"/>
  <c r="K76" i="1"/>
  <c r="G97" i="1"/>
  <c r="J97" i="1" s="1"/>
  <c r="I97" i="1" s="1"/>
  <c r="K97" i="1"/>
  <c r="G147" i="1"/>
  <c r="J147" i="1" s="1"/>
  <c r="I147" i="1" s="1"/>
  <c r="K147" i="1"/>
  <c r="G221" i="1"/>
  <c r="J221" i="1" s="1"/>
  <c r="I221" i="1" s="1"/>
  <c r="K221" i="1"/>
  <c r="G229" i="1"/>
  <c r="J229" i="1" s="1"/>
  <c r="I229" i="1" s="1"/>
  <c r="K229" i="1"/>
  <c r="G269" i="1"/>
  <c r="J269" i="1" s="1"/>
  <c r="I269" i="1" s="1"/>
  <c r="K269" i="1"/>
  <c r="G382" i="1"/>
  <c r="J382" i="1" s="1"/>
  <c r="I382" i="1" s="1"/>
  <c r="K382" i="1"/>
  <c r="G452" i="1"/>
  <c r="J452" i="1" s="1"/>
  <c r="I452" i="1" s="1"/>
  <c r="K452" i="1"/>
  <c r="G485" i="1"/>
  <c r="J485" i="1" s="1"/>
  <c r="I485" i="1" s="1"/>
  <c r="K485" i="1"/>
  <c r="G540" i="1"/>
  <c r="J540" i="1" s="1"/>
  <c r="I540" i="1" s="1"/>
  <c r="K540" i="1"/>
  <c r="G573" i="1"/>
  <c r="J573" i="1" s="1"/>
  <c r="I573" i="1" s="1"/>
  <c r="K573" i="1"/>
  <c r="G595" i="1"/>
  <c r="J595" i="1" s="1"/>
  <c r="I595" i="1" s="1"/>
  <c r="K595" i="1"/>
  <c r="K46" i="1"/>
  <c r="G46" i="1"/>
  <c r="J46" i="1" s="1"/>
  <c r="I46" i="1" s="1"/>
  <c r="K112" i="1"/>
  <c r="G112" i="1"/>
  <c r="J112" i="1" s="1"/>
  <c r="I112" i="1" s="1"/>
  <c r="K188" i="1"/>
  <c r="G188" i="1"/>
  <c r="J188" i="1" s="1"/>
  <c r="I188" i="1" s="1"/>
  <c r="K252" i="1"/>
  <c r="G252" i="1"/>
  <c r="J252" i="1" s="1"/>
  <c r="I252" i="1" s="1"/>
  <c r="K307" i="1"/>
  <c r="G307" i="1"/>
  <c r="J307" i="1" s="1"/>
  <c r="I307" i="1" s="1"/>
  <c r="K419" i="1"/>
  <c r="G419" i="1"/>
  <c r="J419" i="1" s="1"/>
  <c r="I419" i="1" s="1"/>
  <c r="K506" i="1"/>
  <c r="G506" i="1"/>
  <c r="J506" i="1" s="1"/>
  <c r="I506" i="1" s="1"/>
  <c r="K564" i="1"/>
  <c r="G564" i="1"/>
  <c r="J564" i="1" s="1"/>
  <c r="I564" i="1" s="1"/>
  <c r="G309" i="1"/>
  <c r="J309" i="1" s="1"/>
  <c r="I309" i="1" s="1"/>
  <c r="K309" i="1"/>
  <c r="G341" i="1"/>
  <c r="J341" i="1" s="1"/>
  <c r="I341" i="1" s="1"/>
  <c r="K341" i="1"/>
  <c r="G361" i="1"/>
  <c r="J361" i="1" s="1"/>
  <c r="I361" i="1" s="1"/>
  <c r="K361" i="1"/>
  <c r="K28" i="1"/>
  <c r="G28" i="1"/>
  <c r="J28" i="1" s="1"/>
  <c r="I28" i="1" s="1"/>
  <c r="K87" i="1"/>
  <c r="G87" i="1"/>
  <c r="J87" i="1" s="1"/>
  <c r="I87" i="1" s="1"/>
  <c r="K259" i="1"/>
  <c r="G259" i="1"/>
  <c r="J259" i="1" s="1"/>
  <c r="I259" i="1" s="1"/>
  <c r="K295" i="1"/>
  <c r="G295" i="1"/>
  <c r="J295" i="1" s="1"/>
  <c r="I295" i="1" s="1"/>
  <c r="K370" i="1"/>
  <c r="G370" i="1"/>
  <c r="J370" i="1" s="1"/>
  <c r="I370" i="1" s="1"/>
  <c r="K404" i="1"/>
  <c r="G404" i="1"/>
  <c r="J404" i="1" s="1"/>
  <c r="I404" i="1" s="1"/>
  <c r="K548" i="1"/>
  <c r="G548" i="1"/>
  <c r="J548" i="1" s="1"/>
  <c r="I548" i="1" s="1"/>
  <c r="K623" i="1"/>
  <c r="G623" i="1"/>
  <c r="J623" i="1" s="1"/>
  <c r="I623" i="1" s="1"/>
  <c r="G17" i="1"/>
  <c r="J17" i="1" s="1"/>
  <c r="I17" i="1" s="1"/>
  <c r="K17" i="1"/>
  <c r="G44" i="1"/>
  <c r="J44" i="1" s="1"/>
  <c r="I44" i="1" s="1"/>
  <c r="K44" i="1"/>
  <c r="G83" i="1"/>
  <c r="J83" i="1" s="1"/>
  <c r="I83" i="1" s="1"/>
  <c r="K83" i="1"/>
  <c r="G218" i="1"/>
  <c r="J218" i="1" s="1"/>
  <c r="I218" i="1" s="1"/>
  <c r="K218" i="1"/>
  <c r="G291" i="1"/>
  <c r="J291" i="1" s="1"/>
  <c r="I291" i="1" s="1"/>
  <c r="K291" i="1"/>
  <c r="G524" i="1"/>
  <c r="J524" i="1" s="1"/>
  <c r="I524" i="1" s="1"/>
  <c r="K524" i="1"/>
  <c r="G581" i="1"/>
  <c r="J581" i="1" s="1"/>
  <c r="I581" i="1" s="1"/>
  <c r="K581" i="1"/>
  <c r="G592" i="1"/>
  <c r="J592" i="1" s="1"/>
  <c r="I592" i="1" s="1"/>
  <c r="K592" i="1"/>
  <c r="K13" i="1"/>
  <c r="G13" i="1"/>
  <c r="J13" i="1" s="1"/>
  <c r="I13" i="1" s="1"/>
  <c r="K33" i="1"/>
  <c r="G33" i="1"/>
  <c r="J33" i="1" s="1"/>
  <c r="I33" i="1" s="1"/>
  <c r="K70" i="1"/>
  <c r="G70" i="1"/>
  <c r="J70" i="1" s="1"/>
  <c r="I70" i="1" s="1"/>
  <c r="K105" i="1"/>
  <c r="G105" i="1"/>
  <c r="J105" i="1" s="1"/>
  <c r="I105" i="1" s="1"/>
  <c r="K121" i="1"/>
  <c r="G121" i="1"/>
  <c r="J121" i="1" s="1"/>
  <c r="I121" i="1" s="1"/>
  <c r="K137" i="1"/>
  <c r="G137" i="1"/>
  <c r="J137" i="1" s="1"/>
  <c r="I137" i="1" s="1"/>
  <c r="K192" i="1"/>
  <c r="G192" i="1"/>
  <c r="J192" i="1" s="1"/>
  <c r="I192" i="1" s="1"/>
  <c r="K213" i="1"/>
  <c r="G213" i="1"/>
  <c r="J213" i="1" s="1"/>
  <c r="I213" i="1" s="1"/>
  <c r="K244" i="1"/>
  <c r="G244" i="1"/>
  <c r="J244" i="1" s="1"/>
  <c r="I244" i="1" s="1"/>
  <c r="K277" i="1"/>
  <c r="G277" i="1"/>
  <c r="J277" i="1" s="1"/>
  <c r="I277" i="1" s="1"/>
  <c r="K297" i="1"/>
  <c r="G297" i="1"/>
  <c r="J297" i="1" s="1"/>
  <c r="I297" i="1" s="1"/>
  <c r="K337" i="1"/>
  <c r="G337" i="1"/>
  <c r="J337" i="1" s="1"/>
  <c r="I337" i="1" s="1"/>
  <c r="K354" i="1"/>
  <c r="G354" i="1"/>
  <c r="J354" i="1" s="1"/>
  <c r="I354" i="1" s="1"/>
  <c r="K389" i="1"/>
  <c r="G389" i="1"/>
  <c r="J389" i="1" s="1"/>
  <c r="I389" i="1" s="1"/>
  <c r="K443" i="1"/>
  <c r="G443" i="1"/>
  <c r="J443" i="1" s="1"/>
  <c r="I443" i="1" s="1"/>
  <c r="K530" i="1"/>
  <c r="G530" i="1"/>
  <c r="J530" i="1" s="1"/>
  <c r="I530" i="1" s="1"/>
  <c r="K549" i="1"/>
  <c r="G549" i="1"/>
  <c r="J549" i="1" s="1"/>
  <c r="I549" i="1" s="1"/>
  <c r="G270" i="1"/>
  <c r="J270" i="1" s="1"/>
  <c r="I270" i="1" s="1"/>
  <c r="K270" i="1"/>
  <c r="G396" i="1"/>
  <c r="J396" i="1" s="1"/>
  <c r="I396" i="1" s="1"/>
  <c r="K396" i="1"/>
  <c r="G446" i="1"/>
  <c r="J446" i="1" s="1"/>
  <c r="I446" i="1" s="1"/>
  <c r="K446" i="1"/>
  <c r="G468" i="1"/>
  <c r="J468" i="1" s="1"/>
  <c r="I468" i="1" s="1"/>
  <c r="K468" i="1"/>
  <c r="G477" i="1"/>
  <c r="J477" i="1" s="1"/>
  <c r="I477" i="1" s="1"/>
  <c r="K477" i="1"/>
  <c r="G511" i="1"/>
  <c r="J511" i="1" s="1"/>
  <c r="I511" i="1" s="1"/>
  <c r="K511" i="1"/>
  <c r="G555" i="1"/>
  <c r="J555" i="1" s="1"/>
  <c r="I555" i="1" s="1"/>
  <c r="K555" i="1"/>
  <c r="G607" i="1"/>
  <c r="J607" i="1" s="1"/>
  <c r="I607" i="1" s="1"/>
  <c r="K607" i="1"/>
  <c r="K10" i="1"/>
  <c r="G10" i="1"/>
  <c r="J10" i="1" s="1"/>
  <c r="I10" i="1" s="1"/>
  <c r="K48" i="1"/>
  <c r="G48" i="1"/>
  <c r="J48" i="1" s="1"/>
  <c r="I48" i="1" s="1"/>
  <c r="K68" i="1"/>
  <c r="G68" i="1"/>
  <c r="J68" i="1" s="1"/>
  <c r="I68" i="1" s="1"/>
  <c r="K102" i="1"/>
  <c r="G102" i="1"/>
  <c r="J102" i="1" s="1"/>
  <c r="I102" i="1" s="1"/>
  <c r="K207" i="1"/>
  <c r="G207" i="1"/>
  <c r="J207" i="1" s="1"/>
  <c r="I207" i="1" s="1"/>
  <c r="K243" i="1"/>
  <c r="G243" i="1"/>
  <c r="J243" i="1" s="1"/>
  <c r="I243" i="1" s="1"/>
  <c r="K279" i="1"/>
  <c r="G279" i="1"/>
  <c r="J279" i="1" s="1"/>
  <c r="I279" i="1" s="1"/>
  <c r="K314" i="1"/>
  <c r="G314" i="1"/>
  <c r="J314" i="1" s="1"/>
  <c r="I314" i="1" s="1"/>
  <c r="K352" i="1"/>
  <c r="G352" i="1"/>
  <c r="J352" i="1" s="1"/>
  <c r="I352" i="1" s="1"/>
  <c r="K387" i="1"/>
  <c r="G387" i="1"/>
  <c r="J387" i="1" s="1"/>
  <c r="I387" i="1" s="1"/>
  <c r="K420" i="1"/>
  <c r="G420" i="1"/>
  <c r="J420" i="1" s="1"/>
  <c r="I420" i="1" s="1"/>
  <c r="K473" i="1"/>
  <c r="G473" i="1"/>
  <c r="J473" i="1" s="1"/>
  <c r="I473" i="1" s="1"/>
  <c r="K568" i="1"/>
  <c r="G568" i="1"/>
  <c r="J568" i="1" s="1"/>
  <c r="I568" i="1" s="1"/>
  <c r="G26" i="1"/>
  <c r="J26" i="1" s="1"/>
  <c r="I26" i="1" s="1"/>
  <c r="K26" i="1"/>
  <c r="G62" i="1"/>
  <c r="J62" i="1" s="1"/>
  <c r="I62" i="1" s="1"/>
  <c r="K62" i="1"/>
  <c r="G100" i="1"/>
  <c r="J100" i="1" s="1"/>
  <c r="I100" i="1" s="1"/>
  <c r="K100" i="1"/>
  <c r="G126" i="1"/>
  <c r="J126" i="1" s="1"/>
  <c r="I126" i="1" s="1"/>
  <c r="K126" i="1"/>
  <c r="G135" i="1"/>
  <c r="J135" i="1" s="1"/>
  <c r="I135" i="1" s="1"/>
  <c r="K135" i="1"/>
  <c r="G156" i="1"/>
  <c r="J156" i="1" s="1"/>
  <c r="I156" i="1" s="1"/>
  <c r="K156" i="1"/>
  <c r="G164" i="1"/>
  <c r="J164" i="1" s="1"/>
  <c r="I164" i="1" s="1"/>
  <c r="K164" i="1"/>
  <c r="G189" i="1"/>
  <c r="J189" i="1" s="1"/>
  <c r="I189" i="1" s="1"/>
  <c r="K189" i="1"/>
  <c r="G199" i="1"/>
  <c r="J199" i="1" s="1"/>
  <c r="I199" i="1" s="1"/>
  <c r="K199" i="1"/>
  <c r="G227" i="1"/>
  <c r="J227" i="1" s="1"/>
  <c r="I227" i="1" s="1"/>
  <c r="K227" i="1"/>
  <c r="G261" i="1"/>
  <c r="J261" i="1" s="1"/>
  <c r="I261" i="1" s="1"/>
  <c r="K261" i="1"/>
  <c r="G310" i="1"/>
  <c r="J310" i="1" s="1"/>
  <c r="I310" i="1" s="1"/>
  <c r="K310" i="1"/>
  <c r="G363" i="1"/>
  <c r="J363" i="1" s="1"/>
  <c r="I363" i="1" s="1"/>
  <c r="K363" i="1"/>
  <c r="G373" i="1"/>
  <c r="J373" i="1" s="1"/>
  <c r="I373" i="1" s="1"/>
  <c r="K373" i="1"/>
  <c r="G395" i="1"/>
  <c r="J395" i="1" s="1"/>
  <c r="I395" i="1" s="1"/>
  <c r="K395" i="1"/>
  <c r="G405" i="1"/>
  <c r="J405" i="1" s="1"/>
  <c r="I405" i="1" s="1"/>
  <c r="K405" i="1"/>
  <c r="G426" i="1"/>
  <c r="J426" i="1" s="1"/>
  <c r="I426" i="1" s="1"/>
  <c r="K426" i="1"/>
  <c r="G459" i="1"/>
  <c r="J459" i="1" s="1"/>
  <c r="I459" i="1" s="1"/>
  <c r="K459" i="1"/>
  <c r="G469" i="1"/>
  <c r="J469" i="1" s="1"/>
  <c r="I469" i="1" s="1"/>
  <c r="K469" i="1"/>
  <c r="K86" i="1"/>
  <c r="G86" i="1"/>
  <c r="J86" i="1" s="1"/>
  <c r="I86" i="1" s="1"/>
  <c r="G18" i="1"/>
  <c r="J18" i="1" s="1"/>
  <c r="I18" i="1" s="1"/>
  <c r="K18" i="1"/>
  <c r="G25" i="1"/>
  <c r="J25" i="1" s="1"/>
  <c r="I25" i="1" s="1"/>
  <c r="K25" i="1"/>
  <c r="G45" i="1"/>
  <c r="J45" i="1" s="1"/>
  <c r="I45" i="1" s="1"/>
  <c r="K45" i="1"/>
  <c r="G54" i="1"/>
  <c r="J54" i="1" s="1"/>
  <c r="I54" i="1" s="1"/>
  <c r="K54" i="1"/>
  <c r="G127" i="1"/>
  <c r="J127" i="1" s="1"/>
  <c r="I127" i="1" s="1"/>
  <c r="K127" i="1"/>
  <c r="G138" i="1"/>
  <c r="J138" i="1" s="1"/>
  <c r="I138" i="1" s="1"/>
  <c r="K138" i="1"/>
  <c r="G144" i="1"/>
  <c r="J144" i="1" s="1"/>
  <c r="I144" i="1" s="1"/>
  <c r="K144" i="1"/>
  <c r="G173" i="1"/>
  <c r="J173" i="1" s="1"/>
  <c r="I173" i="1" s="1"/>
  <c r="K173" i="1"/>
  <c r="G219" i="1"/>
  <c r="J219" i="1" s="1"/>
  <c r="I219" i="1" s="1"/>
  <c r="K219" i="1"/>
  <c r="G228" i="1"/>
  <c r="J228" i="1" s="1"/>
  <c r="I228" i="1" s="1"/>
  <c r="K228" i="1"/>
  <c r="G236" i="1"/>
  <c r="J236" i="1" s="1"/>
  <c r="I236" i="1" s="1"/>
  <c r="K236" i="1"/>
  <c r="G255" i="1"/>
  <c r="J255" i="1" s="1"/>
  <c r="I255" i="1" s="1"/>
  <c r="K255" i="1"/>
  <c r="G283" i="1"/>
  <c r="J283" i="1" s="1"/>
  <c r="I283" i="1" s="1"/>
  <c r="K283" i="1"/>
  <c r="G313" i="1"/>
  <c r="J313" i="1" s="1"/>
  <c r="I313" i="1" s="1"/>
  <c r="K313" i="1"/>
  <c r="G323" i="1"/>
  <c r="J323" i="1" s="1"/>
  <c r="I323" i="1" s="1"/>
  <c r="K323" i="1"/>
  <c r="G333" i="1"/>
  <c r="J333" i="1" s="1"/>
  <c r="I333" i="1" s="1"/>
  <c r="K333" i="1"/>
  <c r="G364" i="1"/>
  <c r="J364" i="1" s="1"/>
  <c r="I364" i="1" s="1"/>
  <c r="K364" i="1"/>
  <c r="G438" i="1"/>
  <c r="J438" i="1" s="1"/>
  <c r="I438" i="1" s="1"/>
  <c r="K438" i="1"/>
  <c r="G470" i="1"/>
  <c r="J470" i="1" s="1"/>
  <c r="I470" i="1" s="1"/>
  <c r="K470" i="1"/>
  <c r="G482" i="1"/>
  <c r="J482" i="1" s="1"/>
  <c r="I482" i="1" s="1"/>
  <c r="K482" i="1"/>
  <c r="G501" i="1"/>
  <c r="J501" i="1" s="1"/>
  <c r="I501" i="1" s="1"/>
  <c r="K501" i="1"/>
  <c r="G546" i="1"/>
  <c r="J546" i="1" s="1"/>
  <c r="I546" i="1" s="1"/>
  <c r="K546" i="1"/>
  <c r="G566" i="1"/>
  <c r="J566" i="1" s="1"/>
  <c r="I566" i="1" s="1"/>
  <c r="K566" i="1"/>
  <c r="G582" i="1"/>
  <c r="J582" i="1" s="1"/>
  <c r="I582" i="1" s="1"/>
  <c r="K582" i="1"/>
  <c r="G608" i="1"/>
  <c r="J608" i="1" s="1"/>
  <c r="I608" i="1" s="1"/>
  <c r="K608" i="1"/>
  <c r="K30" i="1"/>
  <c r="G30" i="1"/>
  <c r="J30" i="1" s="1"/>
  <c r="I30" i="1" s="1"/>
  <c r="K57" i="1"/>
  <c r="G57" i="1"/>
  <c r="J57" i="1" s="1"/>
  <c r="I57" i="1" s="1"/>
  <c r="K71" i="1"/>
  <c r="G71" i="1"/>
  <c r="J71" i="1" s="1"/>
  <c r="I71" i="1" s="1"/>
  <c r="K108" i="1"/>
  <c r="G108" i="1"/>
  <c r="J108" i="1" s="1"/>
  <c r="I108" i="1" s="1"/>
  <c r="K123" i="1"/>
  <c r="G123" i="1"/>
  <c r="J123" i="1" s="1"/>
  <c r="I123" i="1" s="1"/>
  <c r="K142" i="1"/>
  <c r="G142" i="1"/>
  <c r="J142" i="1" s="1"/>
  <c r="I142" i="1" s="1"/>
  <c r="K161" i="1"/>
  <c r="G161" i="1"/>
  <c r="J161" i="1" s="1"/>
  <c r="I161" i="1" s="1"/>
  <c r="K178" i="1"/>
  <c r="G178" i="1"/>
  <c r="J178" i="1" s="1"/>
  <c r="I178" i="1" s="1"/>
  <c r="K194" i="1"/>
  <c r="G194" i="1"/>
  <c r="J194" i="1" s="1"/>
  <c r="I194" i="1" s="1"/>
  <c r="K212" i="1"/>
  <c r="G212" i="1"/>
  <c r="J212" i="1" s="1"/>
  <c r="I212" i="1" s="1"/>
  <c r="K231" i="1"/>
  <c r="G231" i="1"/>
  <c r="J231" i="1" s="1"/>
  <c r="I231" i="1" s="1"/>
  <c r="K245" i="1"/>
  <c r="G245" i="1"/>
  <c r="J245" i="1" s="1"/>
  <c r="I245" i="1" s="1"/>
  <c r="K266" i="1"/>
  <c r="G266" i="1"/>
  <c r="J266" i="1" s="1"/>
  <c r="I266" i="1" s="1"/>
  <c r="K281" i="1"/>
  <c r="G281" i="1"/>
  <c r="J281" i="1" s="1"/>
  <c r="I281" i="1" s="1"/>
  <c r="K300" i="1"/>
  <c r="G300" i="1"/>
  <c r="J300" i="1" s="1"/>
  <c r="I300" i="1" s="1"/>
  <c r="K324" i="1"/>
  <c r="G324" i="1"/>
  <c r="J324" i="1" s="1"/>
  <c r="I324" i="1" s="1"/>
  <c r="K338" i="1"/>
  <c r="G338" i="1"/>
  <c r="J338" i="1" s="1"/>
  <c r="I338" i="1" s="1"/>
  <c r="K356" i="1"/>
  <c r="G356" i="1"/>
  <c r="J356" i="1" s="1"/>
  <c r="I356" i="1" s="1"/>
  <c r="K429" i="1"/>
  <c r="G429" i="1"/>
  <c r="J429" i="1" s="1"/>
  <c r="I429" i="1" s="1"/>
  <c r="K442" i="1"/>
  <c r="G442" i="1"/>
  <c r="J442" i="1" s="1"/>
  <c r="I442" i="1" s="1"/>
  <c r="K462" i="1"/>
  <c r="G462" i="1"/>
  <c r="J462" i="1" s="1"/>
  <c r="I462" i="1" s="1"/>
  <c r="K497" i="1"/>
  <c r="G497" i="1"/>
  <c r="J497" i="1" s="1"/>
  <c r="I497" i="1" s="1"/>
  <c r="K512" i="1"/>
  <c r="G512" i="1"/>
  <c r="J512" i="1" s="1"/>
  <c r="I512" i="1" s="1"/>
  <c r="K535" i="1"/>
  <c r="G535" i="1"/>
  <c r="J535" i="1" s="1"/>
  <c r="I535" i="1" s="1"/>
  <c r="K552" i="1"/>
  <c r="G552" i="1"/>
  <c r="J552" i="1" s="1"/>
  <c r="I552" i="1" s="1"/>
  <c r="K605" i="1"/>
  <c r="G605" i="1"/>
  <c r="J605" i="1" s="1"/>
  <c r="I605" i="1" s="1"/>
  <c r="G303" i="1"/>
  <c r="J303" i="1" s="1"/>
  <c r="I303" i="1" s="1"/>
  <c r="K303" i="1"/>
  <c r="G367" i="1"/>
  <c r="J367" i="1" s="1"/>
  <c r="I367" i="1" s="1"/>
  <c r="K367" i="1"/>
  <c r="G375" i="1"/>
  <c r="J375" i="1" s="1"/>
  <c r="I375" i="1" s="1"/>
  <c r="K375" i="1"/>
  <c r="G390" i="1"/>
  <c r="J390" i="1" s="1"/>
  <c r="I390" i="1" s="1"/>
  <c r="K390" i="1"/>
  <c r="G399" i="1"/>
  <c r="J399" i="1" s="1"/>
  <c r="I399" i="1" s="1"/>
  <c r="K399" i="1"/>
  <c r="G407" i="1"/>
  <c r="J407" i="1" s="1"/>
  <c r="I407" i="1" s="1"/>
  <c r="K407" i="1"/>
  <c r="G415" i="1"/>
  <c r="J415" i="1" s="1"/>
  <c r="I415" i="1" s="1"/>
  <c r="K415" i="1"/>
  <c r="G471" i="1"/>
  <c r="J471" i="1" s="1"/>
  <c r="I471" i="1" s="1"/>
  <c r="K471" i="1"/>
  <c r="G479" i="1"/>
  <c r="J479" i="1" s="1"/>
  <c r="I479" i="1" s="1"/>
  <c r="K479" i="1"/>
  <c r="G487" i="1"/>
  <c r="J487" i="1" s="1"/>
  <c r="I487" i="1" s="1"/>
  <c r="K487" i="1"/>
  <c r="G495" i="1"/>
  <c r="J495" i="1" s="1"/>
  <c r="I495" i="1" s="1"/>
  <c r="K495" i="1"/>
  <c r="G510" i="1"/>
  <c r="J510" i="1" s="1"/>
  <c r="I510" i="1" s="1"/>
  <c r="K510" i="1"/>
  <c r="G520" i="1"/>
  <c r="J520" i="1" s="1"/>
  <c r="I520" i="1" s="1"/>
  <c r="K520" i="1"/>
  <c r="G527" i="1"/>
  <c r="J527" i="1" s="1"/>
  <c r="I527" i="1" s="1"/>
  <c r="K527" i="1"/>
  <c r="G534" i="1"/>
  <c r="J534" i="1" s="1"/>
  <c r="I534" i="1" s="1"/>
  <c r="K534" i="1"/>
  <c r="G578" i="1"/>
  <c r="J578" i="1" s="1"/>
  <c r="I578" i="1" s="1"/>
  <c r="K578" i="1"/>
  <c r="G589" i="1"/>
  <c r="J589" i="1" s="1"/>
  <c r="I589" i="1" s="1"/>
  <c r="K589" i="1"/>
  <c r="G625" i="1"/>
  <c r="J625" i="1" s="1"/>
  <c r="I625" i="1" s="1"/>
  <c r="K625" i="1"/>
  <c r="K7" i="1"/>
  <c r="G7" i="1"/>
  <c r="J7" i="1" s="1"/>
  <c r="I7" i="1" s="1"/>
  <c r="K19" i="1"/>
  <c r="G19" i="1"/>
  <c r="J19" i="1" s="1"/>
  <c r="I19" i="1" s="1"/>
  <c r="K35" i="1"/>
  <c r="G35" i="1"/>
  <c r="J35" i="1" s="1"/>
  <c r="I35" i="1" s="1"/>
  <c r="K49" i="1"/>
  <c r="G49" i="1"/>
  <c r="J49" i="1" s="1"/>
  <c r="I49" i="1" s="1"/>
  <c r="K67" i="1"/>
  <c r="G67" i="1"/>
  <c r="J67" i="1" s="1"/>
  <c r="I67" i="1" s="1"/>
  <c r="K79" i="1"/>
  <c r="G79" i="1"/>
  <c r="J79" i="1" s="1"/>
  <c r="I79" i="1" s="1"/>
  <c r="K90" i="1"/>
  <c r="G90" i="1"/>
  <c r="J90" i="1" s="1"/>
  <c r="I90" i="1" s="1"/>
  <c r="K103" i="1"/>
  <c r="G103" i="1"/>
  <c r="J103" i="1" s="1"/>
  <c r="I103" i="1" s="1"/>
  <c r="K114" i="1"/>
  <c r="G114" i="1"/>
  <c r="J114" i="1" s="1"/>
  <c r="I114" i="1" s="1"/>
  <c r="K155" i="1"/>
  <c r="G155" i="1"/>
  <c r="J155" i="1" s="1"/>
  <c r="I155" i="1" s="1"/>
  <c r="K169" i="1"/>
  <c r="G169" i="1"/>
  <c r="J169" i="1" s="1"/>
  <c r="I169" i="1" s="1"/>
  <c r="K180" i="1"/>
  <c r="G180" i="1"/>
  <c r="J180" i="1" s="1"/>
  <c r="I180" i="1" s="1"/>
  <c r="K195" i="1"/>
  <c r="G195" i="1"/>
  <c r="J195" i="1" s="1"/>
  <c r="I195" i="1" s="1"/>
  <c r="K210" i="1"/>
  <c r="G210" i="1"/>
  <c r="J210" i="1" s="1"/>
  <c r="I210" i="1" s="1"/>
  <c r="K220" i="1"/>
  <c r="G220" i="1"/>
  <c r="J220" i="1" s="1"/>
  <c r="I220" i="1" s="1"/>
  <c r="K234" i="1"/>
  <c r="G234" i="1"/>
  <c r="J234" i="1" s="1"/>
  <c r="I234" i="1" s="1"/>
  <c r="K246" i="1"/>
  <c r="G246" i="1"/>
  <c r="J246" i="1" s="1"/>
  <c r="I246" i="1" s="1"/>
  <c r="K260" i="1"/>
  <c r="G260" i="1"/>
  <c r="J260" i="1" s="1"/>
  <c r="I260" i="1" s="1"/>
  <c r="K274" i="1"/>
  <c r="G274" i="1"/>
  <c r="J274" i="1" s="1"/>
  <c r="I274" i="1" s="1"/>
  <c r="K285" i="1"/>
  <c r="G285" i="1"/>
  <c r="J285" i="1" s="1"/>
  <c r="I285" i="1" s="1"/>
  <c r="K301" i="1"/>
  <c r="G301" i="1"/>
  <c r="J301" i="1" s="1"/>
  <c r="I301" i="1" s="1"/>
  <c r="K316" i="1"/>
  <c r="G316" i="1"/>
  <c r="J316" i="1" s="1"/>
  <c r="I316" i="1" s="1"/>
  <c r="K329" i="1"/>
  <c r="G329" i="1"/>
  <c r="J329" i="1" s="1"/>
  <c r="I329" i="1" s="1"/>
  <c r="K346" i="1"/>
  <c r="G346" i="1"/>
  <c r="J346" i="1" s="1"/>
  <c r="I346" i="1" s="1"/>
  <c r="K355" i="1"/>
  <c r="G355" i="1"/>
  <c r="J355" i="1" s="1"/>
  <c r="I355" i="1" s="1"/>
  <c r="K372" i="1"/>
  <c r="G372" i="1"/>
  <c r="J372" i="1" s="1"/>
  <c r="I372" i="1" s="1"/>
  <c r="K383" i="1"/>
  <c r="G383" i="1"/>
  <c r="J383" i="1" s="1"/>
  <c r="I383" i="1" s="1"/>
  <c r="K394" i="1"/>
  <c r="G394" i="1"/>
  <c r="J394" i="1" s="1"/>
  <c r="I394" i="1" s="1"/>
  <c r="K410" i="1"/>
  <c r="G410" i="1"/>
  <c r="J410" i="1" s="1"/>
  <c r="I410" i="1" s="1"/>
  <c r="K422" i="1"/>
  <c r="G422" i="1"/>
  <c r="J422" i="1" s="1"/>
  <c r="I422" i="1" s="1"/>
  <c r="K436" i="1"/>
  <c r="G436" i="1"/>
  <c r="J436" i="1" s="1"/>
  <c r="I436" i="1" s="1"/>
  <c r="K461" i="1"/>
  <c r="G461" i="1"/>
  <c r="J461" i="1" s="1"/>
  <c r="I461" i="1" s="1"/>
  <c r="K475" i="1"/>
  <c r="G475" i="1"/>
  <c r="J475" i="1" s="1"/>
  <c r="I475" i="1" s="1"/>
  <c r="K491" i="1"/>
  <c r="G491" i="1"/>
  <c r="J491" i="1" s="1"/>
  <c r="I491" i="1" s="1"/>
  <c r="K504" i="1"/>
  <c r="G504" i="1"/>
  <c r="J504" i="1" s="1"/>
  <c r="I504" i="1" s="1"/>
  <c r="K516" i="1"/>
  <c r="G516" i="1"/>
  <c r="J516" i="1" s="1"/>
  <c r="I516" i="1" s="1"/>
  <c r="K557" i="1"/>
  <c r="G557" i="1"/>
  <c r="J557" i="1" s="1"/>
  <c r="I557" i="1" s="1"/>
  <c r="K572" i="1"/>
  <c r="G572" i="1"/>
  <c r="J572" i="1" s="1"/>
  <c r="I572" i="1" s="1"/>
  <c r="K583" i="1"/>
  <c r="G583" i="1"/>
  <c r="J583" i="1" s="1"/>
  <c r="I583" i="1" s="1"/>
  <c r="K626" i="1"/>
  <c r="G626" i="1"/>
  <c r="J626" i="1" s="1"/>
  <c r="I626" i="1" s="1"/>
  <c r="G16" i="1"/>
  <c r="J16" i="1" s="1"/>
  <c r="I16" i="1" s="1"/>
  <c r="K16" i="1"/>
  <c r="G41" i="1"/>
  <c r="J41" i="1" s="1"/>
  <c r="I41" i="1" s="1"/>
  <c r="K41" i="1"/>
  <c r="G56" i="1"/>
  <c r="J56" i="1" s="1"/>
  <c r="I56" i="1" s="1"/>
  <c r="K56" i="1"/>
  <c r="G72" i="1"/>
  <c r="J72" i="1" s="1"/>
  <c r="I72" i="1" s="1"/>
  <c r="K72" i="1"/>
  <c r="G80" i="1"/>
  <c r="J80" i="1" s="1"/>
  <c r="I80" i="1" s="1"/>
  <c r="K80" i="1"/>
  <c r="G88" i="1"/>
  <c r="J88" i="1" s="1"/>
  <c r="I88" i="1" s="1"/>
  <c r="K88" i="1"/>
  <c r="G96" i="1"/>
  <c r="J96" i="1" s="1"/>
  <c r="I96" i="1" s="1"/>
  <c r="K96" i="1"/>
  <c r="G110" i="1"/>
  <c r="J110" i="1" s="1"/>
  <c r="I110" i="1" s="1"/>
  <c r="K110" i="1"/>
  <c r="G122" i="1"/>
  <c r="J122" i="1" s="1"/>
  <c r="I122" i="1" s="1"/>
  <c r="K122" i="1"/>
  <c r="G128" i="1"/>
  <c r="J128" i="1" s="1"/>
  <c r="I128" i="1" s="1"/>
  <c r="K128" i="1"/>
  <c r="G136" i="1"/>
  <c r="J136" i="1" s="1"/>
  <c r="I136" i="1" s="1"/>
  <c r="K136" i="1"/>
  <c r="G146" i="1"/>
  <c r="J146" i="1" s="1"/>
  <c r="I146" i="1" s="1"/>
  <c r="K146" i="1"/>
  <c r="G151" i="1"/>
  <c r="J151" i="1" s="1"/>
  <c r="I151" i="1" s="1"/>
  <c r="K151" i="1"/>
  <c r="G160" i="1"/>
  <c r="J160" i="1" s="1"/>
  <c r="I160" i="1" s="1"/>
  <c r="K160" i="1"/>
  <c r="G167" i="1"/>
  <c r="J167" i="1" s="1"/>
  <c r="I167" i="1" s="1"/>
  <c r="K167" i="1"/>
  <c r="G175" i="1"/>
  <c r="J175" i="1" s="1"/>
  <c r="I175" i="1" s="1"/>
  <c r="K175" i="1"/>
  <c r="G320" i="1"/>
  <c r="J320" i="1" s="1"/>
  <c r="I320" i="1" s="1"/>
  <c r="K320" i="1"/>
  <c r="G328" i="1"/>
  <c r="J328" i="1" s="1"/>
  <c r="I328" i="1" s="1"/>
  <c r="K328" i="1"/>
  <c r="G335" i="1"/>
  <c r="J335" i="1" s="1"/>
  <c r="I335" i="1" s="1"/>
  <c r="K335" i="1"/>
  <c r="G432" i="1"/>
  <c r="J432" i="1" s="1"/>
  <c r="I432" i="1" s="1"/>
  <c r="K432" i="1"/>
  <c r="G440" i="1"/>
  <c r="J440" i="1" s="1"/>
  <c r="I440" i="1" s="1"/>
  <c r="K440" i="1"/>
  <c r="G448" i="1"/>
  <c r="J448" i="1" s="1"/>
  <c r="I448" i="1" s="1"/>
  <c r="K448" i="1"/>
  <c r="G456" i="1"/>
  <c r="J456" i="1" s="1"/>
  <c r="I456" i="1" s="1"/>
  <c r="K456" i="1"/>
  <c r="G496" i="1"/>
  <c r="J496" i="1" s="1"/>
  <c r="I496" i="1" s="1"/>
  <c r="K496" i="1"/>
  <c r="G513" i="1"/>
  <c r="J513" i="1" s="1"/>
  <c r="I513" i="1" s="1"/>
  <c r="K513" i="1"/>
  <c r="G519" i="1"/>
  <c r="J519" i="1" s="1"/>
  <c r="I519" i="1" s="1"/>
  <c r="K519" i="1"/>
  <c r="G528" i="1"/>
  <c r="J528" i="1" s="1"/>
  <c r="I528" i="1" s="1"/>
  <c r="K528" i="1"/>
  <c r="G544" i="1"/>
  <c r="J544" i="1" s="1"/>
  <c r="I544" i="1" s="1"/>
  <c r="K544" i="1"/>
  <c r="G570" i="1"/>
  <c r="J570" i="1" s="1"/>
  <c r="I570" i="1" s="1"/>
  <c r="K570" i="1"/>
  <c r="G577" i="1"/>
  <c r="J577" i="1" s="1"/>
  <c r="I577" i="1" s="1"/>
  <c r="K577" i="1"/>
  <c r="G588" i="1"/>
  <c r="J588" i="1" s="1"/>
  <c r="I588" i="1" s="1"/>
  <c r="K588" i="1"/>
  <c r="G624" i="1"/>
  <c r="J624" i="1" s="1"/>
  <c r="I624" i="1" s="1"/>
  <c r="K624" i="1"/>
  <c r="K8" i="1"/>
  <c r="G8" i="1"/>
  <c r="J8" i="1" s="1"/>
  <c r="I8" i="1" s="1"/>
  <c r="K21" i="1"/>
  <c r="G21" i="1"/>
  <c r="J21" i="1" s="1"/>
  <c r="I21" i="1" s="1"/>
  <c r="K36" i="1"/>
  <c r="G36" i="1"/>
  <c r="J36" i="1" s="1"/>
  <c r="I36" i="1" s="1"/>
  <c r="K53" i="1"/>
  <c r="G53" i="1"/>
  <c r="J53" i="1" s="1"/>
  <c r="I53" i="1" s="1"/>
  <c r="K66" i="1"/>
  <c r="G66" i="1"/>
  <c r="J66" i="1" s="1"/>
  <c r="I66" i="1" s="1"/>
  <c r="K78" i="1"/>
  <c r="G78" i="1"/>
  <c r="J78" i="1" s="1"/>
  <c r="I78" i="1" s="1"/>
  <c r="K93" i="1"/>
  <c r="G93" i="1"/>
  <c r="J93" i="1" s="1"/>
  <c r="I93" i="1" s="1"/>
  <c r="K104" i="1"/>
  <c r="G104" i="1"/>
  <c r="J104" i="1" s="1"/>
  <c r="I104" i="1" s="1"/>
  <c r="K116" i="1"/>
  <c r="G116" i="1"/>
  <c r="J116" i="1" s="1"/>
  <c r="I116" i="1" s="1"/>
  <c r="K129" i="1"/>
  <c r="G129" i="1"/>
  <c r="J129" i="1" s="1"/>
  <c r="I129" i="1" s="1"/>
  <c r="K145" i="1"/>
  <c r="G145" i="1"/>
  <c r="J145" i="1" s="1"/>
  <c r="I145" i="1" s="1"/>
  <c r="K157" i="1"/>
  <c r="G157" i="1"/>
  <c r="J157" i="1" s="1"/>
  <c r="I157" i="1" s="1"/>
  <c r="K170" i="1"/>
  <c r="G170" i="1"/>
  <c r="J170" i="1" s="1"/>
  <c r="I170" i="1" s="1"/>
  <c r="K185" i="1"/>
  <c r="G185" i="1"/>
  <c r="J185" i="1" s="1"/>
  <c r="I185" i="1" s="1"/>
  <c r="K197" i="1"/>
  <c r="G197" i="1"/>
  <c r="J197" i="1" s="1"/>
  <c r="I197" i="1" s="1"/>
  <c r="K211" i="1"/>
  <c r="G211" i="1"/>
  <c r="J211" i="1" s="1"/>
  <c r="I211" i="1" s="1"/>
  <c r="K222" i="1"/>
  <c r="G222" i="1"/>
  <c r="J222" i="1" s="1"/>
  <c r="I222" i="1" s="1"/>
  <c r="K237" i="1"/>
  <c r="G237" i="1"/>
  <c r="J237" i="1" s="1"/>
  <c r="I237" i="1" s="1"/>
  <c r="K248" i="1"/>
  <c r="G248" i="1"/>
  <c r="J248" i="1" s="1"/>
  <c r="I248" i="1" s="1"/>
  <c r="K263" i="1"/>
  <c r="G263" i="1"/>
  <c r="J263" i="1" s="1"/>
  <c r="I263" i="1" s="1"/>
  <c r="K276" i="1"/>
  <c r="G276" i="1"/>
  <c r="J276" i="1" s="1"/>
  <c r="I276" i="1" s="1"/>
  <c r="K287" i="1"/>
  <c r="G287" i="1"/>
  <c r="J287" i="1" s="1"/>
  <c r="I287" i="1" s="1"/>
  <c r="K302" i="1"/>
  <c r="G302" i="1"/>
  <c r="J302" i="1" s="1"/>
  <c r="I302" i="1" s="1"/>
  <c r="K319" i="1"/>
  <c r="G319" i="1"/>
  <c r="J319" i="1" s="1"/>
  <c r="I319" i="1" s="1"/>
  <c r="K331" i="1"/>
  <c r="G331" i="1"/>
  <c r="J331" i="1" s="1"/>
  <c r="I331" i="1" s="1"/>
  <c r="K345" i="1"/>
  <c r="G345" i="1"/>
  <c r="J345" i="1" s="1"/>
  <c r="I345" i="1" s="1"/>
  <c r="K358" i="1"/>
  <c r="G358" i="1"/>
  <c r="J358" i="1" s="1"/>
  <c r="I358" i="1" s="1"/>
  <c r="K371" i="1"/>
  <c r="G371" i="1"/>
  <c r="J371" i="1" s="1"/>
  <c r="I371" i="1" s="1"/>
  <c r="K386" i="1"/>
  <c r="G386" i="1"/>
  <c r="J386" i="1" s="1"/>
  <c r="I386" i="1" s="1"/>
  <c r="K397" i="1"/>
  <c r="G397" i="1"/>
  <c r="J397" i="1" s="1"/>
  <c r="I397" i="1" s="1"/>
  <c r="K411" i="1"/>
  <c r="G411" i="1"/>
  <c r="J411" i="1" s="1"/>
  <c r="I411" i="1" s="1"/>
  <c r="K424" i="1"/>
  <c r="G424" i="1"/>
  <c r="J424" i="1" s="1"/>
  <c r="I424" i="1" s="1"/>
  <c r="K437" i="1"/>
  <c r="G437" i="1"/>
  <c r="J437" i="1" s="1"/>
  <c r="I437" i="1" s="1"/>
  <c r="K451" i="1"/>
  <c r="G451" i="1"/>
  <c r="J451" i="1" s="1"/>
  <c r="I451" i="1" s="1"/>
  <c r="K460" i="1"/>
  <c r="G460" i="1"/>
  <c r="J460" i="1" s="1"/>
  <c r="I460" i="1" s="1"/>
  <c r="K478" i="1"/>
  <c r="G478" i="1"/>
  <c r="J478" i="1" s="1"/>
  <c r="I478" i="1" s="1"/>
  <c r="K489" i="1"/>
  <c r="G489" i="1"/>
  <c r="J489" i="1" s="1"/>
  <c r="I489" i="1" s="1"/>
  <c r="K503" i="1"/>
  <c r="G503" i="1"/>
  <c r="J503" i="1" s="1"/>
  <c r="I503" i="1" s="1"/>
  <c r="K518" i="1"/>
  <c r="G518" i="1"/>
  <c r="J518" i="1" s="1"/>
  <c r="I518" i="1" s="1"/>
  <c r="K529" i="1"/>
  <c r="G529" i="1"/>
  <c r="J529" i="1" s="1"/>
  <c r="I529" i="1" s="1"/>
  <c r="K545" i="1"/>
  <c r="G545" i="1"/>
  <c r="J545" i="1" s="1"/>
  <c r="I545" i="1" s="1"/>
  <c r="K560" i="1"/>
  <c r="G560" i="1"/>
  <c r="J560" i="1" s="1"/>
  <c r="I560" i="1" s="1"/>
  <c r="K574" i="1"/>
  <c r="G574" i="1"/>
  <c r="J574" i="1" s="1"/>
  <c r="I574" i="1" s="1"/>
  <c r="K587" i="1"/>
  <c r="G587" i="1"/>
  <c r="J587" i="1" s="1"/>
  <c r="I587" i="1" s="1"/>
  <c r="K597" i="1"/>
  <c r="G597" i="1"/>
  <c r="J597" i="1" s="1"/>
  <c r="I597" i="1" s="1"/>
  <c r="K616" i="1"/>
  <c r="G616" i="1"/>
  <c r="J616" i="1" s="1"/>
  <c r="I616" i="1" s="1"/>
  <c r="G554" i="1"/>
  <c r="J554" i="1" s="1"/>
  <c r="I554" i="1" s="1"/>
  <c r="K554" i="1"/>
  <c r="K3" i="1"/>
  <c r="G3" i="1"/>
  <c r="J3" i="1" s="1"/>
  <c r="I3" i="1" s="1"/>
  <c r="K12" i="1"/>
  <c r="G12" i="1"/>
  <c r="J12" i="1" s="1"/>
  <c r="I12" i="1" s="1"/>
  <c r="K20" i="1"/>
  <c r="G20" i="1"/>
  <c r="J20" i="1" s="1"/>
  <c r="I20" i="1" s="1"/>
  <c r="K29" i="1"/>
  <c r="G29" i="1"/>
  <c r="J29" i="1" s="1"/>
  <c r="I29" i="1" s="1"/>
  <c r="K39" i="1"/>
  <c r="G39" i="1"/>
  <c r="J39" i="1" s="1"/>
  <c r="I39" i="1" s="1"/>
  <c r="K47" i="1"/>
  <c r="G47" i="1"/>
  <c r="J47" i="1" s="1"/>
  <c r="I47" i="1" s="1"/>
  <c r="K55" i="1"/>
  <c r="G55" i="1"/>
  <c r="J55" i="1" s="1"/>
  <c r="I55" i="1" s="1"/>
  <c r="K65" i="1"/>
  <c r="G65" i="1"/>
  <c r="J65" i="1" s="1"/>
  <c r="I65" i="1" s="1"/>
  <c r="K73" i="1"/>
  <c r="G73" i="1"/>
  <c r="J73" i="1" s="1"/>
  <c r="I73" i="1" s="1"/>
  <c r="K82" i="1"/>
  <c r="G82" i="1"/>
  <c r="J82" i="1" s="1"/>
  <c r="I82" i="1" s="1"/>
  <c r="K89" i="1"/>
  <c r="G89" i="1"/>
  <c r="J89" i="1" s="1"/>
  <c r="I89" i="1" s="1"/>
  <c r="K98" i="1"/>
  <c r="G98" i="1"/>
  <c r="J98" i="1" s="1"/>
  <c r="I98" i="1" s="1"/>
  <c r="K106" i="1"/>
  <c r="G106" i="1"/>
  <c r="J106" i="1" s="1"/>
  <c r="I106" i="1" s="1"/>
  <c r="K115" i="1"/>
  <c r="G115" i="1"/>
  <c r="J115" i="1" s="1"/>
  <c r="I115" i="1" s="1"/>
  <c r="K120" i="1"/>
  <c r="G120" i="1"/>
  <c r="J120" i="1" s="1"/>
  <c r="I120" i="1" s="1"/>
  <c r="K131" i="1"/>
  <c r="G131" i="1"/>
  <c r="J131" i="1" s="1"/>
  <c r="I131" i="1" s="1"/>
  <c r="K139" i="1"/>
  <c r="G139" i="1"/>
  <c r="J139" i="1" s="1"/>
  <c r="I139" i="1" s="1"/>
  <c r="K148" i="1"/>
  <c r="G148" i="1"/>
  <c r="J148" i="1" s="1"/>
  <c r="I148" i="1" s="1"/>
  <c r="K154" i="1"/>
  <c r="G154" i="1"/>
  <c r="J154" i="1" s="1"/>
  <c r="I154" i="1" s="1"/>
  <c r="K163" i="1"/>
  <c r="G163" i="1"/>
  <c r="J163" i="1" s="1"/>
  <c r="I163" i="1" s="1"/>
  <c r="K172" i="1"/>
  <c r="G172" i="1"/>
  <c r="J172" i="1" s="1"/>
  <c r="I172" i="1" s="1"/>
  <c r="K181" i="1"/>
  <c r="G181" i="1"/>
  <c r="J181" i="1" s="1"/>
  <c r="I181" i="1" s="1"/>
  <c r="K190" i="1"/>
  <c r="G190" i="1"/>
  <c r="J190" i="1" s="1"/>
  <c r="I190" i="1" s="1"/>
  <c r="K198" i="1"/>
  <c r="G198" i="1"/>
  <c r="J198" i="1" s="1"/>
  <c r="I198" i="1" s="1"/>
  <c r="K205" i="1"/>
  <c r="G205" i="1"/>
  <c r="J205" i="1" s="1"/>
  <c r="I205" i="1" s="1"/>
  <c r="K214" i="1"/>
  <c r="G214" i="1"/>
  <c r="J214" i="1" s="1"/>
  <c r="I214" i="1" s="1"/>
  <c r="K223" i="1"/>
  <c r="G223" i="1"/>
  <c r="J223" i="1" s="1"/>
  <c r="I223" i="1" s="1"/>
  <c r="K230" i="1"/>
  <c r="G230" i="1"/>
  <c r="J230" i="1" s="1"/>
  <c r="I230" i="1" s="1"/>
  <c r="K240" i="1"/>
  <c r="G240" i="1"/>
  <c r="J240" i="1" s="1"/>
  <c r="I240" i="1" s="1"/>
  <c r="K247" i="1"/>
  <c r="G247" i="1"/>
  <c r="J247" i="1" s="1"/>
  <c r="I247" i="1" s="1"/>
  <c r="K253" i="1"/>
  <c r="G253" i="1"/>
  <c r="J253" i="1" s="1"/>
  <c r="I253" i="1" s="1"/>
  <c r="K262" i="1"/>
  <c r="G262" i="1"/>
  <c r="J262" i="1" s="1"/>
  <c r="I262" i="1" s="1"/>
  <c r="K271" i="1"/>
  <c r="G271" i="1"/>
  <c r="J271" i="1" s="1"/>
  <c r="I271" i="1" s="1"/>
  <c r="K278" i="1"/>
  <c r="G278" i="1"/>
  <c r="J278" i="1" s="1"/>
  <c r="I278" i="1" s="1"/>
  <c r="K286" i="1"/>
  <c r="G286" i="1"/>
  <c r="J286" i="1" s="1"/>
  <c r="I286" i="1" s="1"/>
  <c r="K296" i="1"/>
  <c r="G296" i="1"/>
  <c r="J296" i="1" s="1"/>
  <c r="I296" i="1" s="1"/>
  <c r="K304" i="1"/>
  <c r="G304" i="1"/>
  <c r="J304" i="1" s="1"/>
  <c r="I304" i="1" s="1"/>
  <c r="K317" i="1"/>
  <c r="G317" i="1"/>
  <c r="J317" i="1" s="1"/>
  <c r="I317" i="1" s="1"/>
  <c r="K322" i="1"/>
  <c r="G322" i="1"/>
  <c r="J322" i="1" s="1"/>
  <c r="I322" i="1" s="1"/>
  <c r="K332" i="1"/>
  <c r="G332" i="1"/>
  <c r="J332" i="1" s="1"/>
  <c r="I332" i="1" s="1"/>
  <c r="K340" i="1"/>
  <c r="G340" i="1"/>
  <c r="J340" i="1" s="1"/>
  <c r="I340" i="1" s="1"/>
  <c r="K351" i="1"/>
  <c r="G351" i="1"/>
  <c r="J351" i="1" s="1"/>
  <c r="I351" i="1" s="1"/>
  <c r="K357" i="1"/>
  <c r="G357" i="1"/>
  <c r="J357" i="1" s="1"/>
  <c r="I357" i="1" s="1"/>
  <c r="K365" i="1"/>
  <c r="G365" i="1"/>
  <c r="J365" i="1" s="1"/>
  <c r="I365" i="1" s="1"/>
  <c r="K374" i="1"/>
  <c r="G374" i="1"/>
  <c r="J374" i="1" s="1"/>
  <c r="I374" i="1" s="1"/>
  <c r="K381" i="1"/>
  <c r="G381" i="1"/>
  <c r="J381" i="1" s="1"/>
  <c r="I381" i="1" s="1"/>
  <c r="K391" i="1"/>
  <c r="G391" i="1"/>
  <c r="J391" i="1" s="1"/>
  <c r="I391" i="1" s="1"/>
  <c r="K398" i="1"/>
  <c r="G398" i="1"/>
  <c r="J398" i="1" s="1"/>
  <c r="I398" i="1" s="1"/>
  <c r="K406" i="1"/>
  <c r="G406" i="1"/>
  <c r="J406" i="1" s="1"/>
  <c r="I406" i="1" s="1"/>
  <c r="K414" i="1"/>
  <c r="G414" i="1"/>
  <c r="J414" i="1" s="1"/>
  <c r="I414" i="1" s="1"/>
  <c r="K423" i="1"/>
  <c r="G423" i="1"/>
  <c r="J423" i="1" s="1"/>
  <c r="I423" i="1" s="1"/>
  <c r="K431" i="1"/>
  <c r="G431" i="1"/>
  <c r="J431" i="1" s="1"/>
  <c r="I431" i="1" s="1"/>
  <c r="K439" i="1"/>
  <c r="G439" i="1"/>
  <c r="J439" i="1" s="1"/>
  <c r="I439" i="1" s="1"/>
  <c r="K447" i="1"/>
  <c r="G447" i="1"/>
  <c r="J447" i="1" s="1"/>
  <c r="I447" i="1" s="1"/>
  <c r="K454" i="1"/>
  <c r="G454" i="1"/>
  <c r="J454" i="1" s="1"/>
  <c r="I454" i="1" s="1"/>
  <c r="K464" i="1"/>
  <c r="G464" i="1"/>
  <c r="J464" i="1" s="1"/>
  <c r="I464" i="1" s="1"/>
  <c r="K472" i="1"/>
  <c r="G472" i="1"/>
  <c r="J472" i="1" s="1"/>
  <c r="I472" i="1" s="1"/>
  <c r="K480" i="1"/>
  <c r="G480" i="1"/>
  <c r="J480" i="1" s="1"/>
  <c r="I480" i="1" s="1"/>
  <c r="K490" i="1"/>
  <c r="G490" i="1"/>
  <c r="J490" i="1" s="1"/>
  <c r="I490" i="1" s="1"/>
  <c r="K498" i="1"/>
  <c r="G498" i="1"/>
  <c r="J498" i="1" s="1"/>
  <c r="I498" i="1" s="1"/>
  <c r="K505" i="1"/>
  <c r="G505" i="1"/>
  <c r="J505" i="1" s="1"/>
  <c r="I505" i="1" s="1"/>
  <c r="K514" i="1"/>
  <c r="G514" i="1"/>
  <c r="J514" i="1" s="1"/>
  <c r="I514" i="1" s="1"/>
  <c r="K522" i="1"/>
  <c r="G522" i="1"/>
  <c r="J522" i="1" s="1"/>
  <c r="I522" i="1" s="1"/>
  <c r="K531" i="1"/>
  <c r="G531" i="1"/>
  <c r="J531" i="1" s="1"/>
  <c r="I531" i="1" s="1"/>
  <c r="K539" i="1"/>
  <c r="G539" i="1"/>
  <c r="J539" i="1" s="1"/>
  <c r="I539" i="1" s="1"/>
  <c r="K547" i="1"/>
  <c r="G547" i="1"/>
  <c r="J547" i="1" s="1"/>
  <c r="I547" i="1" s="1"/>
  <c r="K556" i="1"/>
  <c r="G556" i="1"/>
  <c r="J556" i="1" s="1"/>
  <c r="I556" i="1" s="1"/>
  <c r="K567" i="1"/>
  <c r="G567" i="1"/>
  <c r="J567" i="1" s="1"/>
  <c r="I567" i="1" s="1"/>
  <c r="K575" i="1"/>
  <c r="G575" i="1"/>
  <c r="J575" i="1" s="1"/>
  <c r="I575" i="1" s="1"/>
  <c r="K584" i="1"/>
  <c r="G584" i="1"/>
  <c r="J584" i="1" s="1"/>
  <c r="I584" i="1" s="1"/>
  <c r="K591" i="1"/>
  <c r="G591" i="1"/>
  <c r="J591" i="1" s="1"/>
  <c r="I591" i="1" s="1"/>
  <c r="K600" i="1"/>
  <c r="G600" i="1"/>
  <c r="J600" i="1" s="1"/>
  <c r="I600" i="1" s="1"/>
  <c r="K609" i="1"/>
  <c r="G609" i="1"/>
  <c r="J609" i="1" s="1"/>
  <c r="I609" i="1" s="1"/>
  <c r="K618" i="1"/>
  <c r="G618" i="1"/>
  <c r="J618" i="1" s="1"/>
  <c r="I618" i="1" s="1"/>
  <c r="G596" i="1"/>
  <c r="J596" i="1" s="1"/>
  <c r="I596" i="1" s="1"/>
  <c r="K596" i="1"/>
  <c r="G604" i="1"/>
  <c r="J604" i="1" s="1"/>
  <c r="I604" i="1" s="1"/>
  <c r="K604" i="1"/>
  <c r="G612" i="1"/>
  <c r="J612" i="1" s="1"/>
  <c r="I612" i="1" s="1"/>
  <c r="K612" i="1"/>
  <c r="G621" i="1"/>
  <c r="J621" i="1" s="1"/>
  <c r="I621" i="1" s="1"/>
  <c r="K621" i="1"/>
  <c r="G628" i="1"/>
  <c r="J628" i="1" s="1"/>
  <c r="I628" i="1" s="1"/>
  <c r="K628" i="1"/>
  <c r="K5" i="1"/>
  <c r="G5" i="1"/>
  <c r="J5" i="1" s="1"/>
  <c r="I5" i="1" s="1"/>
  <c r="K15" i="1"/>
  <c r="G15" i="1"/>
  <c r="J15" i="1" s="1"/>
  <c r="I15" i="1" s="1"/>
  <c r="K22" i="1"/>
  <c r="G22" i="1"/>
  <c r="J22" i="1" s="1"/>
  <c r="I22" i="1" s="1"/>
  <c r="K32" i="1"/>
  <c r="G32" i="1"/>
  <c r="J32" i="1" s="1"/>
  <c r="I32" i="1" s="1"/>
  <c r="K42" i="1"/>
  <c r="G42" i="1"/>
  <c r="J42" i="1" s="1"/>
  <c r="I42" i="1" s="1"/>
  <c r="K52" i="1"/>
  <c r="G52" i="1"/>
  <c r="J52" i="1" s="1"/>
  <c r="I52" i="1" s="1"/>
  <c r="K58" i="1"/>
  <c r="G58" i="1"/>
  <c r="J58" i="1" s="1"/>
  <c r="I58" i="1" s="1"/>
  <c r="K63" i="1"/>
  <c r="G63" i="1"/>
  <c r="J63" i="1" s="1"/>
  <c r="I63" i="1" s="1"/>
  <c r="K75" i="1"/>
  <c r="G75" i="1"/>
  <c r="J75" i="1" s="1"/>
  <c r="I75" i="1" s="1"/>
  <c r="K85" i="1"/>
  <c r="G85" i="1"/>
  <c r="J85" i="1" s="1"/>
  <c r="I85" i="1" s="1"/>
  <c r="K92" i="1"/>
  <c r="G92" i="1"/>
  <c r="J92" i="1" s="1"/>
  <c r="I92" i="1" s="1"/>
  <c r="K99" i="1"/>
  <c r="G99" i="1"/>
  <c r="J99" i="1" s="1"/>
  <c r="I99" i="1" s="1"/>
  <c r="K107" i="1"/>
  <c r="G107" i="1"/>
  <c r="J107" i="1" s="1"/>
  <c r="I107" i="1" s="1"/>
  <c r="K118" i="1"/>
  <c r="G118" i="1"/>
  <c r="J118" i="1" s="1"/>
  <c r="I118" i="1" s="1"/>
  <c r="K124" i="1"/>
  <c r="G124" i="1"/>
  <c r="J124" i="1" s="1"/>
  <c r="I124" i="1" s="1"/>
  <c r="K134" i="1"/>
  <c r="G134" i="1"/>
  <c r="J134" i="1" s="1"/>
  <c r="I134" i="1" s="1"/>
  <c r="K141" i="1"/>
  <c r="G141" i="1"/>
  <c r="J141" i="1" s="1"/>
  <c r="I141" i="1" s="1"/>
  <c r="K150" i="1"/>
  <c r="G150" i="1"/>
  <c r="J150" i="1" s="1"/>
  <c r="I150" i="1" s="1"/>
  <c r="K158" i="1"/>
  <c r="G158" i="1"/>
  <c r="J158" i="1" s="1"/>
  <c r="I158" i="1" s="1"/>
  <c r="K165" i="1"/>
  <c r="G165" i="1"/>
  <c r="J165" i="1" s="1"/>
  <c r="I165" i="1" s="1"/>
  <c r="K174" i="1"/>
  <c r="G174" i="1"/>
  <c r="J174" i="1" s="1"/>
  <c r="I174" i="1" s="1"/>
  <c r="K182" i="1"/>
  <c r="G182" i="1"/>
  <c r="J182" i="1" s="1"/>
  <c r="I182" i="1" s="1"/>
  <c r="K191" i="1"/>
  <c r="G191" i="1"/>
  <c r="J191" i="1" s="1"/>
  <c r="I191" i="1" s="1"/>
  <c r="K202" i="1"/>
  <c r="G202" i="1"/>
  <c r="J202" i="1" s="1"/>
  <c r="I202" i="1" s="1"/>
  <c r="K208" i="1"/>
  <c r="G208" i="1"/>
  <c r="J208" i="1" s="1"/>
  <c r="I208" i="1" s="1"/>
  <c r="K217" i="1"/>
  <c r="G217" i="1"/>
  <c r="J217" i="1" s="1"/>
  <c r="I217" i="1" s="1"/>
  <c r="K224" i="1"/>
  <c r="G224" i="1"/>
  <c r="J224" i="1" s="1"/>
  <c r="I224" i="1" s="1"/>
  <c r="K232" i="1"/>
  <c r="G232" i="1"/>
  <c r="J232" i="1" s="1"/>
  <c r="I232" i="1" s="1"/>
  <c r="K238" i="1"/>
  <c r="G238" i="1"/>
  <c r="J238" i="1" s="1"/>
  <c r="I238" i="1" s="1"/>
  <c r="K250" i="1"/>
  <c r="G250" i="1"/>
  <c r="J250" i="1" s="1"/>
  <c r="I250" i="1" s="1"/>
  <c r="K256" i="1"/>
  <c r="G256" i="1"/>
  <c r="J256" i="1" s="1"/>
  <c r="I256" i="1" s="1"/>
  <c r="K264" i="1"/>
  <c r="G264" i="1"/>
  <c r="J264" i="1" s="1"/>
  <c r="I264" i="1" s="1"/>
  <c r="K272" i="1"/>
  <c r="G272" i="1"/>
  <c r="J272" i="1" s="1"/>
  <c r="I272" i="1" s="1"/>
  <c r="K280" i="1"/>
  <c r="G280" i="1"/>
  <c r="J280" i="1" s="1"/>
  <c r="I280" i="1" s="1"/>
  <c r="K288" i="1"/>
  <c r="G288" i="1"/>
  <c r="J288" i="1" s="1"/>
  <c r="I288" i="1" s="1"/>
  <c r="K298" i="1"/>
  <c r="G298" i="1"/>
  <c r="J298" i="1" s="1"/>
  <c r="I298" i="1" s="1"/>
  <c r="K306" i="1"/>
  <c r="G306" i="1"/>
  <c r="J306" i="1" s="1"/>
  <c r="I306" i="1" s="1"/>
  <c r="K315" i="1"/>
  <c r="G315" i="1"/>
  <c r="J315" i="1" s="1"/>
  <c r="I315" i="1" s="1"/>
  <c r="K327" i="1"/>
  <c r="G327" i="1"/>
  <c r="J327" i="1" s="1"/>
  <c r="I327" i="1" s="1"/>
  <c r="K334" i="1"/>
  <c r="G334" i="1"/>
  <c r="J334" i="1" s="1"/>
  <c r="I334" i="1" s="1"/>
  <c r="K343" i="1"/>
  <c r="G343" i="1"/>
  <c r="J343" i="1" s="1"/>
  <c r="I343" i="1" s="1"/>
  <c r="K349" i="1"/>
  <c r="G349" i="1"/>
  <c r="J349" i="1" s="1"/>
  <c r="I349" i="1" s="1"/>
  <c r="K359" i="1"/>
  <c r="G359" i="1"/>
  <c r="J359" i="1" s="1"/>
  <c r="I359" i="1" s="1"/>
  <c r="K368" i="1"/>
  <c r="G368" i="1"/>
  <c r="J368" i="1" s="1"/>
  <c r="I368" i="1" s="1"/>
  <c r="K376" i="1"/>
  <c r="G376" i="1"/>
  <c r="J376" i="1" s="1"/>
  <c r="I376" i="1" s="1"/>
  <c r="K384" i="1"/>
  <c r="G384" i="1"/>
  <c r="J384" i="1" s="1"/>
  <c r="I384" i="1" s="1"/>
  <c r="K393" i="1"/>
  <c r="G393" i="1"/>
  <c r="J393" i="1" s="1"/>
  <c r="I393" i="1" s="1"/>
  <c r="K400" i="1"/>
  <c r="G400" i="1"/>
  <c r="J400" i="1" s="1"/>
  <c r="I400" i="1" s="1"/>
  <c r="K408" i="1"/>
  <c r="G408" i="1"/>
  <c r="J408" i="1" s="1"/>
  <c r="I408" i="1" s="1"/>
  <c r="K418" i="1"/>
  <c r="G418" i="1"/>
  <c r="J418" i="1" s="1"/>
  <c r="I418" i="1" s="1"/>
  <c r="K425" i="1"/>
  <c r="G425" i="1"/>
  <c r="J425" i="1" s="1"/>
  <c r="I425" i="1" s="1"/>
  <c r="K433" i="1"/>
  <c r="G433" i="1"/>
  <c r="J433" i="1" s="1"/>
  <c r="I433" i="1" s="1"/>
  <c r="K441" i="1"/>
  <c r="G441" i="1"/>
  <c r="J441" i="1" s="1"/>
  <c r="I441" i="1" s="1"/>
  <c r="K450" i="1"/>
  <c r="G450" i="1"/>
  <c r="J450" i="1" s="1"/>
  <c r="I450" i="1" s="1"/>
  <c r="K457" i="1"/>
  <c r="G457" i="1"/>
  <c r="J457" i="1" s="1"/>
  <c r="I457" i="1" s="1"/>
  <c r="K466" i="1"/>
  <c r="G466" i="1"/>
  <c r="J466" i="1" s="1"/>
  <c r="I466" i="1" s="1"/>
  <c r="K474" i="1"/>
  <c r="G474" i="1"/>
  <c r="J474" i="1" s="1"/>
  <c r="I474" i="1" s="1"/>
  <c r="K484" i="1"/>
  <c r="G484" i="1"/>
  <c r="J484" i="1" s="1"/>
  <c r="I484" i="1" s="1"/>
  <c r="K492" i="1"/>
  <c r="G492" i="1"/>
  <c r="J492" i="1" s="1"/>
  <c r="I492" i="1" s="1"/>
  <c r="K500" i="1"/>
  <c r="G500" i="1"/>
  <c r="J500" i="1" s="1"/>
  <c r="I500" i="1" s="1"/>
  <c r="K508" i="1"/>
  <c r="G508" i="1"/>
  <c r="J508" i="1" s="1"/>
  <c r="I508" i="1" s="1"/>
  <c r="K515" i="1"/>
  <c r="G515" i="1"/>
  <c r="J515" i="1" s="1"/>
  <c r="I515" i="1" s="1"/>
  <c r="K523" i="1"/>
  <c r="G523" i="1"/>
  <c r="J523" i="1" s="1"/>
  <c r="I523" i="1" s="1"/>
  <c r="K533" i="1"/>
  <c r="G533" i="1"/>
  <c r="J533" i="1" s="1"/>
  <c r="I533" i="1" s="1"/>
  <c r="K541" i="1"/>
  <c r="G541" i="1"/>
  <c r="J541" i="1" s="1"/>
  <c r="I541" i="1" s="1"/>
  <c r="K550" i="1"/>
  <c r="G550" i="1"/>
  <c r="J550" i="1" s="1"/>
  <c r="I550" i="1" s="1"/>
  <c r="K563" i="1"/>
  <c r="G563" i="1"/>
  <c r="J563" i="1" s="1"/>
  <c r="I563" i="1" s="1"/>
  <c r="K569" i="1"/>
  <c r="G569" i="1"/>
  <c r="J569" i="1" s="1"/>
  <c r="I569" i="1" s="1"/>
  <c r="K580" i="1"/>
  <c r="G580" i="1"/>
  <c r="J580" i="1" s="1"/>
  <c r="I580" i="1" s="1"/>
  <c r="K586" i="1"/>
  <c r="G586" i="1"/>
  <c r="J586" i="1" s="1"/>
  <c r="I586" i="1" s="1"/>
  <c r="K593" i="1"/>
  <c r="G593" i="1"/>
  <c r="J593" i="1" s="1"/>
  <c r="I593" i="1" s="1"/>
  <c r="K601" i="1"/>
  <c r="G601" i="1"/>
  <c r="J601" i="1" s="1"/>
  <c r="I601" i="1" s="1"/>
  <c r="K610" i="1"/>
  <c r="G610" i="1"/>
  <c r="J610" i="1" s="1"/>
  <c r="I610" i="1" s="1"/>
  <c r="K631" i="1"/>
  <c r="G631" i="1"/>
  <c r="J631" i="1" s="1"/>
  <c r="I631" i="1" s="1"/>
  <c r="G598" i="1"/>
  <c r="J598" i="1" s="1"/>
  <c r="I598" i="1" s="1"/>
  <c r="K598" i="1"/>
  <c r="G606" i="1"/>
  <c r="J606" i="1" s="1"/>
  <c r="I606" i="1" s="1"/>
  <c r="K606" i="1"/>
  <c r="G620" i="1"/>
  <c r="J620" i="1" s="1"/>
  <c r="I620" i="1" s="1"/>
  <c r="K620" i="1"/>
  <c r="G629" i="1"/>
  <c r="J629" i="1" s="1"/>
  <c r="I629" i="1" s="1"/>
  <c r="K629" i="1"/>
  <c r="K6" i="1"/>
  <c r="G6" i="1"/>
  <c r="J6" i="1" s="1"/>
  <c r="I6" i="1" s="1"/>
  <c r="K14" i="1"/>
  <c r="G14" i="1"/>
  <c r="J14" i="1" s="1"/>
  <c r="I14" i="1" s="1"/>
  <c r="K23" i="1"/>
  <c r="G23" i="1"/>
  <c r="J23" i="1" s="1"/>
  <c r="I23" i="1" s="1"/>
  <c r="K31" i="1"/>
  <c r="G31" i="1"/>
  <c r="J31" i="1" s="1"/>
  <c r="I31" i="1" s="1"/>
  <c r="K43" i="1"/>
  <c r="G43" i="1"/>
  <c r="J43" i="1" s="1"/>
  <c r="I43" i="1" s="1"/>
  <c r="K51" i="1"/>
  <c r="G51" i="1"/>
  <c r="J51" i="1" s="1"/>
  <c r="I51" i="1" s="1"/>
  <c r="K61" i="1"/>
  <c r="G61" i="1"/>
  <c r="J61" i="1" s="1"/>
  <c r="I61" i="1" s="1"/>
  <c r="K69" i="1"/>
  <c r="G69" i="1"/>
  <c r="J69" i="1" s="1"/>
  <c r="I69" i="1" s="1"/>
  <c r="K77" i="1"/>
  <c r="G77" i="1"/>
  <c r="J77" i="1" s="1"/>
  <c r="I77" i="1" s="1"/>
  <c r="K84" i="1"/>
  <c r="G84" i="1"/>
  <c r="J84" i="1" s="1"/>
  <c r="I84" i="1" s="1"/>
  <c r="K91" i="1"/>
  <c r="G91" i="1"/>
  <c r="J91" i="1" s="1"/>
  <c r="I91" i="1" s="1"/>
  <c r="K101" i="1"/>
  <c r="G101" i="1"/>
  <c r="J101" i="1" s="1"/>
  <c r="I101" i="1" s="1"/>
  <c r="K109" i="1"/>
  <c r="G109" i="1"/>
  <c r="J109" i="1" s="1"/>
  <c r="I109" i="1" s="1"/>
  <c r="K117" i="1"/>
  <c r="G117" i="1"/>
  <c r="J117" i="1" s="1"/>
  <c r="I117" i="1" s="1"/>
  <c r="K125" i="1"/>
  <c r="G125" i="1"/>
  <c r="J125" i="1" s="1"/>
  <c r="I125" i="1" s="1"/>
  <c r="K133" i="1"/>
  <c r="G133" i="1"/>
  <c r="J133" i="1" s="1"/>
  <c r="I133" i="1" s="1"/>
  <c r="K143" i="1"/>
  <c r="G143" i="1"/>
  <c r="J143" i="1" s="1"/>
  <c r="I143" i="1" s="1"/>
  <c r="K152" i="1"/>
  <c r="G152" i="1"/>
  <c r="J152" i="1" s="1"/>
  <c r="I152" i="1" s="1"/>
  <c r="K159" i="1"/>
  <c r="G159" i="1"/>
  <c r="J159" i="1" s="1"/>
  <c r="I159" i="1" s="1"/>
  <c r="K168" i="1"/>
  <c r="G168" i="1"/>
  <c r="J168" i="1" s="1"/>
  <c r="I168" i="1" s="1"/>
  <c r="K176" i="1"/>
  <c r="G176" i="1"/>
  <c r="J176" i="1" s="1"/>
  <c r="I176" i="1" s="1"/>
  <c r="K183" i="1"/>
  <c r="G183" i="1"/>
  <c r="J183" i="1" s="1"/>
  <c r="I183" i="1" s="1"/>
  <c r="K193" i="1"/>
  <c r="G193" i="1"/>
  <c r="J193" i="1" s="1"/>
  <c r="I193" i="1" s="1"/>
  <c r="K201" i="1"/>
  <c r="G201" i="1"/>
  <c r="J201" i="1" s="1"/>
  <c r="I201" i="1" s="1"/>
  <c r="K209" i="1"/>
  <c r="G209" i="1"/>
  <c r="J209" i="1" s="1"/>
  <c r="I209" i="1" s="1"/>
  <c r="K216" i="1"/>
  <c r="G216" i="1"/>
  <c r="J216" i="1" s="1"/>
  <c r="I216" i="1" s="1"/>
  <c r="K225" i="1"/>
  <c r="G225" i="1"/>
  <c r="J225" i="1" s="1"/>
  <c r="I225" i="1" s="1"/>
  <c r="K233" i="1"/>
  <c r="G233" i="1"/>
  <c r="J233" i="1" s="1"/>
  <c r="I233" i="1" s="1"/>
  <c r="K241" i="1"/>
  <c r="G241" i="1"/>
  <c r="J241" i="1" s="1"/>
  <c r="I241" i="1" s="1"/>
  <c r="K249" i="1"/>
  <c r="G249" i="1"/>
  <c r="J249" i="1" s="1"/>
  <c r="I249" i="1" s="1"/>
  <c r="K257" i="1"/>
  <c r="G257" i="1"/>
  <c r="J257" i="1" s="1"/>
  <c r="I257" i="1" s="1"/>
  <c r="K265" i="1"/>
  <c r="G265" i="1"/>
  <c r="J265" i="1" s="1"/>
  <c r="I265" i="1" s="1"/>
  <c r="K273" i="1"/>
  <c r="G273" i="1"/>
  <c r="J273" i="1" s="1"/>
  <c r="I273" i="1" s="1"/>
  <c r="K282" i="1"/>
  <c r="G282" i="1"/>
  <c r="J282" i="1" s="1"/>
  <c r="I282" i="1" s="1"/>
  <c r="K290" i="1"/>
  <c r="G290" i="1"/>
  <c r="J290" i="1" s="1"/>
  <c r="I290" i="1" s="1"/>
  <c r="K299" i="1"/>
  <c r="G299" i="1"/>
  <c r="J299" i="1" s="1"/>
  <c r="I299" i="1" s="1"/>
  <c r="K308" i="1"/>
  <c r="G308" i="1"/>
  <c r="J308" i="1" s="1"/>
  <c r="I308" i="1" s="1"/>
  <c r="K318" i="1"/>
  <c r="G318" i="1"/>
  <c r="J318" i="1" s="1"/>
  <c r="I318" i="1" s="1"/>
  <c r="K326" i="1"/>
  <c r="G326" i="1"/>
  <c r="J326" i="1" s="1"/>
  <c r="I326" i="1" s="1"/>
  <c r="K336" i="1"/>
  <c r="G336" i="1"/>
  <c r="J336" i="1" s="1"/>
  <c r="I336" i="1" s="1"/>
  <c r="K344" i="1"/>
  <c r="G344" i="1"/>
  <c r="J344" i="1" s="1"/>
  <c r="I344" i="1" s="1"/>
  <c r="K353" i="1"/>
  <c r="G353" i="1"/>
  <c r="J353" i="1" s="1"/>
  <c r="I353" i="1" s="1"/>
  <c r="K360" i="1"/>
  <c r="G360" i="1"/>
  <c r="J360" i="1" s="1"/>
  <c r="I360" i="1" s="1"/>
  <c r="K369" i="1"/>
  <c r="G369" i="1"/>
  <c r="J369" i="1" s="1"/>
  <c r="I369" i="1" s="1"/>
  <c r="K378" i="1"/>
  <c r="G378" i="1"/>
  <c r="J378" i="1" s="1"/>
  <c r="I378" i="1" s="1"/>
  <c r="K385" i="1"/>
  <c r="G385" i="1"/>
  <c r="J385" i="1" s="1"/>
  <c r="I385" i="1" s="1"/>
  <c r="K392" i="1"/>
  <c r="G392" i="1"/>
  <c r="J392" i="1" s="1"/>
  <c r="I392" i="1" s="1"/>
  <c r="K401" i="1"/>
  <c r="G401" i="1"/>
  <c r="J401" i="1" s="1"/>
  <c r="I401" i="1" s="1"/>
  <c r="K409" i="1"/>
  <c r="G409" i="1"/>
  <c r="J409" i="1" s="1"/>
  <c r="I409" i="1" s="1"/>
  <c r="K417" i="1"/>
  <c r="G417" i="1"/>
  <c r="J417" i="1" s="1"/>
  <c r="I417" i="1" s="1"/>
  <c r="K427" i="1"/>
  <c r="G427" i="1"/>
  <c r="J427" i="1" s="1"/>
  <c r="I427" i="1" s="1"/>
  <c r="K434" i="1"/>
  <c r="G434" i="1"/>
  <c r="J434" i="1" s="1"/>
  <c r="I434" i="1" s="1"/>
  <c r="K444" i="1"/>
  <c r="G444" i="1"/>
  <c r="J444" i="1" s="1"/>
  <c r="I444" i="1" s="1"/>
  <c r="K449" i="1"/>
  <c r="G449" i="1"/>
  <c r="J449" i="1" s="1"/>
  <c r="I449" i="1" s="1"/>
  <c r="K458" i="1"/>
  <c r="G458" i="1"/>
  <c r="J458" i="1" s="1"/>
  <c r="I458" i="1" s="1"/>
  <c r="K467" i="1"/>
  <c r="G467" i="1"/>
  <c r="J467" i="1" s="1"/>
  <c r="I467" i="1" s="1"/>
  <c r="K476" i="1"/>
  <c r="G476" i="1"/>
  <c r="J476" i="1" s="1"/>
  <c r="I476" i="1" s="1"/>
  <c r="K483" i="1"/>
  <c r="G483" i="1"/>
  <c r="J483" i="1" s="1"/>
  <c r="I483" i="1" s="1"/>
  <c r="K493" i="1"/>
  <c r="G493" i="1"/>
  <c r="J493" i="1" s="1"/>
  <c r="I493" i="1" s="1"/>
  <c r="K502" i="1"/>
  <c r="G502" i="1"/>
  <c r="J502" i="1" s="1"/>
  <c r="I502" i="1" s="1"/>
  <c r="K509" i="1"/>
  <c r="G509" i="1"/>
  <c r="J509" i="1" s="1"/>
  <c r="I509" i="1" s="1"/>
  <c r="K517" i="1"/>
  <c r="G517" i="1"/>
  <c r="J517" i="1" s="1"/>
  <c r="I517" i="1" s="1"/>
  <c r="K525" i="1"/>
  <c r="G525" i="1"/>
  <c r="J525" i="1" s="1"/>
  <c r="I525" i="1" s="1"/>
  <c r="K532" i="1"/>
  <c r="G532" i="1"/>
  <c r="J532" i="1" s="1"/>
  <c r="I532" i="1" s="1"/>
  <c r="K543" i="1"/>
  <c r="G543" i="1"/>
  <c r="J543" i="1" s="1"/>
  <c r="I543" i="1" s="1"/>
  <c r="K553" i="1"/>
  <c r="G553" i="1"/>
  <c r="J553" i="1" s="1"/>
  <c r="I553" i="1" s="1"/>
  <c r="K562" i="1"/>
  <c r="G562" i="1"/>
  <c r="J562" i="1" s="1"/>
  <c r="I562" i="1" s="1"/>
  <c r="K571" i="1"/>
  <c r="G571" i="1"/>
  <c r="J571" i="1" s="1"/>
  <c r="I571" i="1" s="1"/>
  <c r="K579" i="1"/>
  <c r="G579" i="1"/>
  <c r="J579" i="1" s="1"/>
  <c r="I579" i="1" s="1"/>
  <c r="K585" i="1"/>
  <c r="G585" i="1"/>
  <c r="J585" i="1" s="1"/>
  <c r="I585" i="1" s="1"/>
  <c r="K594" i="1"/>
  <c r="G594" i="1"/>
  <c r="J594" i="1" s="1"/>
  <c r="I594" i="1" s="1"/>
  <c r="K603" i="1"/>
  <c r="G603" i="1"/>
  <c r="J603" i="1" s="1"/>
  <c r="I603" i="1" s="1"/>
  <c r="K611" i="1"/>
  <c r="G611" i="1"/>
  <c r="J611" i="1" s="1"/>
  <c r="I611" i="1" s="1"/>
  <c r="K622" i="1"/>
  <c r="G622" i="1"/>
  <c r="J622" i="1" s="1"/>
  <c r="I622" i="1" s="1"/>
  <c r="K630" i="1"/>
  <c r="G630" i="1"/>
  <c r="J630" i="1" s="1"/>
  <c r="I630" i="1" s="1"/>
  <c r="K50" i="1"/>
  <c r="G50" i="1" s="1"/>
  <c r="J50" i="1" s="1"/>
  <c r="I50" i="1" s="1"/>
  <c r="K614" i="1"/>
  <c r="G614" i="1" s="1"/>
  <c r="J614" i="1" s="1"/>
  <c r="I614" i="1" s="1"/>
  <c r="K74" i="1"/>
  <c r="G74" i="1" s="1"/>
  <c r="J74" i="1" s="1"/>
  <c r="I74" i="1" s="1"/>
  <c r="K619" i="1"/>
  <c r="G619" i="1" s="1"/>
  <c r="J619" i="1" s="1"/>
  <c r="I619" i="1" s="1"/>
  <c r="K34" i="1"/>
  <c r="G34" i="1" s="1"/>
  <c r="J34" i="1" s="1"/>
  <c r="I34" i="1" s="1"/>
  <c r="K140" i="1"/>
  <c r="G140" i="1" s="1"/>
  <c r="J140" i="1" s="1"/>
  <c r="I140" i="1" s="1"/>
  <c r="K342" i="1"/>
  <c r="G342" i="1" s="1"/>
  <c r="J342" i="1" s="1"/>
  <c r="I342" i="1" s="1"/>
  <c r="K558" i="1"/>
  <c r="G558" i="1" s="1"/>
  <c r="J558" i="1" s="1"/>
  <c r="I558" i="1" s="1"/>
  <c r="K24" i="1"/>
  <c r="G24" i="1" s="1"/>
  <c r="J24" i="1" s="1"/>
  <c r="I24" i="1" s="1"/>
  <c r="K311" i="1"/>
  <c r="G311" i="1" s="1"/>
  <c r="J311" i="1" s="1"/>
  <c r="I311" i="1" s="1"/>
  <c r="K132" i="1"/>
  <c r="G132" i="1" s="1"/>
  <c r="J132" i="1" s="1"/>
  <c r="I132" i="1" s="1"/>
  <c r="K196" i="1"/>
  <c r="G196" i="1" s="1"/>
  <c r="J196" i="1" s="1"/>
  <c r="I196" i="1" s="1"/>
  <c r="K366" i="1"/>
  <c r="G366" i="1" s="1"/>
  <c r="J366" i="1" s="1"/>
  <c r="I366" i="1" s="1"/>
  <c r="K542" i="1"/>
  <c r="G542" i="1" s="1"/>
  <c r="J542" i="1" s="1"/>
  <c r="I542" i="1" s="1"/>
  <c r="K627" i="1"/>
  <c r="G627" i="1" s="1"/>
  <c r="J627" i="1" s="1"/>
  <c r="I627" i="1" s="1"/>
  <c r="K37" i="1"/>
  <c r="G37" i="1" s="1"/>
  <c r="J37" i="1" s="1"/>
  <c r="I37" i="1" s="1"/>
  <c r="K293" i="1"/>
  <c r="G293" i="1" s="1"/>
  <c r="J293" i="1" s="1"/>
  <c r="I293" i="1" s="1"/>
  <c r="K613" i="1"/>
  <c r="G613" i="1" s="1"/>
  <c r="J613" i="1" s="1"/>
  <c r="I613" i="1" s="1"/>
  <c r="K463" i="1"/>
  <c r="G463" i="1" s="1"/>
  <c r="J463" i="1" s="1"/>
  <c r="I463" i="1" s="1"/>
  <c r="K551" i="1"/>
  <c r="G551" i="1" s="1"/>
  <c r="J551" i="1" s="1"/>
  <c r="I551" i="1" s="1"/>
  <c r="K559" i="1"/>
  <c r="G559" i="1" s="1"/>
  <c r="J559" i="1" s="1"/>
  <c r="I559" i="1" s="1"/>
  <c r="K599" i="1"/>
  <c r="G599" i="1" s="1"/>
  <c r="J599" i="1" s="1"/>
  <c r="I599" i="1" s="1"/>
  <c r="K184" i="1"/>
  <c r="G184" i="1" s="1"/>
  <c r="J184" i="1" s="1"/>
  <c r="I184" i="1" s="1"/>
  <c r="K312" i="1"/>
  <c r="G312" i="1" s="1"/>
  <c r="J312" i="1" s="1"/>
  <c r="I312" i="1" s="1"/>
  <c r="K416" i="1"/>
  <c r="G416" i="1" s="1"/>
  <c r="J416" i="1" s="1"/>
  <c r="I416" i="1" s="1"/>
  <c r="K488" i="1"/>
  <c r="G488" i="1" s="1"/>
  <c r="J488" i="1" s="1"/>
  <c r="I488" i="1" s="1"/>
  <c r="K536" i="1"/>
  <c r="G536" i="1" s="1"/>
  <c r="J536" i="1" s="1"/>
  <c r="I536" i="1" s="1"/>
  <c r="K40" i="1"/>
  <c r="G40" i="1" s="1"/>
  <c r="J40" i="1" s="1"/>
  <c r="I40" i="1" s="1"/>
  <c r="K2" i="1"/>
  <c r="G2" i="1"/>
  <c r="J2" i="1" s="1"/>
  <c r="I2" i="1" s="1"/>
  <c r="K9" i="1"/>
  <c r="G9" i="1" s="1"/>
  <c r="J9" i="1" s="1"/>
  <c r="I9" i="1" s="1"/>
  <c r="K289" i="1"/>
  <c r="G289" i="1"/>
  <c r="J289" i="1" s="1"/>
  <c r="I289" i="1" s="1"/>
  <c r="K305" i="1"/>
  <c r="G305" i="1" s="1"/>
  <c r="J305" i="1" s="1"/>
  <c r="I305" i="1" s="1"/>
  <c r="K321" i="1"/>
  <c r="G321" i="1" s="1"/>
  <c r="J321" i="1" s="1"/>
  <c r="I321" i="1" s="1"/>
  <c r="K481" i="1"/>
  <c r="G481" i="1" s="1"/>
  <c r="J481" i="1" s="1"/>
  <c r="I481" i="1" s="1"/>
  <c r="K633" i="1"/>
  <c r="G633" i="1" s="1"/>
  <c r="J633" i="1" s="1"/>
  <c r="I633" i="1" s="1"/>
</calcChain>
</file>

<file path=xl/sharedStrings.xml><?xml version="1.0" encoding="utf-8"?>
<sst xmlns="http://schemas.openxmlformats.org/spreadsheetml/2006/main" count="7357" uniqueCount="1500">
  <si>
    <t>OrderID</t>
  </si>
  <si>
    <t>OrderDate</t>
  </si>
  <si>
    <t>RequiredDate</t>
  </si>
  <si>
    <t>Region</t>
  </si>
  <si>
    <t>Country</t>
  </si>
  <si>
    <t>City</t>
  </si>
  <si>
    <t>CustomerSegment</t>
  </si>
  <si>
    <t>Channel</t>
  </si>
  <si>
    <t>Salesperson</t>
  </si>
  <si>
    <t>ProductCategory</t>
  </si>
  <si>
    <t>SKU</t>
  </si>
  <si>
    <t>UnitCost</t>
  </si>
  <si>
    <t>UnitPrice</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</si>
  <si>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</si>
  <si>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</si>
  <si>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</si>
  <si>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</si>
  <si>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</si>
  <si>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</si>
  <si>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</si>
  <si>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</si>
  <si>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</si>
  <si>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</si>
  <si>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</si>
  <si>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</si>
  <si>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</si>
  <si>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</si>
  <si>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</si>
  <si>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</si>
  <si>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</si>
  <si>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</si>
  <si>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</si>
  <si>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</si>
  <si>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</si>
  <si>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</si>
  <si>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</si>
  <si>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</si>
  <si>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</si>
  <si>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</si>
  <si>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</si>
  <si>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</si>
  <si>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</si>
  <si>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</si>
  <si>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</si>
  <si>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</si>
  <si>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</si>
  <si>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</si>
  <si>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</si>
  <si>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</si>
  <si>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</si>
  <si>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</si>
  <si>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</si>
  <si>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</si>
  <si>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</si>
  <si>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</si>
  <si>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</si>
  <si>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</si>
  <si>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</si>
  <si>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</si>
  <si>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</si>
  <si>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</si>
  <si>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</si>
  <si>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</si>
  <si>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</si>
  <si>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</si>
  <si>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</si>
  <si>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</si>
  <si>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</si>
  <si>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</si>
  <si>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</si>
  <si>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</si>
  <si>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</si>
  <si>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</si>
  <si>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</si>
  <si>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</si>
  <si>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</si>
  <si>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</si>
  <si>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</si>
  <si>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</si>
  <si>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</si>
  <si>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</si>
  <si>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</si>
  <si>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</si>
  <si>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</si>
  <si>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</si>
  <si>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</si>
  <si>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</si>
  <si>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</si>
  <si>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</si>
  <si>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</si>
  <si>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</si>
  <si>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</si>
  <si>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</si>
  <si>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</si>
  <si>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</si>
  <si>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</si>
  <si>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</si>
  <si>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</si>
  <si>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</si>
  <si>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</si>
  <si>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</si>
  <si>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</si>
  <si>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</si>
  <si>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</si>
  <si>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</si>
  <si>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</si>
  <si>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</si>
  <si>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</si>
  <si>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</si>
  <si>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</si>
  <si>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</si>
  <si>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</si>
  <si>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</si>
  <si>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</si>
  <si>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</si>
  <si>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</si>
  <si>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</si>
  <si>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</si>
  <si>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</si>
  <si>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</si>
  <si>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</si>
  <si>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</si>
  <si>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</si>
  <si>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</si>
  <si>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</si>
  <si>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</si>
  <si>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</si>
  <si>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</si>
  <si>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</si>
  <si>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</si>
  <si>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</si>
  <si>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</si>
  <si>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</si>
  <si>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</si>
  <si>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</si>
  <si>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</si>
  <si>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</si>
  <si>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</si>
  <si>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</si>
  <si>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</si>
  <si>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</si>
  <si>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</si>
  <si>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</si>
  <si>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</si>
  <si>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</si>
  <si>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</si>
  <si>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</si>
  <si>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</si>
  <si>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</si>
  <si>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</si>
  <si>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</si>
  <si>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</si>
  <si>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</si>
  <si>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</si>
  <si>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</si>
  <si>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</si>
  <si>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</si>
  <si>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</si>
  <si>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</si>
  <si>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</si>
  <si>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</si>
  <si>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</si>
  <si>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</si>
  <si>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</si>
  <si>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</si>
  <si>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</si>
  <si>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</si>
  <si>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</si>
  <si>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</si>
  <si>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</si>
  <si>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</si>
  <si>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</si>
  <si>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</si>
  <si>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</si>
  <si>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</si>
  <si>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</si>
  <si>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</si>
  <si>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</si>
  <si>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</si>
  <si>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</si>
  <si>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</si>
  <si>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</si>
  <si>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</si>
  <si>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</si>
  <si>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</si>
  <si>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</si>
  <si>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</si>
  <si>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</si>
  <si>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</si>
  <si>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</si>
  <si>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</si>
  <si>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</si>
  <si>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</si>
  <si>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</si>
  <si>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</si>
  <si>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</si>
  <si>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</si>
  <si>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</si>
  <si>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</si>
  <si>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</si>
  <si>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</si>
  <si>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</si>
  <si>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</si>
  <si>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</si>
  <si>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</si>
  <si>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</si>
  <si>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</si>
  <si>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</si>
  <si>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</si>
  <si>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</si>
  <si>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</si>
  <si>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</si>
  <si>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</si>
  <si>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</si>
  <si>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</si>
  <si>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</si>
  <si>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</si>
  <si>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</si>
  <si>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</si>
  <si>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</si>
  <si>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</si>
  <si>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</si>
  <si>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</si>
  <si>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</si>
  <si>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</si>
  <si>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</si>
  <si>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</si>
  <si>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</si>
  <si>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</si>
  <si>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</si>
  <si>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</si>
  <si>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</si>
  <si>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</si>
  <si>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</si>
  <si>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</si>
  <si>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</si>
  <si>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</si>
  <si>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</si>
  <si>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</si>
  <si>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</si>
  <si>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</si>
  <si>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</si>
  <si>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</si>
  <si>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</si>
  <si>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</si>
  <si>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</si>
  <si>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</si>
  <si>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</si>
  <si>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</si>
  <si>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</si>
  <si>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</si>
  <si>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</si>
  <si>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</si>
  <si>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</si>
  <si>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</si>
  <si>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</si>
  <si>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</si>
  <si>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</si>
  <si>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</si>
  <si>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</si>
  <si>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</si>
  <si>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</si>
  <si>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</si>
  <si>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</si>
  <si>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</si>
  <si>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</si>
  <si>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</si>
  <si>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</si>
  <si>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</si>
  <si>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</si>
  <si>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</si>
  <si>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</si>
  <si>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</si>
  <si>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</si>
  <si>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</si>
  <si>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</si>
  <si>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</si>
  <si>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</si>
  <si>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</si>
  <si>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</si>
  <si>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</si>
  <si>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</si>
  <si>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</si>
  <si>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</si>
  <si>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</si>
  <si>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</si>
  <si>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</si>
  <si>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</si>
  <si>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</si>
  <si>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</si>
  <si>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</si>
  <si>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</si>
  <si>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</si>
  <si>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</si>
  <si>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</si>
  <si>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</si>
  <si>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</si>
  <si>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</si>
  <si>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</si>
  <si>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</si>
  <si>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</si>
  <si>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</si>
  <si>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</si>
  <si>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</si>
  <si>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</si>
  <si>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</si>
  <si>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</si>
  <si>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</si>
  <si>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</si>
  <si>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</si>
  <si>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</si>
  <si>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</si>
  <si>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</si>
  <si>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</si>
  <si>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</si>
  <si>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</si>
  <si>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</si>
  <si>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</si>
  <si>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</si>
  <si>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</si>
  <si>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</si>
  <si>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</si>
  <si>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</si>
  <si>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</si>
  <si>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</si>
  <si>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</si>
  <si>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</si>
  <si>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</si>
  <si>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</si>
  <si>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</si>
  <si>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</si>
  <si>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</si>
  <si>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</si>
  <si>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</si>
  <si>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</si>
  <si>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</si>
  <si>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</si>
  <si>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</si>
  <si>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</si>
  <si>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</si>
  <si>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</si>
  <si>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</si>
  <si>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</si>
  <si>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</si>
  <si>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</si>
  <si>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</si>
  <si>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</si>
  <si>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</si>
  <si>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</si>
  <si>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</si>
  <si>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</si>
  <si>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</si>
  <si>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</si>
  <si>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</si>
  <si>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</si>
  <si>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</si>
  <si>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</si>
  <si>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</si>
  <si>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</si>
  <si>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</si>
  <si>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</si>
  <si>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</si>
  <si>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</si>
  <si>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</si>
  <si>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</si>
  <si>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</si>
  <si>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</si>
  <si>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</si>
  <si>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</si>
  <si>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</si>
  <si>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</si>
  <si>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</si>
  <si>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</si>
  <si>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</si>
  <si>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</si>
  <si>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</si>
  <si>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</si>
  <si>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</si>
  <si>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</si>
  <si>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</si>
  <si>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</si>
  <si>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</si>
  <si>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</si>
  <si>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</si>
  <si>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</si>
  <si>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</si>
  <si>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</si>
  <si>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</si>
  <si>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</si>
  <si>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</si>
  <si>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</si>
  <si>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</si>
  <si>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</si>
  <si>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</si>
  <si>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</si>
  <si>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</si>
  <si>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</si>
  <si>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</si>
  <si>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</si>
  <si>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</si>
  <si>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</si>
  <si>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</si>
  <si>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</si>
  <si>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</si>
  <si>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</si>
  <si>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</si>
  <si>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</si>
  <si>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</si>
  <si>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</si>
  <si>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</si>
  <si>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</si>
  <si>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</si>
  <si>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</si>
  <si>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</si>
  <si>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</si>
  <si>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</si>
  <si>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</si>
  <si>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</si>
  <si>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</si>
  <si>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</si>
  <si>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</si>
  <si>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</si>
  <si>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</si>
  <si>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</si>
  <si>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</si>
  <si>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</si>
  <si>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</si>
  <si>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</si>
  <si>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</si>
  <si>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</si>
  <si>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</si>
  <si>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</si>
  <si>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</si>
  <si>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</si>
  <si>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</si>
  <si>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</si>
  <si>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</si>
  <si>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</si>
  <si>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</si>
  <si>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</si>
  <si>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</si>
  <si>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</si>
  <si>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</si>
  <si>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</si>
  <si>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</si>
  <si>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</si>
  <si>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</si>
  <si>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</si>
  <si>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</si>
  <si>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</si>
  <si>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</si>
  <si>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</si>
  <si>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</si>
  <si>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</si>
  <si>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</si>
  <si>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</si>
  <si>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</si>
  <si>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</si>
  <si>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</si>
  <si>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</si>
  <si>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</si>
  <si>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</si>
  <si>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</si>
  <si>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</si>
  <si>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</si>
  <si>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</si>
  <si>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</si>
  <si>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</si>
  <si>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</si>
  <si>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</si>
  <si>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</si>
  <si>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</si>
  <si>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</si>
  <si>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</si>
  <si>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</si>
  <si>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</si>
  <si>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</si>
  <si>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</si>
  <si>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</si>
  <si>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</si>
  <si>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</si>
  <si>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</si>
  <si>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</si>
  <si>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</si>
  <si>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</si>
  <si>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</si>
  <si>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</si>
  <si>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</si>
  <si>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</si>
  <si>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</si>
  <si>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</si>
  <si>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</si>
  <si>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</si>
  <si>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</si>
  <si>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</si>
  <si>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</si>
  <si>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</si>
  <si>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</si>
  <si>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</si>
  <si>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</si>
  <si>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</si>
  <si>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</si>
  <si>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</si>
  <si>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</si>
  <si>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</si>
  <si>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</si>
  <si>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</si>
  <si>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</si>
  <si>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</si>
  <si>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</si>
  <si>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</si>
  <si>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</si>
  <si>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</si>
  <si>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</si>
  <si>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</si>
  <si>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</si>
  <si>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</si>
  <si>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</si>
  <si>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</si>
  <si>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</si>
  <si>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</si>
  <si>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</si>
  <si>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</si>
  <si>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</si>
  <si>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</si>
  <si>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</si>
  <si>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</si>
  <si>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</si>
  <si>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</si>
  <si>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</si>
  <si>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</si>
  <si>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</si>
  <si>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</si>
  <si>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</si>
  <si>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</si>
  <si>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</si>
  <si>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</si>
  <si>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</si>
  <si>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</si>
  <si>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</si>
  <si>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</si>
  <si>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</si>
  <si>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</si>
  <si>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</si>
  <si>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</si>
  <si>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</si>
  <si>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</si>
  <si>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</si>
  <si>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</si>
  <si>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</si>
  <si>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</si>
  <si>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</si>
  <si>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</si>
  <si>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</si>
  <si>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</si>
  <si>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</si>
  <si>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</si>
  <si>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</si>
  <si>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</si>
  <si>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</si>
  <si>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</si>
  <si>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</si>
  <si>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</si>
  <si>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</si>
  <si>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</si>
  <si>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</si>
  <si>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</si>
  <si>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</si>
  <si>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</si>
  <si>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</si>
  <si>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</si>
  <si>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</si>
  <si>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</si>
  <si>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</si>
  <si>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</si>
  <si>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</si>
  <si>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</si>
  <si>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</si>
  <si>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</si>
  <si>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</si>
  <si>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</si>
  <si>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</si>
  <si>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</si>
  <si>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</si>
  <si>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</si>
  <si>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</si>
  <si>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</si>
  <si>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</si>
  <si>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</si>
  <si>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</si>
  <si>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</si>
  <si>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</si>
  <si>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</si>
  <si>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</si>
  <si>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</si>
  <si>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</si>
  <si>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</si>
  <si>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</si>
  <si>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</si>
  <si>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</si>
  <si>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</si>
  <si>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</si>
  <si>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</si>
  <si>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</si>
  <si>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</si>
  <si>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</si>
  <si>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</si>
  <si>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</si>
  <si>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</si>
  <si>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</si>
  <si>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</si>
  <si>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</si>
  <si>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</si>
  <si>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</si>
  <si>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</si>
  <si>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</si>
  <si>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</si>
  <si>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</si>
  <si>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</si>
  <si>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</si>
  <si>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</si>
  <si>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</si>
  <si>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</si>
  <si>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</si>
  <si>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</si>
  <si>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</si>
  <si>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</si>
  <si>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</si>
  <si>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</si>
  <si>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</si>
  <si>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</si>
  <si>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</si>
  <si>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</si>
  <si>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</si>
  <si>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</si>
  <si>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</si>
  <si>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</si>
  <si>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</si>
  <si>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</si>
  <si>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</si>
  <si>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</si>
  <si>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</si>
  <si>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</si>
  <si>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</si>
  <si>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</si>
  <si>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</si>
  <si>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</si>
  <si>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</si>
  <si>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</si>
  <si>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</si>
  <si>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</si>
  <si>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</si>
  <si>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</si>
  <si>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</si>
  <si>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</si>
  <si>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</si>
  <si>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</si>
  <si>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</si>
  <si>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</si>
  <si>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</si>
  <si>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</si>
  <si>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</si>
  <si>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</si>
  <si>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</si>
  <si>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</si>
  <si>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</si>
  <si>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</si>
  <si>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</si>
  <si>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</si>
  <si>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</si>
  <si>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</si>
  <si>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</si>
  <si>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</si>
  <si>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</si>
  <si>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</si>
  <si>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</si>
  <si>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</si>
  <si>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</si>
  <si>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</si>
  <si>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</si>
  <si>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</si>
  <si>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</si>
  <si>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</si>
  <si>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</si>
  <si>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</si>
  <si>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</si>
  <si>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</si>
  <si>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</si>
  <si>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</si>
  <si>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</si>
  <si>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</si>
  <si>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</si>
  <si>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</si>
  <si>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</si>
  <si>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</si>
  <si>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</si>
  <si>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</si>
  <si>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</si>
  <si>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</si>
  <si>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</si>
  <si>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</si>
  <si>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</si>
  <si>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</si>
  <si>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</si>
  <si>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</si>
  <si>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</si>
  <si>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</si>
  <si>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</si>
  <si>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</si>
  <si>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</si>
  <si>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</si>
  <si>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</si>
  <si>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</si>
  <si>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</si>
  <si>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</si>
  <si>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</si>
  <si>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</si>
  <si>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</si>
  <si>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</si>
  <si>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</si>
  <si>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</si>
  <si>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</si>
  <si>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</si>
  <si>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</si>
  <si>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</si>
  <si>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</si>
  <si>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</si>
  <si>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</si>
  <si>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</si>
  <si>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</si>
  <si>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</si>
  <si>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</si>
  <si>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</si>
  <si>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</si>
  <si>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</si>
  <si>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</si>
  <si>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</si>
  <si>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</si>
  <si>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</si>
  <si>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</si>
  <si>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</si>
  <si>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</si>
  <si>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</si>
  <si>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</si>
  <si>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</si>
  <si>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</si>
  <si>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</si>
  <si>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</si>
  <si>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</si>
  <si>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</si>
  <si>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</si>
  <si>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</si>
  <si>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</si>
  <si>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</si>
  <si>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</si>
  <si>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</si>
  <si>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</si>
  <si>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</si>
  <si>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</si>
  <si>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</si>
  <si>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</si>
  <si>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</si>
  <si>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</si>
  <si>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</si>
  <si>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</si>
  <si>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</si>
  <si>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</si>
  <si>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</si>
  <si>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</si>
  <si>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</si>
  <si>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</si>
  <si>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</si>
  <si>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</si>
  <si>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</si>
  <si>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</si>
  <si>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</si>
  <si>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</si>
  <si>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</si>
  <si>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</si>
  <si>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</si>
  <si>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</si>
  <si>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</si>
  <si>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</si>
  <si>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</si>
  <si>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</si>
  <si>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</si>
  <si>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</si>
  <si>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</si>
  <si>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</si>
  <si>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</si>
  <si>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</si>
  <si>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</si>
  <si>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</si>
  <si>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</si>
  <si>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</si>
  <si>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</si>
  <si>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</si>
  <si>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</si>
  <si>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</si>
  <si>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</si>
  <si>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</si>
  <si>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</si>
  <si>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</si>
  <si>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</si>
  <si>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</si>
  <si>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</si>
  <si>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</si>
  <si>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</si>
  <si>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</si>
  <si>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</si>
  <si>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</si>
  <si>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</si>
  <si>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</si>
  <si>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</si>
  <si>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</si>
  <si>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</si>
  <si>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</si>
  <si>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</si>
  <si>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</si>
  <si>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</si>
  <si>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</si>
  <si>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</si>
  <si>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</si>
  <si>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</si>
  <si>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</si>
  <si>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</si>
  <si>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</si>
  <si>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</si>
  <si>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</si>
  <si>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</si>
  <si>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</si>
  <si>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</si>
  <si>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</si>
  <si>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</si>
  <si>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</si>
  <si>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</si>
  <si>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</si>
  <si>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</si>
  <si>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</si>
  <si>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</si>
  <si>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</si>
  <si>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</si>
  <si>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</si>
  <si>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</si>
  <si>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</si>
  <si>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</si>
  <si>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</si>
  <si>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</si>
  <si>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</si>
  <si>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</si>
  <si>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</si>
  <si>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</si>
  <si>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</si>
  <si>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</si>
  <si>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</si>
  <si>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</si>
  <si>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</si>
  <si>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</si>
  <si>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</si>
  <si>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</si>
  <si>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</si>
  <si>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</si>
  <si>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</si>
  <si>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</si>
  <si>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</si>
  <si>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</si>
  <si>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</si>
  <si>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</si>
  <si>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</si>
  <si>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</si>
  <si>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</si>
  <si>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</si>
  <si>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</si>
  <si>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</si>
  <si>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</si>
  <si>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</si>
  <si>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</si>
  <si>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</si>
  <si>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</si>
  <si>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</si>
  <si>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</si>
  <si>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</si>
  <si>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</si>
  <si>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</si>
  <si>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</si>
  <si>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</si>
  <si>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</si>
  <si>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</si>
  <si>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</si>
  <si>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</si>
  <si>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</si>
  <si>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</si>
  <si>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</si>
  <si>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</si>
  <si>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</si>
  <si>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</si>
  <si>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</si>
  <si>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</si>
  <si>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</si>
  <si>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</si>
  <si>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</si>
  <si>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</si>
  <si>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</si>
  <si>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</si>
  <si>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</si>
  <si>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</si>
  <si>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</si>
  <si>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</si>
  <si>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</si>
  <si>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</si>
  <si>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</si>
  <si>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</si>
  <si>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</si>
  <si>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</si>
  <si>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</si>
  <si>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</si>
  <si>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</si>
  <si>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</si>
  <si>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</si>
  <si>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</si>
  <si>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</si>
  <si>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</si>
  <si>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</si>
  <si>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</si>
  <si>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</si>
  <si>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</si>
  <si>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</si>
  <si>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</si>
  <si>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</si>
  <si>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</si>
  <si>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</si>
  <si>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</si>
  <si>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</si>
  <si>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</si>
  <si>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</si>
  <si>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</si>
  <si>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</si>
  <si>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</si>
  <si>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</si>
  <si>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</si>
  <si>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</si>
  <si>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</si>
  <si>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</si>
  <si>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</si>
  <si>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</si>
  <si>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</si>
  <si>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</si>
  <si>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</si>
  <si>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</si>
  <si>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</si>
  <si>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</si>
  <si>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</si>
  <si>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</si>
  <si>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</si>
  <si>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</si>
  <si>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</si>
  <si>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</si>
  <si>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</si>
  <si>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</si>
  <si>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</si>
  <si>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</si>
  <si>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</si>
  <si>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</si>
  <si>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</si>
  <si>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</si>
  <si>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</si>
  <si>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</si>
  <si>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</si>
  <si>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</si>
  <si>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</si>
  <si>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</si>
  <si>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</si>
  <si>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</si>
  <si>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</si>
  <si>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</si>
  <si>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</si>
  <si>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</si>
  <si>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</si>
  <si>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</si>
  <si>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</si>
  <si>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</si>
  <si>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</si>
  <si>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</si>
  <si>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</si>
  <si>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</si>
  <si>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</si>
  <si>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</si>
  <si>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</si>
  <si>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</si>
  <si>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</si>
  <si>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</si>
  <si>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</si>
  <si>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</si>
  <si>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</si>
  <si>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</si>
  <si>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</si>
  <si>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</si>
  <si>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</si>
  <si>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</si>
  <si>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</si>
  <si>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</si>
  <si>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</si>
  <si>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</si>
  <si>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</si>
  <si>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</si>
  <si>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</si>
  <si>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</si>
  <si>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</si>
  <si>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</si>
  <si>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</si>
  <si>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</si>
  <si>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</si>
  <si>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</si>
  <si>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</si>
  <si>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</si>
  <si>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</si>
  <si>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</si>
  <si>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</si>
  <si>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</si>
  <si>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</si>
  <si>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</si>
  <si>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</si>
  <si>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</si>
  <si>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</si>
  <si>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</si>
  <si>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</si>
  <si>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</si>
  <si>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</si>
  <si>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</si>
  <si>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</si>
  <si>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</si>
  <si>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</si>
  <si>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</si>
  <si>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</si>
  <si>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</si>
  <si>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</si>
  <si>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</si>
  <si>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</si>
  <si>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</si>
  <si>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</si>
  <si>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</si>
  <si>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</si>
  <si>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</si>
  <si>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</si>
  <si>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</si>
  <si>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</si>
  <si>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</si>
  <si>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</si>
  <si>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</si>
  <si>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</si>
  <si>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</si>
  <si>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</si>
  <si>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</si>
  <si>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</si>
  <si>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</si>
  <si>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</si>
  <si>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</si>
  <si>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</si>
  <si>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</si>
  <si>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</si>
  <si>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</si>
  <si>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</si>
  <si>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</si>
  <si>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</si>
  <si>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</si>
  <si>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</si>
  <si>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</si>
  <si>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</si>
  <si>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</si>
  <si>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</si>
  <si>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</si>
  <si>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</si>
  <si>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</si>
  <si>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</si>
  <si>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</si>
  <si>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</si>
  <si>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</si>
  <si>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</si>
  <si>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</si>
  <si>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</si>
  <si>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</si>
  <si>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</si>
  <si>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</si>
  <si>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</si>
  <si>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</si>
  <si>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</si>
  <si>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</si>
  <si>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</si>
  <si>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</si>
  <si>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</si>
  <si>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</si>
  <si>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</si>
  <si>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</si>
  <si>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</si>
  <si>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</si>
  <si>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</si>
  <si>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</si>
  <si>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</si>
  <si>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</si>
  <si>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</si>
  <si>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</si>
  <si>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</si>
  <si>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</si>
  <si>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</si>
  <si>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</si>
  <si>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</si>
  <si>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</si>
  <si>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</si>
  <si>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</si>
  <si>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</si>
  <si>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</si>
  <si>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</si>
  <si>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</si>
  <si>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</si>
  <si>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</si>
  <si>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</si>
  <si>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</si>
  <si>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</si>
  <si>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</si>
  <si>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</si>
  <si>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</si>
  <si>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</si>
  <si>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</si>
  <si>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</si>
  <si>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</si>
  <si>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</si>
  <si>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</si>
  <si>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</si>
  <si>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</si>
  <si>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</si>
  <si>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</si>
  <si>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</si>
  <si>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</si>
  <si>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</si>
  <si>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</si>
  <si>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</si>
  <si>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</si>
  <si>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</si>
  <si>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</si>
  <si>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</si>
  <si>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</si>
  <si>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</si>
  <si>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</si>
  <si>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</si>
  <si>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</si>
  <si>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</si>
  <si>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</si>
  <si>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</si>
  <si>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</si>
  <si>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</si>
  <si>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</si>
  <si>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</si>
  <si>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</si>
  <si>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</si>
  <si>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</si>
  <si>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</si>
  <si>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</si>
  <si>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</si>
  <si>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</si>
  <si>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</si>
  <si>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</si>
  <si>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</si>
  <si>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</si>
  <si>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</si>
  <si>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</si>
  <si>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</si>
  <si>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</si>
  <si>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</si>
  <si>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</si>
  <si>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</si>
  <si>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</si>
  <si>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</si>
  <si>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</si>
  <si>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</si>
  <si>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</si>
  <si>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</si>
  <si>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</si>
  <si>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</si>
  <si>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</si>
  <si>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</si>
  <si>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</si>
  <si>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</si>
  <si>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</si>
  <si>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</si>
  <si>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</si>
  <si>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</si>
  <si>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</si>
  <si>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</si>
  <si>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</si>
  <si>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</si>
  <si>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</si>
  <si>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</si>
  <si>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</si>
  <si>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</si>
  <si>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</si>
  <si>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</si>
  <si>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</si>
  <si>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</si>
  <si>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</si>
  <si>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</si>
  <si>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</si>
  <si>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</si>
  <si>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</si>
  <si>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</si>
  <si>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</si>
  <si>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</si>
  <si>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</si>
  <si>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</si>
  <si>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</si>
  <si>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</si>
  <si>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</si>
  <si>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</si>
  <si>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</si>
  <si>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</si>
  <si>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</si>
  <si>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</si>
  <si>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</si>
  <si>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</si>
  <si>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</si>
  <si>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</si>
  <si>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</si>
  <si>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</si>
  <si>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</si>
  <si>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</si>
  <si>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</si>
  <si>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</si>
  <si>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</si>
  <si>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</si>
  <si>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</si>
  <si>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</si>
  <si>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</si>
  <si>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</si>
  <si>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</si>
  <si>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</si>
  <si>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</si>
  <si>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</si>
  <si>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</si>
  <si>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</si>
  <si>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</si>
  <si>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</si>
  <si>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</si>
  <si>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</si>
  <si>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</si>
  <si>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</si>
  <si>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</si>
  <si>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</si>
  <si>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</si>
  <si>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</si>
  <si>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</si>
  <si>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</si>
  <si>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</si>
  <si>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</si>
  <si>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</si>
  <si>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</si>
  <si>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</si>
  <si>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</si>
  <si>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</si>
  <si>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</si>
  <si>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</si>
  <si>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</si>
  <si>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</si>
  <si>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</si>
  <si>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</si>
  <si>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</si>
  <si>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</si>
  <si>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</si>
  <si>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</si>
  <si>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</si>
  <si>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</si>
  <si>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</si>
  <si>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</si>
  <si>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</si>
  <si>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</si>
  <si>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</si>
  <si>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</si>
  <si>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</si>
  <si>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</si>
  <si>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</si>
  <si>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</si>
  <si>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</si>
  <si>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</si>
  <si>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</si>
  <si>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</si>
  <si>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</si>
  <si>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</si>
  <si>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</si>
  <si>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</si>
  <si>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</si>
  <si>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</si>
  <si>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</si>
  <si>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</si>
  <si>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</si>
  <si>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</si>
  <si>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</si>
  <si>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</si>
  <si>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</si>
  <si>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</si>
  <si>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</si>
  <si>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</si>
  <si>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</si>
  <si>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</si>
  <si>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</si>
  <si>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</si>
  <si>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</si>
  <si>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</si>
  <si>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</si>
  <si>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</si>
  <si>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</si>
  <si>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</si>
  <si>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</si>
  <si>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</si>
  <si>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</si>
  <si>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</si>
  <si>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</si>
  <si>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</si>
  <si>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</si>
  <si>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</si>
  <si>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</si>
  <si>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</si>
  <si>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</si>
  <si>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</si>
  <si>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</si>
  <si>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</si>
  <si>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</si>
  <si>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</si>
  <si>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</si>
  <si>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</si>
  <si>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</si>
  <si>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</si>
  <si>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</si>
  <si>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</si>
  <si>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</si>
  <si>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</si>
  <si>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</si>
  <si>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</si>
  <si>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</si>
  <si>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</si>
  <si>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</si>
  <si>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</si>
  <si>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</si>
  <si>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</si>
  <si>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</si>
  <si>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</si>
  <si>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</si>
  <si>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</si>
  <si>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</si>
  <si>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</si>
  <si>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</si>
  <si>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</si>
  <si>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</si>
  <si>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</si>
  <si>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</si>
  <si>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</si>
  <si>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</si>
  <si>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</si>
  <si>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</si>
  <si>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</si>
  <si>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</si>
  <si>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</si>
  <si>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</si>
  <si>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</si>
  <si>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</si>
  <si>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</si>
  <si>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</si>
  <si>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</si>
  <si>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</si>
  <si>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</si>
  <si>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</si>
  <si>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</si>
  <si>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</si>
  <si>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</si>
  <si>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</si>
  <si>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</si>
  <si>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</si>
  <si>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</si>
  <si>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</si>
  <si>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</si>
  <si>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</si>
  <si>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</si>
  <si>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</si>
  <si>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</si>
  <si>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</si>
  <si>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</si>
  <si>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</si>
  <si>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</si>
  <si>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</si>
  <si>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</si>
  <si>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</si>
  <si>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</si>
  <si>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</si>
  <si>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</si>
  <si>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</si>
  <si>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</si>
  <si>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</si>
  <si>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</si>
  <si>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</si>
  <si>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</si>
  <si>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</si>
  <si>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</si>
  <si>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</si>
  <si>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</si>
  <si>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</si>
  <si>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</si>
  <si>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</si>
  <si>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</si>
  <si>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</si>
  <si>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</si>
  <si>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</si>
  <si>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</si>
  <si>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</si>
  <si>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</si>
  <si>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</si>
  <si>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</si>
  <si>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</si>
  <si>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</si>
  <si>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</si>
  <si>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</si>
  <si>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</si>
  <si>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</si>
  <si>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EXPLANATION / DOCUMENTING ASSIGNMENT FORMULAS AND METHODS I USED</t>
  </si>
  <si>
    <t>H.Kim</t>
  </si>
  <si>
    <r>
      <t>• Handle missing values for City, Salesperson, and Channel using reasonable business logic</t>
    </r>
    <r>
      <rPr>
        <b/>
        <sz val="11"/>
        <color rgb="FFC00000"/>
        <rFont val="Calibri"/>
        <family val="2"/>
        <scheme val="minor"/>
      </rPr>
      <t xml:space="preserve"> &gt;&gt; Use CTRL + G&gt;&gt; Blanks and the Filter function, Check for similarities and patterns.</t>
    </r>
  </si>
  <si>
    <t>ORD -2025-739842</t>
  </si>
  <si>
    <t>Leadtime days</t>
  </si>
  <si>
    <r>
      <t xml:space="preserve">• Add a derived 'LeadTimeDays' = RequiredDate − OrderDate (in days). &gt;&gt; </t>
    </r>
    <r>
      <rPr>
        <b/>
        <sz val="11"/>
        <color rgb="FFC00000"/>
        <rFont val="Calibri"/>
        <family val="2"/>
        <scheme val="minor"/>
      </rPr>
      <t>Use the DAYS() function to extract the number of days Until the order is required.</t>
    </r>
  </si>
  <si>
    <t>Corrected.Required date</t>
  </si>
  <si>
    <r>
      <t>• Ensure RequiredDate is not earlier than OrderDate; where it is, impute a corrected RequiredDate (explain your rule).</t>
    </r>
    <r>
      <rPr>
        <b/>
        <sz val="11"/>
        <color rgb="FFC00000"/>
        <rFont val="Calibri"/>
        <family val="2"/>
        <scheme val="minor"/>
      </rPr>
      <t xml:space="preserve"> &gt;&gt; Use the IF() function : if required date&gt;= to Order_date, return same date, else required_date- leadtime</t>
    </r>
    <r>
      <rPr>
        <sz val="11"/>
        <color theme="1"/>
        <rFont val="Calibri"/>
        <family val="2"/>
        <scheme val="minor"/>
      </rPr>
      <t>)</t>
    </r>
    <r>
      <rPr>
        <b/>
        <sz val="11"/>
        <color rgb="FFC00000"/>
        <rFont val="Calibri"/>
        <family val="2"/>
        <scheme val="minor"/>
      </rPr>
      <t xml:space="preserve"> I use subtraction because leadtime is a negative integer</t>
    </r>
  </si>
  <si>
    <r>
      <t xml:space="preserve">• Fix data types (dates as Dates, numeric fields as numbers).&gt;. </t>
    </r>
    <r>
      <rPr>
        <b/>
        <sz val="11"/>
        <color rgb="FFC00000"/>
        <rFont val="Calibri"/>
        <family val="2"/>
        <scheme val="minor"/>
      </rPr>
      <t>Format cells tool</t>
    </r>
  </si>
  <si>
    <t>Juliet Kiplimo - Data Science. Assignment Week 2.</t>
  </si>
  <si>
    <r>
      <t>• Remove exact duplicate rows:</t>
    </r>
    <r>
      <rPr>
        <b/>
        <sz val="11"/>
        <color rgb="FFC00000"/>
        <rFont val="Calibri"/>
        <family val="2"/>
        <scheme val="minor"/>
      </rPr>
      <t xml:space="preserve"> &gt;&gt;</t>
    </r>
    <r>
      <rPr>
        <sz val="11"/>
        <color rgb="FFC00000"/>
        <rFont val="Calibri"/>
        <family val="2"/>
        <scheme val="minor"/>
      </rPr>
      <t xml:space="preserve"> </t>
    </r>
    <r>
      <rPr>
        <b/>
        <sz val="11"/>
        <color rgb="FFC00000"/>
        <rFont val="Calibri"/>
        <family val="2"/>
        <scheme val="minor"/>
      </rPr>
      <t>Selected Employee ID Column &gt;&gt; go to data cleanup &gt;&gt; Select that your data has headers and remove duplicates</t>
    </r>
  </si>
  <si>
    <t xml:space="preserve">   • GrossRevenue = UnitPrice × Quantity × (1 − DiscountPct). </t>
  </si>
  <si>
    <r>
      <t>• Flag and correct suspicious UnitPrice values (e.g., negative prices) and discounts (e.g., &gt; 30%). &gt;&gt;</t>
    </r>
    <r>
      <rPr>
        <b/>
        <sz val="11"/>
        <color rgb="FFC00000"/>
        <rFont val="Calibri"/>
        <family val="2"/>
        <scheme val="minor"/>
      </rPr>
      <t xml:space="preserve"> Use conditional formatting to Highlight all values less than 0, then create a new column and use ABS() formula to correct negative prices. Then hide the column with negative prices. </t>
    </r>
  </si>
  <si>
    <t>Margin %</t>
  </si>
  <si>
    <t>Row Labels</t>
  </si>
  <si>
    <t>Grand Total</t>
  </si>
  <si>
    <t>2023</t>
  </si>
  <si>
    <t>2024</t>
  </si>
  <si>
    <t>2025</t>
  </si>
  <si>
    <t>Column Labels</t>
  </si>
  <si>
    <t>Qtr1</t>
  </si>
  <si>
    <t>Qtr2</t>
  </si>
  <si>
    <t>Qtr3</t>
  </si>
  <si>
    <t>Qtr4</t>
  </si>
  <si>
    <t>Count of OrderID</t>
  </si>
  <si>
    <t>Year</t>
  </si>
  <si>
    <r>
      <t xml:space="preserve">   • Month (MMM-YYYY) from OrderDate. &gt;&gt; </t>
    </r>
    <r>
      <rPr>
        <b/>
        <sz val="11"/>
        <color rgb="FFFF0000"/>
        <rFont val="Calibri"/>
        <family val="2"/>
        <scheme val="minor"/>
      </rPr>
      <t>Create a new column &gt;&gt; Format cells (Use custom format to get mmm-yyy)</t>
    </r>
  </si>
  <si>
    <r>
      <t xml:space="preserve">   • Quarter (e.g., Q1-2024) &gt;&gt; </t>
    </r>
    <r>
      <rPr>
        <b/>
        <sz val="11"/>
        <color rgb="FFFF0000"/>
        <rFont val="Calibri"/>
        <family val="2"/>
        <scheme val="minor"/>
      </rPr>
      <t>Create a Pivot Table and add Order date to the Rows Column and pick the year and quarter fields, add The quartely field to the columns and Order_id to the Values sections</t>
    </r>
  </si>
  <si>
    <r>
      <t xml:space="preserve">   • Region hierarchy: Region → Country → City. </t>
    </r>
    <r>
      <rPr>
        <b/>
        <sz val="11"/>
        <color rgb="FFFF0000"/>
        <rFont val="Calibri"/>
        <family val="2"/>
        <scheme val="minor"/>
      </rPr>
      <t>Create a Pivot table &gt;&gt; Country, city, region in the rows and Count of order_ID in the Values. Use Region and Country Slicers for analysis.</t>
    </r>
  </si>
  <si>
    <t>Sum of Gross Revenue</t>
  </si>
  <si>
    <r>
      <t xml:space="preserve">   • Identify the first month each Country appears and calculate monthly revenue tracked from that start (cohort analysis). &gt;&gt;</t>
    </r>
    <r>
      <rPr>
        <b/>
        <sz val="11"/>
        <color rgb="FFFF0000"/>
        <rFont val="Calibri"/>
        <family val="2"/>
        <scheme val="minor"/>
      </rPr>
      <t>create a pivot table with order date in months in the rows, andcount_ country in the columns, create a slicer for country</t>
    </r>
  </si>
  <si>
    <t>Discount.Pct</t>
  </si>
  <si>
    <t>Price bands</t>
  </si>
  <si>
    <r>
      <t xml:space="preserve">   • ProductCategory and a derived 'PriceBand' (e.g.,</t>
    </r>
    <r>
      <rPr>
        <b/>
        <sz val="11"/>
        <color rgb="FFFF0000"/>
        <rFont val="Calibri"/>
        <family val="2"/>
        <scheme val="minor"/>
      </rPr>
      <t xml:space="preserve"> Low/Medium/High using quantiles). &gt;&gt;Use Nested IF functionwith the Quartile function =[ ifr1&lt;=quartile(range,1),"Low"...] to categorize into "Verylow, Low, Medium &amp; High</t>
    </r>
  </si>
  <si>
    <t>(blank)</t>
  </si>
  <si>
    <r>
      <t xml:space="preserve">   • Identify the first month each Country appears and calculate monthly revenue tracked from that start (cohort analysis).</t>
    </r>
    <r>
      <rPr>
        <b/>
        <sz val="11"/>
        <color theme="1"/>
        <rFont val="Calibri"/>
        <family val="2"/>
        <scheme val="minor"/>
      </rPr>
      <t>(</t>
    </r>
    <r>
      <rPr>
        <b/>
        <sz val="11"/>
        <color rgb="FFFF0000"/>
        <rFont val="Calibri"/>
        <family val="2"/>
        <scheme val="minor"/>
      </rPr>
      <t>use the month function to extract the month from the order date, create pivto table with months revenue and country)</t>
    </r>
  </si>
  <si>
    <t>Quarters</t>
  </si>
  <si>
    <t>Order date in months</t>
  </si>
  <si>
    <t>Sum of Gross Profit</t>
  </si>
  <si>
    <t>Month</t>
  </si>
  <si>
    <t>Corrected Leadtime days</t>
  </si>
  <si>
    <t>%leadtime &gt;7days</t>
  </si>
  <si>
    <t xml:space="preserve">   • Global Discount Cap (e.g., 0%–25%).&gt;&gt; create new column(disc cap) use the formula { =if(dahsboardsheetref,cell in dashboard(g2)&gt;stagingdatasheet(dicount column ref,</t>
  </si>
  <si>
    <t>disc cap</t>
  </si>
  <si>
    <t>Infl cap</t>
  </si>
  <si>
    <t>uplift cost</t>
  </si>
  <si>
    <t>Discount(KES)</t>
  </si>
  <si>
    <t>Gross Revenue(KES)</t>
  </si>
  <si>
    <t>NET Revenue(KES)</t>
  </si>
  <si>
    <t>Cost of Goods(KES)</t>
  </si>
  <si>
    <t>Gross Profit(KES)</t>
  </si>
  <si>
    <t>Net Profit(KES)</t>
  </si>
  <si>
    <t>Corrected unit Price(Ksh)</t>
  </si>
  <si>
    <t>Achieved</t>
  </si>
  <si>
    <t>Not achieved</t>
  </si>
  <si>
    <t>Count of %leadtime &gt;7days</t>
  </si>
  <si>
    <t>Sum of Gross Profit(KES)</t>
  </si>
  <si>
    <t>Sum of Gross Revenue(KES)</t>
  </si>
  <si>
    <t>Jan</t>
  </si>
  <si>
    <t>Feb</t>
  </si>
  <si>
    <t>Mar</t>
  </si>
  <si>
    <t>Apr</t>
  </si>
  <si>
    <t>May</t>
  </si>
  <si>
    <t>Jun</t>
  </si>
  <si>
    <t>Jul</t>
  </si>
  <si>
    <t>Aug</t>
  </si>
  <si>
    <t>Sept</t>
  </si>
  <si>
    <t>Oct</t>
  </si>
  <si>
    <t>Nov</t>
  </si>
  <si>
    <t>Dec</t>
  </si>
  <si>
    <t xml:space="preserve"> </t>
  </si>
  <si>
    <t>Global Discount cap :</t>
  </si>
  <si>
    <t xml:space="preserve">Unit Cost Inflation Rate : </t>
  </si>
  <si>
    <t>Quantity Uplift:</t>
  </si>
  <si>
    <t>q2</t>
  </si>
  <si>
    <t>q1</t>
  </si>
  <si>
    <t>q3</t>
  </si>
  <si>
    <t>q4</t>
  </si>
  <si>
    <t>Count of OrderID2</t>
  </si>
  <si>
    <t>(All)</t>
  </si>
  <si>
    <t>Sum of Sum of Gross Revenue(KES)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</si>
</sst>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Ksh&quot;#,##0.00"/>
  </numFmts>
  <fonts count="8" x14ac:knownFonts="1">
    <font>
      <sz val="11"/>
      <color theme="1"/>
      <name val="Calibri"/>
      <family val="2"/>
      <scheme val="minor"/>
    </font>
    <font>
      <b/>
      <sz val="11"/>
      <color theme="1"/>
      <name val="Calibri"/>
      <family val="2"/>
      <scheme val="minor"/>
    </font>
    <font>
      <b/>
      <sz val="14"/>
      <color theme="1"/>
      <name val="Calibri"/>
      <family val="2"/>
      <scheme val="minor"/>
    </font>
    <font>
      <b/>
      <sz val="11"/>
      <color rgb="FF980000"/>
      <name val="Calibri"/>
      <family val="2"/>
      <scheme val="minor"/>
    </font>
    <font>
      <b/>
      <sz val="11"/>
      <color rgb="FFC00000"/>
      <name val="Calibri"/>
      <family val="2"/>
      <scheme val="minor"/>
    </font>
    <font>
      <sz val="11"/>
      <color rgb="FFC00000"/>
      <name val="Calibri"/>
      <family val="2"/>
      <scheme val="minor"/>
    </font>
    <font>
      <sz val="11"/>
      <color theme="1"/>
      <name val="Calibri"/>
      <family val="2"/>
      <scheme val="minor"/>
    </font>
    <font>
      <b/>
      <sz val="11"/>
      <color rgb="FFFF0000"/>
      <name val="Calibri"/>
      <family val="2"/>
      <scheme val="minor"/>
    </font>
  </fonts>
  <fills count="7">
    <fill>
      <patternFill patternType="none"/>
    </fill>
    <fill>
      <patternFill patternType="gray125"/>
    </fill>
    <fill>
      <patternFill patternType="solid">
        <fgColor theme="5" tint="0.39997558519241921"/>
        <bgColor indexed="64"/>
      </patternFill>
    </fill>
    <fill>
      <patternFill patternType="solid">
        <fgColor theme="7" tint="0.39997558519241921"/>
        <bgColor indexed="64"/>
      </patternFill>
    </fill>
    <fill>
      <patternFill patternType="solid">
        <fgColor rgb="FFFFFF00"/>
        <bgColor indexed="64"/>
      </patternFill>
    </fill>
    <fill>
      <patternFill patternType="solid">
        <fgColor rgb="FF00B050"/>
        <bgColor indexed="64"/>
      </patternFill>
    </fill>
    <fill>
      <patternFill patternType="solid">
        <fgColor theme="0"/>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right style="medium">
        <color indexed="64"/>
      </right>
      <top style="medium">
        <color indexed="64"/>
      </top>
      <bottom style="medium">
        <color indexed="64"/>
      </bottom>
      <diagonal/>
    </border>
  </borders>
  <cellStyleXfs count="2">
    <xf numFmtId="0" fontId="0" fillId="0" borderId="0"/>
    <xf numFmtId="9" fontId="6" fillId="0" borderId="0" applyFont="0" applyFill="0" applyBorder="0" applyAlignment="0" applyProtection="0"/>
  </cellStyleXfs>
  <cellXfs count="46">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14" fontId="1" fillId="0" borderId="1" xfId="0" applyNumberFormat="1" applyFont="1" applyBorder="1" applyAlignment="1">
      <alignment horizontal="center" vertical="top"/>
    </xf>
    <xf numFmtId="14" fontId="0" fillId="0" borderId="0" xfId="0" applyNumberFormat="1"/>
    <xf numFmtId="2" fontId="1" fillId="0" borderId="1" xfId="0" applyNumberFormat="1" applyFont="1" applyBorder="1" applyAlignment="1">
      <alignment horizontal="center" vertical="top"/>
    </xf>
    <xf numFmtId="2" fontId="0" fillId="0" borderId="0" xfId="0" applyNumberFormat="1"/>
    <xf numFmtId="10" fontId="0" fillId="0" borderId="0" xfId="0" applyNumberFormat="1"/>
    <xf numFmtId="0" fontId="0" fillId="0" borderId="0" xfId="0" applyAlignment="1">
      <alignment vertical="center"/>
    </xf>
    <xf numFmtId="0" fontId="2" fillId="0" borderId="0" xfId="0" applyFont="1" applyAlignment="1">
      <alignment vertical="center"/>
    </xf>
    <xf numFmtId="0" fontId="1" fillId="0" borderId="0" xfId="0" applyFont="1"/>
    <xf numFmtId="0" fontId="3" fillId="0" borderId="0" xfId="0" applyFont="1"/>
    <xf numFmtId="0" fontId="0" fillId="0" borderId="0" xfId="0" applyAlignment="1">
      <alignment vertical="top"/>
    </xf>
    <xf numFmtId="1" fontId="0" fillId="0" borderId="0" xfId="0" applyNumberFormat="1"/>
    <xf numFmtId="0" fontId="1" fillId="0" borderId="0" xfId="0" applyFont="1" applyAlignment="1">
      <alignment vertical="center"/>
    </xf>
    <xf numFmtId="14" fontId="1" fillId="2" borderId="1" xfId="0" applyNumberFormat="1" applyFont="1" applyFill="1" applyBorder="1" applyAlignment="1">
      <alignment horizontal="center" vertical="top"/>
    </xf>
    <xf numFmtId="1" fontId="1" fillId="2" borderId="1" xfId="0" applyNumberFormat="1" applyFont="1" applyFill="1" applyBorder="1" applyAlignment="1">
      <alignment horizontal="center" vertical="top"/>
    </xf>
    <xf numFmtId="1" fontId="0" fillId="2" borderId="0" xfId="0" applyNumberFormat="1" applyFill="1"/>
    <xf numFmtId="0" fontId="1" fillId="0" borderId="0" xfId="0" applyFont="1" applyAlignment="1">
      <alignment horizontal="center"/>
    </xf>
    <xf numFmtId="0" fontId="5" fillId="0" borderId="0" xfId="0" applyFont="1"/>
    <xf numFmtId="164" fontId="0" fillId="0" borderId="0" xfId="0" applyNumberFormat="1"/>
    <xf numFmtId="164" fontId="1" fillId="0" borderId="1" xfId="0" applyNumberFormat="1" applyFont="1" applyBorder="1" applyAlignment="1">
      <alignment horizontal="center" vertical="top"/>
    </xf>
    <xf numFmtId="10" fontId="1" fillId="2" borderId="1" xfId="0" applyNumberFormat="1" applyFont="1" applyFill="1" applyBorder="1" applyAlignment="1">
      <alignment horizontal="center" vertical="top"/>
    </xf>
    <xf numFmtId="0" fontId="1" fillId="2" borderId="0" xfId="0" applyFont="1" applyFill="1"/>
    <xf numFmtId="9" fontId="1" fillId="2" borderId="0" xfId="1" applyFont="1" applyFill="1" applyBorder="1"/>
    <xf numFmtId="9" fontId="0" fillId="0" borderId="0" xfId="1" applyFont="1"/>
    <xf numFmtId="17" fontId="1" fillId="0" borderId="1" xfId="0" applyNumberFormat="1" applyFont="1" applyBorder="1" applyAlignment="1">
      <alignment horizontal="center" vertical="top"/>
    </xf>
    <xf numFmtId="17"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1" fillId="2" borderId="0" xfId="0" applyNumberFormat="1" applyFont="1" applyFill="1"/>
    <xf numFmtId="2" fontId="1" fillId="2" borderId="0" xfId="0" applyNumberFormat="1" applyFont="1" applyFill="1"/>
    <xf numFmtId="0" fontId="1" fillId="2" borderId="1" xfId="0" applyFont="1" applyFill="1" applyBorder="1" applyAlignment="1">
      <alignment horizontal="center" vertical="top"/>
    </xf>
    <xf numFmtId="0" fontId="0" fillId="3" borderId="0" xfId="0" applyFill="1"/>
    <xf numFmtId="0" fontId="0" fillId="0" borderId="0" xfId="0" applyAlignment="1">
      <alignment horizontal="left" indent="2"/>
    </xf>
    <xf numFmtId="0" fontId="1" fillId="6" borderId="3" xfId="0" applyFont="1" applyFill="1" applyBorder="1"/>
    <xf numFmtId="0" fontId="1" fillId="6" borderId="4" xfId="0" applyFont="1" applyFill="1" applyBorder="1"/>
    <xf numFmtId="0" fontId="1" fillId="6" borderId="2" xfId="0" applyFont="1" applyFill="1" applyBorder="1"/>
    <xf numFmtId="9" fontId="0" fillId="6" borderId="5" xfId="0" applyNumberFormat="1" applyFill="1" applyBorder="1"/>
    <xf numFmtId="9" fontId="0" fillId="6" borderId="6" xfId="0" applyNumberFormat="1" applyFill="1" applyBorder="1"/>
    <xf numFmtId="9" fontId="0" fillId="6" borderId="7" xfId="0" applyNumberFormat="1" applyFill="1" applyBorder="1"/>
    <xf numFmtId="0" fontId="0" fillId="4" borderId="0" xfId="0" applyFill="1"/>
    <xf numFmtId="0" fontId="0" fillId="5" borderId="0" xfId="0" applyFill="1"/>
    <xf numFmtId="0" fontId="0" fillId="0" borderId="0" xfId="0" applyAlignment="1">
      <alignment horizontal="left" vertical="center"/>
    </xf>
  </cellXfs>
  <cellStyles count="2">
    <cellStyle name="Normal" xfId="0" builtinId="0"/>
    <cellStyle name="Percent" xfId="1" builtinId="5"/>
  </cellStyles>
  <dxfs count="47">
    <dxf>
      <font>
        <color rgb="FF9C57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patternType="solid">
          <bgColor rgb="FF00B050"/>
        </patternFill>
      </fill>
    </dxf>
    <dxf>
      <fill>
        <patternFill patternType="solid">
          <bgColor rgb="FFFFFF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4.xml"/><Relationship Id="rId21" Type="http://schemas.openxmlformats.org/officeDocument/2006/relationships/pivotCacheDefinition" Target="pivotCache/pivotCacheDefinition3.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33" Type="http://schemas.microsoft.com/office/2007/relationships/slicerCache" Target="slicerCaches/slicerCache1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microsoft.com/office/2007/relationships/slicerCache" Target="slicerCaches/slicerCache10.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microsoft.com/office/2007/relationships/slicerCache" Target="slicerCaches/slicerCache5.xml"/><Relationship Id="rId30" Type="http://schemas.microsoft.com/office/2007/relationships/slicerCache" Target="slicerCaches/slicerCache8.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and Operations- Analytics Dashboards.xlsx]Revenuepermonth.!PivotTable8</c:name>
    <c:fmtId val="7"/>
  </c:pivotSource>
  <c:chart>
    <c:title>
      <c:tx>
        <c:rich>
          <a:bodyPr rot="0" spcFirstLastPara="1" vertOverflow="ellipsis" vert="horz" wrap="square" anchor="ctr" anchorCtr="1"/>
          <a:lstStyle/>
          <a:p>
            <a:pPr>
              <a:defRPr sz="1800" b="0" i="0" u="sng" strike="noStrike" kern="1200" spc="0" baseline="0">
                <a:solidFill>
                  <a:schemeClr val="tx1">
                    <a:lumMod val="65000"/>
                    <a:lumOff val="35000"/>
                  </a:schemeClr>
                </a:solidFill>
                <a:latin typeface="+mn-lt"/>
                <a:ea typeface="+mn-ea"/>
                <a:cs typeface="+mn-cs"/>
              </a:defRPr>
            </a:pPr>
            <a:r>
              <a:rPr lang="en-US" sz="2000" b="1" u="sng"/>
              <a:t>REVENUE PER MONTH.</a:t>
            </a:r>
          </a:p>
        </c:rich>
      </c:tx>
      <c:overlay val="0"/>
      <c:spPr>
        <a:noFill/>
        <a:ln>
          <a:noFill/>
        </a:ln>
        <a:effectLst/>
      </c:spPr>
      <c:txPr>
        <a:bodyPr rot="0" spcFirstLastPara="1" vertOverflow="ellipsis" vert="horz" wrap="square" anchor="ctr" anchorCtr="1"/>
        <a:lstStyle/>
        <a:p>
          <a:pPr>
            <a:defRPr sz="18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'Revenuepermonth.'!$B$3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'Revenuepermonth.'!$A$4:$A$16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'Revenuepermonth.'!$B$4:$B$16</c:f>
              <c:numCache>
                <c:formatCode>General</c:formatCode>
                <c:ptCount val="12"/>
                <c:pt idx="0">
                  <c:v>67681.434080000006</c:v>
                </c:pt>
                <c:pt idx="1">
                  <c:v>89950.743950000004</c:v>
                </c:pt>
                <c:pt idx="2">
                  <c:v>68565.901729999998</c:v>
                </c:pt>
                <c:pt idx="3">
                  <c:v>37576.075599999996</c:v>
                </c:pt>
                <c:pt idx="4">
                  <c:v>58782.592839999998</c:v>
                </c:pt>
                <c:pt idx="5">
                  <c:v>131498.48269999999</c:v>
                </c:pt>
                <c:pt idx="6">
                  <c:v>71477.458799999993</c:v>
                </c:pt>
                <c:pt idx="7">
                  <c:v>97781.085999999981</c:v>
                </c:pt>
                <c:pt idx="8">
                  <c:v>35378.650520000003</c:v>
                </c:pt>
                <c:pt idx="9">
                  <c:v>131228.31789000001</c:v>
                </c:pt>
                <c:pt idx="10">
                  <c:v>4071.8</c:v>
                </c:pt>
                <c:pt idx="11">
                  <c:v>100797.83405999999</c:v>
                </c:pt>
              </c:numCache>
            </c:numRef>
          </c:val>
          <c:smooth val="0"/>
          <c:extLst>
            <c:ext xmlns:c16="http://schemas.microsoft.com/office/drawing/2014/chart" uri="{C3380CC4-5D6E-409C-BE32-E72D297353CC}">
              <c16:uniqueId val="{00000000-EE25-4F48-95A3-745B0822809B}"/>
            </c:ext>
          </c:extLst>
        </c:ser>
        <c:dLbls>
          <c:showLegendKey val="0"/>
          <c:showVal val="0"/>
          <c:showCatName val="0"/>
          <c:showSerName val="0"/>
          <c:showPercent val="0"/>
          <c:showBubbleSize val="0"/>
        </c:dLbls>
        <c:marker val="1"/>
        <c:smooth val="0"/>
        <c:axId val="195188528"/>
        <c:axId val="195189008"/>
      </c:lineChart>
      <c:catAx>
        <c:axId val="19518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89008"/>
        <c:crosses val="autoZero"/>
        <c:auto val="1"/>
        <c:lblAlgn val="ctr"/>
        <c:lblOffset val="100"/>
        <c:noMultiLvlLbl val="0"/>
      </c:catAx>
      <c:valAx>
        <c:axId val="19518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8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Operations- Analytics Dashboards.xlsx]Profitper.Region.Channel!PivotTable9</c:name>
    <c:fmtId val="4"/>
  </c:pivotSource>
  <c:chart>
    <c:title>
      <c:tx>
        <c:rich>
          <a:bodyPr rot="0" spcFirstLastPara="1" vertOverflow="ellipsis" vert="horz" wrap="square" anchor="ctr" anchorCtr="1"/>
          <a:lstStyle/>
          <a:p>
            <a:pPr>
              <a:defRPr sz="2000" b="1" i="0" u="sng" strike="noStrike" kern="1200" spc="0" baseline="0">
                <a:solidFill>
                  <a:schemeClr val="tx1">
                    <a:lumMod val="65000"/>
                    <a:lumOff val="35000"/>
                  </a:schemeClr>
                </a:solidFill>
                <a:latin typeface="+mn-lt"/>
                <a:ea typeface="+mn-ea"/>
                <a:cs typeface="+mn-cs"/>
              </a:defRPr>
            </a:pPr>
            <a:r>
              <a:rPr lang="en-US" sz="2000" b="1" u="sng"/>
              <a:t>REVENUE</a:t>
            </a:r>
            <a:r>
              <a:rPr lang="en-US" sz="2000" b="1" u="sng" baseline="0"/>
              <a:t> PER REGION &amp; CHANNEL </a:t>
            </a:r>
            <a:endParaRPr lang="en-US" sz="2000" b="1" u="sng"/>
          </a:p>
        </c:rich>
      </c:tx>
      <c:overlay val="0"/>
      <c:spPr>
        <a:noFill/>
        <a:ln>
          <a:noFill/>
        </a:ln>
        <a:effectLst/>
      </c:spPr>
      <c:txPr>
        <a:bodyPr rot="0" spcFirstLastPara="1" vertOverflow="ellipsis" vert="horz" wrap="square" anchor="ctr" anchorCtr="1"/>
        <a:lstStyle/>
        <a:p>
          <a:pPr>
            <a:defRPr sz="20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'Profitper.Region.Channel'!$B$3:$B$4</c:f>
              <c:strCache>
                <c:ptCount val="1"/>
                <c:pt idx="0">
                  <c:v>Direct</c:v>
                </c:pt>
              </c:strCache>
            </c:strRef>
          </c:tx>
          <c:spPr>
            <a:solidFill>
              <a:schemeClr val="accent1"/>
            </a:solidFill>
            <a:ln>
              <a:noFill/>
            </a:ln>
            <a:effectLst/>
          </c:spPr>
          <c:invertIfNegative val="0"/>
          <c:cat>
            <c:strRef>
              <c:f>'Profitper.Region.Channel'!$A$5:$A$17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'Profitper.Region.Channel'!$B$5:$B$17</c:f>
              <c:numCache>
                <c:formatCode>0.00</c:formatCode>
                <c:ptCount val="12"/>
                <c:pt idx="0">
                  <c:v>126313.67767</c:v>
                </c:pt>
                <c:pt idx="1">
                  <c:v>87068.557259999987</c:v>
                </c:pt>
                <c:pt idx="2">
                  <c:v>93092.110359999991</c:v>
                </c:pt>
                <c:pt idx="3">
                  <c:v>84038.081150000013</c:v>
                </c:pt>
                <c:pt idx="4">
                  <c:v>144284.61886999998</c:v>
                </c:pt>
                <c:pt idx="5">
                  <c:v>82325.917019999993</c:v>
                </c:pt>
                <c:pt idx="6">
                  <c:v>53799.451199999981</c:v>
                </c:pt>
                <c:pt idx="7">
                  <c:v>113946.29336999996</c:v>
                </c:pt>
                <c:pt idx="8">
                  <c:v>22534.407599999999</c:v>
                </c:pt>
                <c:pt idx="9">
                  <c:v>41847.490330000001</c:v>
                </c:pt>
                <c:pt idx="10">
                  <c:v>64394.252020000014</c:v>
                </c:pt>
                <c:pt idx="11">
                  <c:v>45292.690979999992</c:v>
                </c:pt>
              </c:numCache>
            </c:numRef>
          </c:val>
          <c:extLst>
            <c:ext xmlns:c16="http://schemas.microsoft.com/office/drawing/2014/chart" uri="{C3380CC4-5D6E-409C-BE32-E72D297353CC}">
              <c16:uniqueId val="{00000000-61E9-44F0-BF41-80C068ADBEDA}"/>
            </c:ext>
          </c:extLst>
        </c:ser>
        <c:ser>
          <c:idx val="1"/>
          <c:order val="1"/>
          <c:tx>
            <c:strRef>
              <c:f>'Profitper.Region.Channel'!$C$3:$C$4</c:f>
              <c:strCache>
                <c:ptCount val="1"/>
                <c:pt idx="0">
                  <c:v>Distributor</c:v>
                </c:pt>
              </c:strCache>
            </c:strRef>
          </c:tx>
          <c:spPr>
            <a:solidFill>
              <a:schemeClr val="accent2"/>
            </a:solidFill>
            <a:ln>
              <a:noFill/>
            </a:ln>
            <a:effectLst/>
          </c:spPr>
          <c:invertIfNegative val="0"/>
          <c:cat>
            <c:strRef>
              <c:f>'Profitper.Region.Channel'!$A$5:$A$17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'Profitper.Region.Channel'!$C$5:$C$17</c:f>
              <c:numCache>
                <c:formatCode>0.00</c:formatCode>
                <c:ptCount val="12"/>
                <c:pt idx="0">
                  <c:v>86999.591519999987</c:v>
                </c:pt>
                <c:pt idx="1">
                  <c:v>46415.50688999999</c:v>
                </c:pt>
                <c:pt idx="2">
                  <c:v>28395.208880000006</c:v>
                </c:pt>
                <c:pt idx="3">
                  <c:v>16707.597269999998</c:v>
                </c:pt>
                <c:pt idx="4">
                  <c:v>42975.15249</c:v>
                </c:pt>
                <c:pt idx="5">
                  <c:v>53215.882750000004</c:v>
                </c:pt>
                <c:pt idx="6">
                  <c:v>69535.65436</c:v>
                </c:pt>
                <c:pt idx="7">
                  <c:v>58662.089660000005</c:v>
                </c:pt>
                <c:pt idx="8">
                  <c:v>39872.953740000012</c:v>
                </c:pt>
                <c:pt idx="9">
                  <c:v>93507.308669999999</c:v>
                </c:pt>
                <c:pt idx="10">
                  <c:v>53896.808899999989</c:v>
                </c:pt>
                <c:pt idx="11">
                  <c:v>41883.585910000002</c:v>
                </c:pt>
              </c:numCache>
            </c:numRef>
          </c:val>
          <c:extLst>
            <c:ext xmlns:c16="http://schemas.microsoft.com/office/drawing/2014/chart" uri="{C3380CC4-5D6E-409C-BE32-E72D297353CC}">
              <c16:uniqueId val="{00000001-61E9-44F0-BF41-80C068ADBEDA}"/>
            </c:ext>
          </c:extLst>
        </c:ser>
        <c:ser>
          <c:idx val="2"/>
          <c:order val="2"/>
          <c:tx>
            <c:strRef>
              <c:f>'Profitper.Region.Channel'!$D$3:$D$4</c:f>
              <c:strCache>
                <c:ptCount val="1"/>
                <c:pt idx="0">
                  <c:v>Marketplace</c:v>
                </c:pt>
              </c:strCache>
            </c:strRef>
          </c:tx>
          <c:spPr>
            <a:solidFill>
              <a:schemeClr val="accent3"/>
            </a:solidFill>
            <a:ln>
              <a:noFill/>
            </a:ln>
            <a:effectLst/>
          </c:spPr>
          <c:invertIfNegative val="0"/>
          <c:cat>
            <c:strRef>
              <c:f>'Profitper.Region.Channel'!$A$5:$A$17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'Profitper.Region.Channel'!$D$5:$D$17</c:f>
              <c:numCache>
                <c:formatCode>0.00</c:formatCode>
                <c:ptCount val="12"/>
                <c:pt idx="0">
                  <c:v>31381.503219999995</c:v>
                </c:pt>
                <c:pt idx="1">
                  <c:v>31800.796480000008</c:v>
                </c:pt>
                <c:pt idx="2">
                  <c:v>58581.623630000009</c:v>
                </c:pt>
                <c:pt idx="3">
                  <c:v>-15977.402219999985</c:v>
                </c:pt>
                <c:pt idx="4">
                  <c:v>51326.275370000018</c:v>
                </c:pt>
                <c:pt idx="5">
                  <c:v>51462.982099999987</c:v>
                </c:pt>
                <c:pt idx="6">
                  <c:v>38547.947820000009</c:v>
                </c:pt>
                <c:pt idx="7">
                  <c:v>2699.9740400000014</c:v>
                </c:pt>
                <c:pt idx="8">
                  <c:v>66637.258709999995</c:v>
                </c:pt>
                <c:pt idx="9">
                  <c:v>95502.071810000009</c:v>
                </c:pt>
                <c:pt idx="10">
                  <c:v>76343.937099999981</c:v>
                </c:pt>
                <c:pt idx="11">
                  <c:v>33427.347820000003</c:v>
                </c:pt>
              </c:numCache>
            </c:numRef>
          </c:val>
          <c:extLst>
            <c:ext xmlns:c16="http://schemas.microsoft.com/office/drawing/2014/chart" uri="{C3380CC4-5D6E-409C-BE32-E72D297353CC}">
              <c16:uniqueId val="{00000002-61E9-44F0-BF41-80C068ADBEDA}"/>
            </c:ext>
          </c:extLst>
        </c:ser>
        <c:ser>
          <c:idx val="3"/>
          <c:order val="3"/>
          <c:tx>
            <c:strRef>
              <c:f>'Profitper.Region.Channel'!$E$3:$E$4</c:f>
              <c:strCache>
                <c:ptCount val="1"/>
                <c:pt idx="0">
                  <c:v>Online</c:v>
                </c:pt>
              </c:strCache>
            </c:strRef>
          </c:tx>
          <c:spPr>
            <a:solidFill>
              <a:schemeClr val="accent4"/>
            </a:solidFill>
            <a:ln>
              <a:noFill/>
            </a:ln>
            <a:effectLst/>
          </c:spPr>
          <c:invertIfNegative val="0"/>
          <c:cat>
            <c:strRef>
              <c:f>'Profitper.Region.Channel'!$A$5:$A$17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'Profitper.Region.Channel'!$E$5:$E$17</c:f>
              <c:numCache>
                <c:formatCode>0.00</c:formatCode>
                <c:ptCount val="12"/>
                <c:pt idx="0">
                  <c:v>66999.955869999976</c:v>
                </c:pt>
                <c:pt idx="1">
                  <c:v>116963.90019999999</c:v>
                </c:pt>
                <c:pt idx="2">
                  <c:v>81927.941170000006</c:v>
                </c:pt>
                <c:pt idx="3">
                  <c:v>34792.921850000013</c:v>
                </c:pt>
                <c:pt idx="4">
                  <c:v>68202.411819999994</c:v>
                </c:pt>
                <c:pt idx="5">
                  <c:v>13005.427269999996</c:v>
                </c:pt>
                <c:pt idx="6">
                  <c:v>54109.021249999976</c:v>
                </c:pt>
                <c:pt idx="7">
                  <c:v>50056.937190000011</c:v>
                </c:pt>
                <c:pt idx="8">
                  <c:v>85419.948399999994</c:v>
                </c:pt>
                <c:pt idx="9">
                  <c:v>9977.0606799999987</c:v>
                </c:pt>
                <c:pt idx="10">
                  <c:v>97071.829100000003</c:v>
                </c:pt>
                <c:pt idx="11">
                  <c:v>78757.948300000004</c:v>
                </c:pt>
              </c:numCache>
            </c:numRef>
          </c:val>
          <c:extLst>
            <c:ext xmlns:c16="http://schemas.microsoft.com/office/drawing/2014/chart" uri="{C3380CC4-5D6E-409C-BE32-E72D297353CC}">
              <c16:uniqueId val="{00000003-61E9-44F0-BF41-80C068ADBEDA}"/>
            </c:ext>
          </c:extLst>
        </c:ser>
        <c:ser>
          <c:idx val="4"/>
          <c:order val="4"/>
          <c:tx>
            <c:strRef>
              <c:f>'Profitper.Region.Channel'!$F$3:$F$4</c:f>
              <c:strCache>
                <c:ptCount val="1"/>
                <c:pt idx="0">
                  <c:v>Retail</c:v>
                </c:pt>
              </c:strCache>
            </c:strRef>
          </c:tx>
          <c:spPr>
            <a:solidFill>
              <a:schemeClr val="accent5"/>
            </a:solidFill>
            <a:ln>
              <a:noFill/>
            </a:ln>
            <a:effectLst/>
          </c:spPr>
          <c:invertIfNegative val="0"/>
          <c:cat>
            <c:strRef>
              <c:f>'Profitper.Region.Channel'!$A$5:$A$17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'Profitper.Region.Channel'!$F$5:$F$17</c:f>
              <c:numCache>
                <c:formatCode>0.00</c:formatCode>
                <c:ptCount val="12"/>
                <c:pt idx="0">
                  <c:v>39137.676939999998</c:v>
                </c:pt>
                <c:pt idx="1">
                  <c:v>7570.6977099999986</c:v>
                </c:pt>
                <c:pt idx="2">
                  <c:v>26927.824130000001</c:v>
                </c:pt>
                <c:pt idx="3">
                  <c:v>53376.508839999995</c:v>
                </c:pt>
                <c:pt idx="4">
                  <c:v>24326.569670000004</c:v>
                </c:pt>
                <c:pt idx="5">
                  <c:v>87519.607639999987</c:v>
                </c:pt>
                <c:pt idx="6">
                  <c:v>38811.128069999999</c:v>
                </c:pt>
                <c:pt idx="7">
                  <c:v>50530.408349999969</c:v>
                </c:pt>
                <c:pt idx="8">
                  <c:v>67499.278460000001</c:v>
                </c:pt>
                <c:pt idx="9">
                  <c:v>38970.370489999994</c:v>
                </c:pt>
                <c:pt idx="10">
                  <c:v>74076.093779999981</c:v>
                </c:pt>
                <c:pt idx="11">
                  <c:v>22327.334569999999</c:v>
                </c:pt>
              </c:numCache>
            </c:numRef>
          </c:val>
          <c:extLst>
            <c:ext xmlns:c16="http://schemas.microsoft.com/office/drawing/2014/chart" uri="{C3380CC4-5D6E-409C-BE32-E72D297353CC}">
              <c16:uniqueId val="{00000004-61E9-44F0-BF41-80C068ADBEDA}"/>
            </c:ext>
          </c:extLst>
        </c:ser>
        <c:dLbls>
          <c:showLegendKey val="0"/>
          <c:showVal val="0"/>
          <c:showCatName val="0"/>
          <c:showSerName val="0"/>
          <c:showPercent val="0"/>
          <c:showBubbleSize val="0"/>
        </c:dLbls>
        <c:gapWidth val="150"/>
        <c:overlap val="100"/>
        <c:axId val="1848522768"/>
        <c:axId val="1848514128"/>
      </c:barChart>
      <c:catAx>
        <c:axId val="184852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514128"/>
        <c:crosses val="autoZero"/>
        <c:auto val="1"/>
        <c:lblAlgn val="ctr"/>
        <c:lblOffset val="100"/>
        <c:noMultiLvlLbl val="0"/>
      </c:catAx>
      <c:valAx>
        <c:axId val="18485141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52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and Operations- Analytics Dashboards.xlsx]Top10SKU.chart!PivotTable15</c:name>
    <c:fmtId val="12"/>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000" b="1"/>
              <a:t>TOP</a:t>
            </a:r>
            <a:r>
              <a:rPr lang="en-US" sz="2000" b="1" baseline="0"/>
              <a:t> 10 SKU BY REVENUE</a:t>
            </a:r>
            <a:endParaRPr lang="en-US" sz="2000" b="1"/>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Top10SKU.chart!$B$3</c:f>
              <c:strCache>
                <c:ptCount val="1"/>
                <c:pt idx="0">
                  <c:v>Total</c:v>
                </c:pt>
              </c:strCache>
            </c:strRef>
          </c:tx>
          <c:spPr>
            <a:solidFill>
              <a:schemeClr val="accent6"/>
            </a:solidFill>
            <a:ln>
              <a:noFill/>
            </a:ln>
            <a:effectLst/>
          </c:spPr>
          <c:invertIfNegative val="0"/>
          <c:cat>
            <c:strRef>
              <c:f>Top10SKU.chart!$A$4:$A$14</c:f>
              <c:strCache>
                <c:ptCount val="10"/>
                <c:pt idx="0">
                  <c:v>CMP-3938</c:v>
                </c:pt>
                <c:pt idx="1">
                  <c:v>CMP-8851</c:v>
                </c:pt>
                <c:pt idx="2">
                  <c:v>LAP-3904</c:v>
                </c:pt>
                <c:pt idx="3">
                  <c:v>LAP-8910</c:v>
                </c:pt>
                <c:pt idx="4">
                  <c:v>MON-2266</c:v>
                </c:pt>
                <c:pt idx="5">
                  <c:v>MON-6699</c:v>
                </c:pt>
                <c:pt idx="6">
                  <c:v>MON-6962</c:v>
                </c:pt>
                <c:pt idx="7">
                  <c:v>NET-2365</c:v>
                </c:pt>
                <c:pt idx="8">
                  <c:v>NET-5523</c:v>
                </c:pt>
                <c:pt idx="9">
                  <c:v>NET-5987</c:v>
                </c:pt>
              </c:strCache>
            </c:strRef>
          </c:cat>
          <c:val>
            <c:numRef>
              <c:f>Top10SKU.chart!$B$4:$B$14</c:f>
              <c:numCache>
                <c:formatCode>0.00</c:formatCode>
                <c:ptCount val="10"/>
                <c:pt idx="0">
                  <c:v>84136.119600000005</c:v>
                </c:pt>
                <c:pt idx="1">
                  <c:v>139277.83032000001</c:v>
                </c:pt>
                <c:pt idx="2">
                  <c:v>82514.711519999997</c:v>
                </c:pt>
                <c:pt idx="3">
                  <c:v>102122.94203999999</c:v>
                </c:pt>
                <c:pt idx="4">
                  <c:v>87404.929919999995</c:v>
                </c:pt>
                <c:pt idx="5">
                  <c:v>85637.740319999997</c:v>
                </c:pt>
                <c:pt idx="6">
                  <c:v>92715.25</c:v>
                </c:pt>
                <c:pt idx="7">
                  <c:v>109244</c:v>
                </c:pt>
                <c:pt idx="8">
                  <c:v>79548.755999999994</c:v>
                </c:pt>
                <c:pt idx="9">
                  <c:v>82141.339799999987</c:v>
                </c:pt>
              </c:numCache>
            </c:numRef>
          </c:val>
          <c:extLst>
            <c:ext xmlns:c16="http://schemas.microsoft.com/office/drawing/2014/chart" uri="{C3380CC4-5D6E-409C-BE32-E72D297353CC}">
              <c16:uniqueId val="{00000000-4C37-4B02-94C7-D1173F5B5CAB}"/>
            </c:ext>
          </c:extLst>
        </c:ser>
        <c:dLbls>
          <c:showLegendKey val="0"/>
          <c:showVal val="0"/>
          <c:showCatName val="0"/>
          <c:showSerName val="0"/>
          <c:showPercent val="0"/>
          <c:showBubbleSize val="0"/>
        </c:dLbls>
        <c:gapWidth val="182"/>
        <c:axId val="2044205440"/>
        <c:axId val="2044217920"/>
      </c:barChart>
      <c:catAx>
        <c:axId val="2044205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217920"/>
        <c:crosses val="autoZero"/>
        <c:auto val="1"/>
        <c:lblAlgn val="ctr"/>
        <c:lblOffset val="100"/>
        <c:noMultiLvlLbl val="0"/>
      </c:catAx>
      <c:valAx>
        <c:axId val="204421792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20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Operations- Analytics Dashboards.xlsx]Revenueperchannel!PivotTable1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PER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Revenueperchannel!$B$3</c:f>
              <c:strCache>
                <c:ptCount val="1"/>
                <c:pt idx="0">
                  <c:v>Sum of Gross Revenue(KES)</c:v>
                </c:pt>
              </c:strCache>
            </c:strRef>
          </c:tx>
          <c:spPr>
            <a:solidFill>
              <a:schemeClr val="accent1"/>
            </a:solidFill>
            <a:ln>
              <a:noFill/>
            </a:ln>
            <a:effectLst/>
          </c:spPr>
          <c:invertIfNegative val="0"/>
          <c:cat>
            <c:strRef>
              <c:f>Revenueperchannel!$A$4:$A$9</c:f>
              <c:strCache>
                <c:ptCount val="5"/>
                <c:pt idx="0">
                  <c:v>Direct</c:v>
                </c:pt>
                <c:pt idx="1">
                  <c:v>Distributor</c:v>
                </c:pt>
                <c:pt idx="2">
                  <c:v>Marketplace</c:v>
                </c:pt>
                <c:pt idx="3">
                  <c:v>Online</c:v>
                </c:pt>
                <c:pt idx="4">
                  <c:v>Retail</c:v>
                </c:pt>
              </c:strCache>
            </c:strRef>
          </c:cat>
          <c:val>
            <c:numRef>
              <c:f>Revenueperchannel!$B$4:$B$9</c:f>
              <c:numCache>
                <c:formatCode>0.00</c:formatCode>
                <c:ptCount val="5"/>
                <c:pt idx="0">
                  <c:v>2700246.8778299997</c:v>
                </c:pt>
                <c:pt idx="1">
                  <c:v>2038525.2710399996</c:v>
                </c:pt>
                <c:pt idx="2">
                  <c:v>2046341.4658799998</c:v>
                </c:pt>
                <c:pt idx="3">
                  <c:v>2131682.1630999995</c:v>
                </c:pt>
                <c:pt idx="4">
                  <c:v>2012049.9386499992</c:v>
                </c:pt>
              </c:numCache>
            </c:numRef>
          </c:val>
          <c:extLst>
            <c:ext xmlns:c16="http://schemas.microsoft.com/office/drawing/2014/chart" uri="{C3380CC4-5D6E-409C-BE32-E72D297353CC}">
              <c16:uniqueId val="{00000000-7576-4AE2-8CE4-D8C487D4CC2D}"/>
            </c:ext>
          </c:extLst>
        </c:ser>
        <c:ser>
          <c:idx val="1"/>
          <c:order val="1"/>
          <c:tx>
            <c:strRef>
              <c:f>Revenueperchannel!$C$3</c:f>
              <c:strCache>
                <c:ptCount val="1"/>
                <c:pt idx="0">
                  <c:v>Sum of Gross Profit(KES)</c:v>
                </c:pt>
              </c:strCache>
            </c:strRef>
          </c:tx>
          <c:spPr>
            <a:solidFill>
              <a:schemeClr val="accent2"/>
            </a:solidFill>
            <a:ln>
              <a:noFill/>
            </a:ln>
            <a:effectLst/>
          </c:spPr>
          <c:invertIfNegative val="0"/>
          <c:cat>
            <c:strRef>
              <c:f>Revenueperchannel!$A$4:$A$9</c:f>
              <c:strCache>
                <c:ptCount val="5"/>
                <c:pt idx="0">
                  <c:v>Direct</c:v>
                </c:pt>
                <c:pt idx="1">
                  <c:v>Distributor</c:v>
                </c:pt>
                <c:pt idx="2">
                  <c:v>Marketplace</c:v>
                </c:pt>
                <c:pt idx="3">
                  <c:v>Online</c:v>
                </c:pt>
                <c:pt idx="4">
                  <c:v>Retail</c:v>
                </c:pt>
              </c:strCache>
            </c:strRef>
          </c:cat>
          <c:val>
            <c:numRef>
              <c:f>Revenueperchannel!$C$4:$C$9</c:f>
              <c:numCache>
                <c:formatCode>0.00</c:formatCode>
                <c:ptCount val="5"/>
                <c:pt idx="0">
                  <c:v>958937.54782999982</c:v>
                </c:pt>
                <c:pt idx="1">
                  <c:v>632067.3410400002</c:v>
                </c:pt>
                <c:pt idx="2">
                  <c:v>521734.3158800003</c:v>
                </c:pt>
                <c:pt idx="3">
                  <c:v>757285.30310000048</c:v>
                </c:pt>
                <c:pt idx="4">
                  <c:v>531073.49864999996</c:v>
                </c:pt>
              </c:numCache>
            </c:numRef>
          </c:val>
          <c:extLst>
            <c:ext xmlns:c16="http://schemas.microsoft.com/office/drawing/2014/chart" uri="{C3380CC4-5D6E-409C-BE32-E72D297353CC}">
              <c16:uniqueId val="{00000001-7576-4AE2-8CE4-D8C487D4CC2D}"/>
            </c:ext>
          </c:extLst>
        </c:ser>
        <c:dLbls>
          <c:showLegendKey val="0"/>
          <c:showVal val="0"/>
          <c:showCatName val="0"/>
          <c:showSerName val="0"/>
          <c:showPercent val="0"/>
          <c:showBubbleSize val="0"/>
        </c:dLbls>
        <c:gapWidth val="219"/>
        <c:overlap val="-27"/>
        <c:axId val="2030763343"/>
        <c:axId val="2030763823"/>
      </c:barChart>
      <c:catAx>
        <c:axId val="203076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763823"/>
        <c:crosses val="autoZero"/>
        <c:auto val="1"/>
        <c:lblAlgn val="ctr"/>
        <c:lblOffset val="100"/>
        <c:noMultiLvlLbl val="0"/>
      </c:catAx>
      <c:valAx>
        <c:axId val="2030763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76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and Operations- Analytics Dashboards.xlsx]Top10SKU.chart!PivotTable15</c:name>
    <c:fmtId val="2"/>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TOP</a:t>
            </a:r>
            <a:r>
              <a:rPr lang="en-US" sz="2400" b="1" baseline="0"/>
              <a:t> 10 SKU BY REVENUE</a:t>
            </a:r>
            <a:endParaRPr lang="en-US" sz="2400" b="1"/>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Top10SKU.chart!$B$3</c:f>
              <c:strCache>
                <c:ptCount val="1"/>
                <c:pt idx="0">
                  <c:v>Total</c:v>
                </c:pt>
              </c:strCache>
            </c:strRef>
          </c:tx>
          <c:spPr>
            <a:solidFill>
              <a:schemeClr val="accent6"/>
            </a:solidFill>
            <a:ln>
              <a:noFill/>
            </a:ln>
            <a:effectLst/>
          </c:spPr>
          <c:invertIfNegative val="0"/>
          <c:cat>
            <c:strRef>
              <c:f>Top10SKU.chart!$A$4:$A$14</c:f>
              <c:strCache>
                <c:ptCount val="10"/>
                <c:pt idx="0">
                  <c:v>CMP-3938</c:v>
                </c:pt>
                <c:pt idx="1">
                  <c:v>CMP-8851</c:v>
                </c:pt>
                <c:pt idx="2">
                  <c:v>LAP-3904</c:v>
                </c:pt>
                <c:pt idx="3">
                  <c:v>LAP-8910</c:v>
                </c:pt>
                <c:pt idx="4">
                  <c:v>MON-2266</c:v>
                </c:pt>
                <c:pt idx="5">
                  <c:v>MON-6699</c:v>
                </c:pt>
                <c:pt idx="6">
                  <c:v>MON-6962</c:v>
                </c:pt>
                <c:pt idx="7">
                  <c:v>NET-2365</c:v>
                </c:pt>
                <c:pt idx="8">
                  <c:v>NET-5523</c:v>
                </c:pt>
                <c:pt idx="9">
                  <c:v>NET-5987</c:v>
                </c:pt>
              </c:strCache>
            </c:strRef>
          </c:cat>
          <c:val>
            <c:numRef>
              <c:f>Top10SKU.chart!$B$4:$B$14</c:f>
              <c:numCache>
                <c:formatCode>0.00</c:formatCode>
                <c:ptCount val="10"/>
                <c:pt idx="0">
                  <c:v>84136.119600000005</c:v>
                </c:pt>
                <c:pt idx="1">
                  <c:v>139277.83032000001</c:v>
                </c:pt>
                <c:pt idx="2">
                  <c:v>82514.711519999997</c:v>
                </c:pt>
                <c:pt idx="3">
                  <c:v>102122.94203999999</c:v>
                </c:pt>
                <c:pt idx="4">
                  <c:v>87404.929919999995</c:v>
                </c:pt>
                <c:pt idx="5">
                  <c:v>85637.740319999997</c:v>
                </c:pt>
                <c:pt idx="6">
                  <c:v>92715.25</c:v>
                </c:pt>
                <c:pt idx="7">
                  <c:v>109244</c:v>
                </c:pt>
                <c:pt idx="8">
                  <c:v>79548.755999999994</c:v>
                </c:pt>
                <c:pt idx="9">
                  <c:v>82141.339799999987</c:v>
                </c:pt>
              </c:numCache>
            </c:numRef>
          </c:val>
          <c:extLst>
            <c:ext xmlns:c16="http://schemas.microsoft.com/office/drawing/2014/chart" uri="{C3380CC4-5D6E-409C-BE32-E72D297353CC}">
              <c16:uniqueId val="{00000000-1C20-4F5F-8705-8E7F34D9BE77}"/>
            </c:ext>
          </c:extLst>
        </c:ser>
        <c:dLbls>
          <c:showLegendKey val="0"/>
          <c:showVal val="0"/>
          <c:showCatName val="0"/>
          <c:showSerName val="0"/>
          <c:showPercent val="0"/>
          <c:showBubbleSize val="0"/>
        </c:dLbls>
        <c:gapWidth val="182"/>
        <c:axId val="2044205440"/>
        <c:axId val="2044217920"/>
      </c:barChart>
      <c:catAx>
        <c:axId val="2044205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217920"/>
        <c:crosses val="autoZero"/>
        <c:auto val="1"/>
        <c:lblAlgn val="ctr"/>
        <c:lblOffset val="100"/>
        <c:noMultiLvlLbl val="0"/>
      </c:catAx>
      <c:valAx>
        <c:axId val="204421792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20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Operations- Analytics Dashboards.xlsx]Revenueperchannel!PivotTable1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PER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Revenueperchannel!$B$3</c:f>
              <c:strCache>
                <c:ptCount val="1"/>
                <c:pt idx="0">
                  <c:v>Sum of Gross Revenue(KES)</c:v>
                </c:pt>
              </c:strCache>
            </c:strRef>
          </c:tx>
          <c:spPr>
            <a:solidFill>
              <a:schemeClr val="accent1"/>
            </a:solidFill>
            <a:ln>
              <a:noFill/>
            </a:ln>
            <a:effectLst/>
          </c:spPr>
          <c:invertIfNegative val="0"/>
          <c:cat>
            <c:strRef>
              <c:f>Revenueperchannel!$A$4:$A$9</c:f>
              <c:strCache>
                <c:ptCount val="5"/>
                <c:pt idx="0">
                  <c:v>Direct</c:v>
                </c:pt>
                <c:pt idx="1">
                  <c:v>Distributor</c:v>
                </c:pt>
                <c:pt idx="2">
                  <c:v>Marketplace</c:v>
                </c:pt>
                <c:pt idx="3">
                  <c:v>Online</c:v>
                </c:pt>
                <c:pt idx="4">
                  <c:v>Retail</c:v>
                </c:pt>
              </c:strCache>
            </c:strRef>
          </c:cat>
          <c:val>
            <c:numRef>
              <c:f>Revenueperchannel!$B$4:$B$9</c:f>
              <c:numCache>
                <c:formatCode>0.00</c:formatCode>
                <c:ptCount val="5"/>
                <c:pt idx="0">
                  <c:v>2700246.8778299997</c:v>
                </c:pt>
                <c:pt idx="1">
                  <c:v>2038525.2710399996</c:v>
                </c:pt>
                <c:pt idx="2">
                  <c:v>2046341.4658799998</c:v>
                </c:pt>
                <c:pt idx="3">
                  <c:v>2131682.1630999995</c:v>
                </c:pt>
                <c:pt idx="4">
                  <c:v>2012049.9386499992</c:v>
                </c:pt>
              </c:numCache>
            </c:numRef>
          </c:val>
          <c:extLst>
            <c:ext xmlns:c16="http://schemas.microsoft.com/office/drawing/2014/chart" uri="{C3380CC4-5D6E-409C-BE32-E72D297353CC}">
              <c16:uniqueId val="{00000000-9F5D-47E5-ACB3-071363935AC6}"/>
            </c:ext>
          </c:extLst>
        </c:ser>
        <c:ser>
          <c:idx val="1"/>
          <c:order val="1"/>
          <c:tx>
            <c:strRef>
              <c:f>Revenueperchannel!$C$3</c:f>
              <c:strCache>
                <c:ptCount val="1"/>
                <c:pt idx="0">
                  <c:v>Sum of Gross Profit(KES)</c:v>
                </c:pt>
              </c:strCache>
            </c:strRef>
          </c:tx>
          <c:spPr>
            <a:solidFill>
              <a:schemeClr val="accent2"/>
            </a:solidFill>
            <a:ln>
              <a:noFill/>
            </a:ln>
            <a:effectLst/>
          </c:spPr>
          <c:invertIfNegative val="0"/>
          <c:cat>
            <c:strRef>
              <c:f>Revenueperchannel!$A$4:$A$9</c:f>
              <c:strCache>
                <c:ptCount val="5"/>
                <c:pt idx="0">
                  <c:v>Direct</c:v>
                </c:pt>
                <c:pt idx="1">
                  <c:v>Distributor</c:v>
                </c:pt>
                <c:pt idx="2">
                  <c:v>Marketplace</c:v>
                </c:pt>
                <c:pt idx="3">
                  <c:v>Online</c:v>
                </c:pt>
                <c:pt idx="4">
                  <c:v>Retail</c:v>
                </c:pt>
              </c:strCache>
            </c:strRef>
          </c:cat>
          <c:val>
            <c:numRef>
              <c:f>Revenueperchannel!$C$4:$C$9</c:f>
              <c:numCache>
                <c:formatCode>0.00</c:formatCode>
                <c:ptCount val="5"/>
                <c:pt idx="0">
                  <c:v>958937.54782999982</c:v>
                </c:pt>
                <c:pt idx="1">
                  <c:v>632067.3410400002</c:v>
                </c:pt>
                <c:pt idx="2">
                  <c:v>521734.3158800003</c:v>
                </c:pt>
                <c:pt idx="3">
                  <c:v>757285.30310000048</c:v>
                </c:pt>
                <c:pt idx="4">
                  <c:v>531073.49864999996</c:v>
                </c:pt>
              </c:numCache>
            </c:numRef>
          </c:val>
          <c:extLst>
            <c:ext xmlns:c16="http://schemas.microsoft.com/office/drawing/2014/chart" uri="{C3380CC4-5D6E-409C-BE32-E72D297353CC}">
              <c16:uniqueId val="{00000001-9F5D-47E5-ACB3-071363935AC6}"/>
            </c:ext>
          </c:extLst>
        </c:ser>
        <c:dLbls>
          <c:showLegendKey val="0"/>
          <c:showVal val="0"/>
          <c:showCatName val="0"/>
          <c:showSerName val="0"/>
          <c:showPercent val="0"/>
          <c:showBubbleSize val="0"/>
        </c:dLbls>
        <c:gapWidth val="219"/>
        <c:overlap val="-27"/>
        <c:axId val="2030763343"/>
        <c:axId val="2030763823"/>
      </c:barChart>
      <c:catAx>
        <c:axId val="203076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763823"/>
        <c:crosses val="autoZero"/>
        <c:auto val="1"/>
        <c:lblAlgn val="ctr"/>
        <c:lblOffset val="100"/>
        <c:noMultiLvlLbl val="0"/>
      </c:catAx>
      <c:valAx>
        <c:axId val="2030763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76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Operations- Analytics Dashboards.xlsx]Profitper.Region.Channel!PivotTable9</c:name>
    <c:fmtId val="1"/>
  </c:pivotSource>
  <c:chart>
    <c:title>
      <c:tx>
        <c:rich>
          <a:bodyPr rot="0" spcFirstLastPara="1" vertOverflow="ellipsis" vert="horz" wrap="square" anchor="ctr" anchorCtr="1"/>
          <a:lstStyle/>
          <a:p>
            <a:pPr>
              <a:defRPr sz="2000" b="1" i="0" u="sng" strike="noStrike" kern="1200" spc="0" baseline="0">
                <a:solidFill>
                  <a:schemeClr val="tx1">
                    <a:lumMod val="65000"/>
                    <a:lumOff val="35000"/>
                  </a:schemeClr>
                </a:solidFill>
                <a:latin typeface="+mn-lt"/>
                <a:ea typeface="+mn-ea"/>
                <a:cs typeface="+mn-cs"/>
              </a:defRPr>
            </a:pPr>
            <a:r>
              <a:rPr lang="en-US" sz="2000" b="1" u="sng"/>
              <a:t>REVENUE</a:t>
            </a:r>
            <a:r>
              <a:rPr lang="en-US" sz="2000" b="1" u="sng" baseline="0"/>
              <a:t> PER REGION &amp; CHANNEL </a:t>
            </a:r>
            <a:endParaRPr lang="en-US" sz="2000" b="1" u="sng"/>
          </a:p>
        </c:rich>
      </c:tx>
      <c:overlay val="0"/>
      <c:spPr>
        <a:noFill/>
        <a:ln>
          <a:noFill/>
        </a:ln>
        <a:effectLst/>
      </c:spPr>
      <c:txPr>
        <a:bodyPr rot="0" spcFirstLastPara="1" vertOverflow="ellipsis" vert="horz" wrap="square" anchor="ctr" anchorCtr="1"/>
        <a:lstStyle/>
        <a:p>
          <a:pPr>
            <a:defRPr sz="20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'Profitper.Region.Channel'!$B$3:$B$4</c:f>
              <c:strCache>
                <c:ptCount val="1"/>
                <c:pt idx="0">
                  <c:v>Direct</c:v>
                </c:pt>
              </c:strCache>
            </c:strRef>
          </c:tx>
          <c:spPr>
            <a:solidFill>
              <a:schemeClr val="accent1"/>
            </a:solidFill>
            <a:ln>
              <a:noFill/>
            </a:ln>
            <a:effectLst/>
          </c:spPr>
          <c:invertIfNegative val="0"/>
          <c:cat>
            <c:strRef>
              <c:f>'Profitper.Region.Channel'!$A$5:$A$17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'Profitper.Region.Channel'!$B$5:$B$17</c:f>
              <c:numCache>
                <c:formatCode>0.00</c:formatCode>
                <c:ptCount val="12"/>
                <c:pt idx="0">
                  <c:v>126313.67767</c:v>
                </c:pt>
                <c:pt idx="1">
                  <c:v>87068.557259999987</c:v>
                </c:pt>
                <c:pt idx="2">
                  <c:v>93092.110359999991</c:v>
                </c:pt>
                <c:pt idx="3">
                  <c:v>84038.081150000013</c:v>
                </c:pt>
                <c:pt idx="4">
                  <c:v>144284.61886999998</c:v>
                </c:pt>
                <c:pt idx="5">
                  <c:v>82325.917019999993</c:v>
                </c:pt>
                <c:pt idx="6">
                  <c:v>53799.451199999981</c:v>
                </c:pt>
                <c:pt idx="7">
                  <c:v>113946.29336999996</c:v>
                </c:pt>
                <c:pt idx="8">
                  <c:v>22534.407599999999</c:v>
                </c:pt>
                <c:pt idx="9">
                  <c:v>41847.490330000001</c:v>
                </c:pt>
                <c:pt idx="10">
                  <c:v>64394.252020000014</c:v>
                </c:pt>
                <c:pt idx="11">
                  <c:v>45292.690979999992</c:v>
                </c:pt>
              </c:numCache>
            </c:numRef>
          </c:val>
          <c:extLst>
            <c:ext xmlns:c16="http://schemas.microsoft.com/office/drawing/2014/chart" uri="{C3380CC4-5D6E-409C-BE32-E72D297353CC}">
              <c16:uniqueId val="{00000000-4462-43D5-B52E-837535105C6F}"/>
            </c:ext>
          </c:extLst>
        </c:ser>
        <c:ser>
          <c:idx val="1"/>
          <c:order val="1"/>
          <c:tx>
            <c:strRef>
              <c:f>'Profitper.Region.Channel'!$C$3:$C$4</c:f>
              <c:strCache>
                <c:ptCount val="1"/>
                <c:pt idx="0">
                  <c:v>Distributor</c:v>
                </c:pt>
              </c:strCache>
            </c:strRef>
          </c:tx>
          <c:spPr>
            <a:solidFill>
              <a:schemeClr val="accent2"/>
            </a:solidFill>
            <a:ln>
              <a:noFill/>
            </a:ln>
            <a:effectLst/>
          </c:spPr>
          <c:invertIfNegative val="0"/>
          <c:cat>
            <c:strRef>
              <c:f>'Profitper.Region.Channel'!$A$5:$A$17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'Profitper.Region.Channel'!$C$5:$C$17</c:f>
              <c:numCache>
                <c:formatCode>0.00</c:formatCode>
                <c:ptCount val="12"/>
                <c:pt idx="0">
                  <c:v>86999.591519999987</c:v>
                </c:pt>
                <c:pt idx="1">
                  <c:v>46415.50688999999</c:v>
                </c:pt>
                <c:pt idx="2">
                  <c:v>28395.208880000006</c:v>
                </c:pt>
                <c:pt idx="3">
                  <c:v>16707.597269999998</c:v>
                </c:pt>
                <c:pt idx="4">
                  <c:v>42975.15249</c:v>
                </c:pt>
                <c:pt idx="5">
                  <c:v>53215.882750000004</c:v>
                </c:pt>
                <c:pt idx="6">
                  <c:v>69535.65436</c:v>
                </c:pt>
                <c:pt idx="7">
                  <c:v>58662.089660000005</c:v>
                </c:pt>
                <c:pt idx="8">
                  <c:v>39872.953740000012</c:v>
                </c:pt>
                <c:pt idx="9">
                  <c:v>93507.308669999999</c:v>
                </c:pt>
                <c:pt idx="10">
                  <c:v>53896.808899999989</c:v>
                </c:pt>
                <c:pt idx="11">
                  <c:v>41883.585910000002</c:v>
                </c:pt>
              </c:numCache>
            </c:numRef>
          </c:val>
          <c:extLst>
            <c:ext xmlns:c16="http://schemas.microsoft.com/office/drawing/2014/chart" uri="{C3380CC4-5D6E-409C-BE32-E72D297353CC}">
              <c16:uniqueId val="{00000001-4462-43D5-B52E-837535105C6F}"/>
            </c:ext>
          </c:extLst>
        </c:ser>
        <c:ser>
          <c:idx val="2"/>
          <c:order val="2"/>
          <c:tx>
            <c:strRef>
              <c:f>'Profitper.Region.Channel'!$D$3:$D$4</c:f>
              <c:strCache>
                <c:ptCount val="1"/>
                <c:pt idx="0">
                  <c:v>Marketplace</c:v>
                </c:pt>
              </c:strCache>
            </c:strRef>
          </c:tx>
          <c:spPr>
            <a:solidFill>
              <a:schemeClr val="accent3"/>
            </a:solidFill>
            <a:ln>
              <a:noFill/>
            </a:ln>
            <a:effectLst/>
          </c:spPr>
          <c:invertIfNegative val="0"/>
          <c:cat>
            <c:strRef>
              <c:f>'Profitper.Region.Channel'!$A$5:$A$17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'Profitper.Region.Channel'!$D$5:$D$17</c:f>
              <c:numCache>
                <c:formatCode>0.00</c:formatCode>
                <c:ptCount val="12"/>
                <c:pt idx="0">
                  <c:v>31381.503219999995</c:v>
                </c:pt>
                <c:pt idx="1">
                  <c:v>31800.796480000008</c:v>
                </c:pt>
                <c:pt idx="2">
                  <c:v>58581.623630000009</c:v>
                </c:pt>
                <c:pt idx="3">
                  <c:v>-15977.402219999985</c:v>
                </c:pt>
                <c:pt idx="4">
                  <c:v>51326.275370000018</c:v>
                </c:pt>
                <c:pt idx="5">
                  <c:v>51462.982099999987</c:v>
                </c:pt>
                <c:pt idx="6">
                  <c:v>38547.947820000009</c:v>
                </c:pt>
                <c:pt idx="7">
                  <c:v>2699.9740400000014</c:v>
                </c:pt>
                <c:pt idx="8">
                  <c:v>66637.258709999995</c:v>
                </c:pt>
                <c:pt idx="9">
                  <c:v>95502.071810000009</c:v>
                </c:pt>
                <c:pt idx="10">
                  <c:v>76343.937099999981</c:v>
                </c:pt>
                <c:pt idx="11">
                  <c:v>33427.347820000003</c:v>
                </c:pt>
              </c:numCache>
            </c:numRef>
          </c:val>
          <c:extLst>
            <c:ext xmlns:c16="http://schemas.microsoft.com/office/drawing/2014/chart" uri="{C3380CC4-5D6E-409C-BE32-E72D297353CC}">
              <c16:uniqueId val="{00000002-4462-43D5-B52E-837535105C6F}"/>
            </c:ext>
          </c:extLst>
        </c:ser>
        <c:ser>
          <c:idx val="3"/>
          <c:order val="3"/>
          <c:tx>
            <c:strRef>
              <c:f>'Profitper.Region.Channel'!$E$3:$E$4</c:f>
              <c:strCache>
                <c:ptCount val="1"/>
                <c:pt idx="0">
                  <c:v>Online</c:v>
                </c:pt>
              </c:strCache>
            </c:strRef>
          </c:tx>
          <c:spPr>
            <a:solidFill>
              <a:schemeClr val="accent4"/>
            </a:solidFill>
            <a:ln>
              <a:noFill/>
            </a:ln>
            <a:effectLst/>
          </c:spPr>
          <c:invertIfNegative val="0"/>
          <c:cat>
            <c:strRef>
              <c:f>'Profitper.Region.Channel'!$A$5:$A$17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'Profitper.Region.Channel'!$E$5:$E$17</c:f>
              <c:numCache>
                <c:formatCode>0.00</c:formatCode>
                <c:ptCount val="12"/>
                <c:pt idx="0">
                  <c:v>66999.955869999976</c:v>
                </c:pt>
                <c:pt idx="1">
                  <c:v>116963.90019999999</c:v>
                </c:pt>
                <c:pt idx="2">
                  <c:v>81927.941170000006</c:v>
                </c:pt>
                <c:pt idx="3">
                  <c:v>34792.921850000013</c:v>
                </c:pt>
                <c:pt idx="4">
                  <c:v>68202.411819999994</c:v>
                </c:pt>
                <c:pt idx="5">
                  <c:v>13005.427269999996</c:v>
                </c:pt>
                <c:pt idx="6">
                  <c:v>54109.021249999976</c:v>
                </c:pt>
                <c:pt idx="7">
                  <c:v>50056.937190000011</c:v>
                </c:pt>
                <c:pt idx="8">
                  <c:v>85419.948399999994</c:v>
                </c:pt>
                <c:pt idx="9">
                  <c:v>9977.0606799999987</c:v>
                </c:pt>
                <c:pt idx="10">
                  <c:v>97071.829100000003</c:v>
                </c:pt>
                <c:pt idx="11">
                  <c:v>78757.948300000004</c:v>
                </c:pt>
              </c:numCache>
            </c:numRef>
          </c:val>
          <c:extLst>
            <c:ext xmlns:c16="http://schemas.microsoft.com/office/drawing/2014/chart" uri="{C3380CC4-5D6E-409C-BE32-E72D297353CC}">
              <c16:uniqueId val="{00000003-4462-43D5-B52E-837535105C6F}"/>
            </c:ext>
          </c:extLst>
        </c:ser>
        <c:ser>
          <c:idx val="4"/>
          <c:order val="4"/>
          <c:tx>
            <c:strRef>
              <c:f>'Profitper.Region.Channel'!$F$3:$F$4</c:f>
              <c:strCache>
                <c:ptCount val="1"/>
                <c:pt idx="0">
                  <c:v>Retail</c:v>
                </c:pt>
              </c:strCache>
            </c:strRef>
          </c:tx>
          <c:spPr>
            <a:solidFill>
              <a:schemeClr val="accent5"/>
            </a:solidFill>
            <a:ln>
              <a:noFill/>
            </a:ln>
            <a:effectLst/>
          </c:spPr>
          <c:invertIfNegative val="0"/>
          <c:cat>
            <c:strRef>
              <c:f>'Profitper.Region.Channel'!$A$5:$A$17</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'Profitper.Region.Channel'!$F$5:$F$17</c:f>
              <c:numCache>
                <c:formatCode>0.00</c:formatCode>
                <c:ptCount val="12"/>
                <c:pt idx="0">
                  <c:v>39137.676939999998</c:v>
                </c:pt>
                <c:pt idx="1">
                  <c:v>7570.6977099999986</c:v>
                </c:pt>
                <c:pt idx="2">
                  <c:v>26927.824130000001</c:v>
                </c:pt>
                <c:pt idx="3">
                  <c:v>53376.508839999995</c:v>
                </c:pt>
                <c:pt idx="4">
                  <c:v>24326.569670000004</c:v>
                </c:pt>
                <c:pt idx="5">
                  <c:v>87519.607639999987</c:v>
                </c:pt>
                <c:pt idx="6">
                  <c:v>38811.128069999999</c:v>
                </c:pt>
                <c:pt idx="7">
                  <c:v>50530.408349999969</c:v>
                </c:pt>
                <c:pt idx="8">
                  <c:v>67499.278460000001</c:v>
                </c:pt>
                <c:pt idx="9">
                  <c:v>38970.370489999994</c:v>
                </c:pt>
                <c:pt idx="10">
                  <c:v>74076.093779999981</c:v>
                </c:pt>
                <c:pt idx="11">
                  <c:v>22327.334569999999</c:v>
                </c:pt>
              </c:numCache>
            </c:numRef>
          </c:val>
          <c:extLst>
            <c:ext xmlns:c16="http://schemas.microsoft.com/office/drawing/2014/chart" uri="{C3380CC4-5D6E-409C-BE32-E72D297353CC}">
              <c16:uniqueId val="{00000004-4462-43D5-B52E-837535105C6F}"/>
            </c:ext>
          </c:extLst>
        </c:ser>
        <c:dLbls>
          <c:showLegendKey val="0"/>
          <c:showVal val="0"/>
          <c:showCatName val="0"/>
          <c:showSerName val="0"/>
          <c:showPercent val="0"/>
          <c:showBubbleSize val="0"/>
        </c:dLbls>
        <c:gapWidth val="150"/>
        <c:overlap val="100"/>
        <c:axId val="1848522768"/>
        <c:axId val="1848514128"/>
      </c:barChart>
      <c:catAx>
        <c:axId val="184852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514128"/>
        <c:crosses val="autoZero"/>
        <c:auto val="1"/>
        <c:lblAlgn val="ctr"/>
        <c:lblOffset val="100"/>
        <c:noMultiLvlLbl val="0"/>
      </c:catAx>
      <c:valAx>
        <c:axId val="18485141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52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Operations- Analytics Dashboards.xlsx]Sales productivityperson!PivotTable4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TEAM PERFORMANCE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productivityperson'!$B$3</c:f>
              <c:strCache>
                <c:ptCount val="1"/>
                <c:pt idx="0">
                  <c:v>Total</c:v>
                </c:pt>
              </c:strCache>
            </c:strRef>
          </c:tx>
          <c:spPr>
            <a:solidFill>
              <a:schemeClr val="accent1"/>
            </a:solidFill>
            <a:ln>
              <a:noFill/>
            </a:ln>
            <a:effectLst/>
          </c:spPr>
          <c:invertIfNegative val="0"/>
          <c:cat>
            <c:strRef>
              <c:f>'Sales productivityperson'!$A$4:$A$21</c:f>
              <c:strCache>
                <c:ptCount val="17"/>
                <c:pt idx="0">
                  <c:v>A. Patel</c:v>
                </c:pt>
                <c:pt idx="1">
                  <c:v>B. Chen</c:v>
                </c:pt>
                <c:pt idx="2">
                  <c:v>C. Otieno</c:v>
                </c:pt>
                <c:pt idx="3">
                  <c:v>D. Smith</c:v>
                </c:pt>
                <c:pt idx="4">
                  <c:v>E. Garcia</c:v>
                </c:pt>
                <c:pt idx="5">
                  <c:v>F. Müller</c:v>
                </c:pt>
                <c:pt idx="6">
                  <c:v>G. Dubois</c:v>
                </c:pt>
                <c:pt idx="7">
                  <c:v>H. Kim</c:v>
                </c:pt>
                <c:pt idx="8">
                  <c:v>H.Kim</c:v>
                </c:pt>
                <c:pt idx="9">
                  <c:v>I. Johnson</c:v>
                </c:pt>
                <c:pt idx="10">
                  <c:v>J. Njeri</c:v>
                </c:pt>
                <c:pt idx="11">
                  <c:v>K. Singh</c:v>
                </c:pt>
                <c:pt idx="12">
                  <c:v>L. Okafor</c:v>
                </c:pt>
                <c:pt idx="13">
                  <c:v>M. Rossi</c:v>
                </c:pt>
                <c:pt idx="14">
                  <c:v>N. Brown</c:v>
                </c:pt>
                <c:pt idx="15">
                  <c:v>O. Wang</c:v>
                </c:pt>
                <c:pt idx="16">
                  <c:v>(blank)</c:v>
                </c:pt>
              </c:strCache>
            </c:strRef>
          </c:cat>
          <c:val>
            <c:numRef>
              <c:f>'Sales productivityperson'!$B$4:$B$21</c:f>
              <c:numCache>
                <c:formatCode>General</c:formatCode>
                <c:ptCount val="17"/>
                <c:pt idx="0">
                  <c:v>278058.39412999991</c:v>
                </c:pt>
                <c:pt idx="1">
                  <c:v>315969.97084999998</c:v>
                </c:pt>
                <c:pt idx="2">
                  <c:v>228052.27752</c:v>
                </c:pt>
                <c:pt idx="3">
                  <c:v>152346.89571000001</c:v>
                </c:pt>
                <c:pt idx="4">
                  <c:v>204981.34052999999</c:v>
                </c:pt>
                <c:pt idx="5">
                  <c:v>298697.35435999988</c:v>
                </c:pt>
                <c:pt idx="6">
                  <c:v>172441.87305000005</c:v>
                </c:pt>
                <c:pt idx="7">
                  <c:v>137020.80853000001</c:v>
                </c:pt>
                <c:pt idx="8">
                  <c:v>21088.284389999997</c:v>
                </c:pt>
                <c:pt idx="9">
                  <c:v>140021.69181999998</c:v>
                </c:pt>
                <c:pt idx="10">
                  <c:v>281839.00624000013</c:v>
                </c:pt>
                <c:pt idx="11">
                  <c:v>278762.26935999998</c:v>
                </c:pt>
                <c:pt idx="12">
                  <c:v>293294.88892999996</c:v>
                </c:pt>
                <c:pt idx="13">
                  <c:v>302657.05754999997</c:v>
                </c:pt>
                <c:pt idx="14">
                  <c:v>110646.45658999999</c:v>
                </c:pt>
                <c:pt idx="15">
                  <c:v>185219.43694000007</c:v>
                </c:pt>
              </c:numCache>
            </c:numRef>
          </c:val>
          <c:extLst>
            <c:ext xmlns:c16="http://schemas.microsoft.com/office/drawing/2014/chart" uri="{C3380CC4-5D6E-409C-BE32-E72D297353CC}">
              <c16:uniqueId val="{00000000-C9A4-4B42-BD74-2F34CF2FAB23}"/>
            </c:ext>
          </c:extLst>
        </c:ser>
        <c:dLbls>
          <c:showLegendKey val="0"/>
          <c:showVal val="0"/>
          <c:showCatName val="0"/>
          <c:showSerName val="0"/>
          <c:showPercent val="0"/>
          <c:showBubbleSize val="0"/>
        </c:dLbls>
        <c:gapWidth val="219"/>
        <c:overlap val="-27"/>
        <c:axId val="2116128320"/>
        <c:axId val="2116112000"/>
      </c:barChart>
      <c:catAx>
        <c:axId val="211612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112000"/>
        <c:crosses val="autoZero"/>
        <c:auto val="1"/>
        <c:lblAlgn val="ctr"/>
        <c:lblOffset val="100"/>
        <c:noMultiLvlLbl val="0"/>
      </c:catAx>
      <c:valAx>
        <c:axId val="211611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12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and Operations- Analytics Dashboards.xlsx]Revenuepermonth.!PivotTable8</c:name>
    <c:fmtId val="0"/>
  </c:pivotSource>
  <c:chart>
    <c:title>
      <c:tx>
        <c:rich>
          <a:bodyPr rot="0" spcFirstLastPara="1" vertOverflow="ellipsis" vert="horz" wrap="square" anchor="ctr" anchorCtr="1"/>
          <a:lstStyle/>
          <a:p>
            <a:pPr>
              <a:defRPr sz="1800" b="0" i="0" u="sng" strike="noStrike" kern="1200" spc="0" baseline="0">
                <a:solidFill>
                  <a:schemeClr val="tx1">
                    <a:lumMod val="65000"/>
                    <a:lumOff val="35000"/>
                  </a:schemeClr>
                </a:solidFill>
                <a:latin typeface="+mn-lt"/>
                <a:ea typeface="+mn-ea"/>
                <a:cs typeface="+mn-cs"/>
              </a:defRPr>
            </a:pPr>
            <a:r>
              <a:rPr lang="en-US" sz="1800" u="sng"/>
              <a:t>REVENUE PER MONTH.</a:t>
            </a:r>
          </a:p>
        </c:rich>
      </c:tx>
      <c:overlay val="0"/>
      <c:spPr>
        <a:noFill/>
        <a:ln>
          <a:noFill/>
        </a:ln>
        <a:effectLst/>
      </c:spPr>
      <c:txPr>
        <a:bodyPr rot="0" spcFirstLastPara="1" vertOverflow="ellipsis" vert="horz" wrap="square" anchor="ctr" anchorCtr="1"/>
        <a:lstStyle/>
        <a:p>
          <a:pPr>
            <a:defRPr sz="18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'Revenuepermonth.'!$B$3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'Revenuepermonth.'!$A$4:$A$16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'Revenuepermonth.'!$B$4:$B$16</c:f>
              <c:numCache>
                <c:formatCode>General</c:formatCode>
                <c:ptCount val="12"/>
                <c:pt idx="0">
                  <c:v>67681.434080000006</c:v>
                </c:pt>
                <c:pt idx="1">
                  <c:v>89950.743950000004</c:v>
                </c:pt>
                <c:pt idx="2">
                  <c:v>68565.901729999998</c:v>
                </c:pt>
                <c:pt idx="3">
                  <c:v>37576.075599999996</c:v>
                </c:pt>
                <c:pt idx="4">
                  <c:v>58782.592839999998</c:v>
                </c:pt>
                <c:pt idx="5">
                  <c:v>131498.48269999999</c:v>
                </c:pt>
                <c:pt idx="6">
                  <c:v>71477.458799999993</c:v>
                </c:pt>
                <c:pt idx="7">
                  <c:v>97781.085999999981</c:v>
                </c:pt>
                <c:pt idx="8">
                  <c:v>35378.650520000003</c:v>
                </c:pt>
                <c:pt idx="9">
                  <c:v>131228.31789000001</c:v>
                </c:pt>
                <c:pt idx="10">
                  <c:v>4071.8</c:v>
                </c:pt>
                <c:pt idx="11">
                  <c:v>100797.83405999999</c:v>
                </c:pt>
              </c:numCache>
            </c:numRef>
          </c:val>
          <c:smooth val="0"/>
          <c:extLst>
            <c:ext xmlns:c16="http://schemas.microsoft.com/office/drawing/2014/chart" uri="{C3380CC4-5D6E-409C-BE32-E72D297353CC}">
              <c16:uniqueId val="{00000000-C595-46EF-B5BA-405C6CA18F6F}"/>
            </c:ext>
          </c:extLst>
        </c:ser>
        <c:dLbls>
          <c:showLegendKey val="0"/>
          <c:showVal val="0"/>
          <c:showCatName val="0"/>
          <c:showSerName val="0"/>
          <c:showPercent val="0"/>
          <c:showBubbleSize val="0"/>
        </c:dLbls>
        <c:marker val="1"/>
        <c:smooth val="0"/>
        <c:axId val="195188528"/>
        <c:axId val="195189008"/>
      </c:lineChart>
      <c:catAx>
        <c:axId val="19518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89008"/>
        <c:crosses val="autoZero"/>
        <c:auto val="1"/>
        <c:lblAlgn val="ctr"/>
        <c:lblOffset val="100"/>
        <c:noMultiLvlLbl val="0"/>
      </c:catAx>
      <c:valAx>
        <c:axId val="19518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8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DISCOUNT OUTLIERS</cx:v>
        </cx:txData>
      </cx:tx>
      <cx:spPr>
        <a:ln>
          <a:gradFill>
            <a:gsLst>
              <a:gs pos="2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txPr>
        <a:bodyPr spcFirstLastPara="1" vertOverflow="ellipsis" horzOverflow="overflow" wrap="square" lIns="0" tIns="0" rIns="0" bIns="0" anchor="ctr" anchorCtr="1"/>
        <a:lstStyle/>
        <a:p>
          <a:pPr algn="ctr" rtl="0">
            <a:defRPr/>
          </a:pPr>
          <a:r>
            <a:rPr lang="en-US" sz="1800" b="1" i="0" u="sng" strike="noStrike" baseline="0">
              <a:solidFill>
                <a:srgbClr val="00B050"/>
              </a:solidFill>
              <a:latin typeface="Calibri"/>
            </a:rPr>
            <a:t>DISCOUNT OUTLIERS</a:t>
          </a:r>
        </a:p>
      </cx:txPr>
    </cx:title>
    <cx:plotArea>
      <cx:plotAreaRegion>
        <cx:series layoutId="boxWhisker" uniqueId="{725CCDA9-C9D8-4ABD-8FE8-94DA01C30421}">
          <cx:tx>
            <cx:txData>
              <cx:f>_xlchart.v1.0</cx:f>
              <cx:v>Discount.Pct</cx:v>
            </cx:txData>
          </cx:tx>
          <cx:dataId val="0"/>
          <cx:layoutPr>
            <cx:visibility meanLine="1" meanMarker="1" nonoutliers="0" outliers="1"/>
            <cx:statistics quartileMethod="exclusive"/>
          </cx:layoutPr>
        </cx:series>
      </cx:plotAreaRegion>
      <cx:axis id="0">
        <cx:catScaling gapWidth="1"/>
        <cx:tickLabels/>
      </cx:axis>
      <cx:axis id="1">
        <cx:valScaling/>
        <cx:majorGridlines/>
        <cx:tickLabels/>
      </cx:axis>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DISCOUNT OUTLIERS</cx:v>
        </cx:txData>
      </cx:tx>
      <cx:spPr>
        <a:ln>
          <a:gradFill>
            <a:gsLst>
              <a:gs pos="2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txPr>
        <a:bodyPr spcFirstLastPara="1" vertOverflow="ellipsis" horzOverflow="overflow" wrap="square" lIns="0" tIns="0" rIns="0" bIns="0" anchor="ctr" anchorCtr="1"/>
        <a:lstStyle/>
        <a:p>
          <a:pPr algn="ctr" rtl="0">
            <a:defRPr/>
          </a:pPr>
          <a:r>
            <a:rPr lang="en-US" sz="1800" b="1" i="0" u="sng" strike="noStrike" baseline="0">
              <a:solidFill>
                <a:srgbClr val="00B050"/>
              </a:solidFill>
              <a:latin typeface="Calibri"/>
            </a:rPr>
            <a:t>DISCOUNT OUTLIERS</a:t>
          </a:r>
        </a:p>
      </cx:txPr>
    </cx:title>
    <cx:plotArea>
      <cx:plotAreaRegion>
        <cx:series layoutId="boxWhisker" uniqueId="{725CCDA9-C9D8-4ABD-8FE8-94DA01C30421}">
          <cx:tx>
            <cx:txData>
              <cx:f>_xlchart.v1.2</cx:f>
              <cx:v>Discount.Pct</cx:v>
            </cx:txData>
          </cx:tx>
          <cx:dataId val="0"/>
          <cx:layoutPr>
            <cx:visibility meanLine="1" meanMarker="1" nonoutliers="0" outliers="1"/>
            <cx:statistics quartileMethod="exclusive"/>
          </cx:layoutPr>
        </cx:series>
      </cx:plotAreaRegion>
      <cx:axis id="0">
        <cx:catScaling gapWidth="1"/>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480060</xdr:colOff>
      <xdr:row>5</xdr:row>
      <xdr:rowOff>60960</xdr:rowOff>
    </xdr:to>
    <xdr:sp macro="" textlink="">
      <xdr:nvSpPr>
        <xdr:cNvPr id="2" name="Rectangle 1">
          <a:extLst>
            <a:ext uri="{FF2B5EF4-FFF2-40B4-BE49-F238E27FC236}">
              <a16:creationId xmlns:a16="http://schemas.microsoft.com/office/drawing/2014/main" id="{6363E584-7B1C-033C-DD3B-05FFFF27DFB0}"/>
            </a:ext>
          </a:extLst>
        </xdr:cNvPr>
        <xdr:cNvSpPr/>
      </xdr:nvSpPr>
      <xdr:spPr>
        <a:xfrm>
          <a:off x="0" y="0"/>
          <a:ext cx="19659600" cy="975360"/>
        </a:xfrm>
        <a:prstGeom prst="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4000" u="none">
              <a:solidFill>
                <a:schemeClr val="accent4">
                  <a:lumMod val="60000"/>
                  <a:lumOff val="40000"/>
                </a:schemeClr>
              </a:solidFill>
            </a:rPr>
            <a:t>SALES</a:t>
          </a:r>
          <a:r>
            <a:rPr lang="en-US" sz="4000" u="none" baseline="0">
              <a:solidFill>
                <a:schemeClr val="accent4">
                  <a:lumMod val="60000"/>
                  <a:lumOff val="40000"/>
                </a:schemeClr>
              </a:solidFill>
            </a:rPr>
            <a:t> AND OPERATIONS DASHBOARD</a:t>
          </a:r>
          <a:endParaRPr lang="en-US" sz="3200" u="none" baseline="0">
            <a:solidFill>
              <a:schemeClr val="accent4">
                <a:lumMod val="60000"/>
                <a:lumOff val="40000"/>
              </a:schemeClr>
            </a:solidFill>
          </a:endParaRPr>
        </a:p>
        <a:p>
          <a:pPr algn="r"/>
          <a:r>
            <a:rPr lang="en-US" sz="1200" i="1" u="sng">
              <a:solidFill>
                <a:schemeClr val="accent4">
                  <a:lumMod val="60000"/>
                  <a:lumOff val="40000"/>
                </a:schemeClr>
              </a:solidFill>
            </a:rPr>
            <a:t>Analysis by :</a:t>
          </a:r>
          <a:r>
            <a:rPr lang="en-US" sz="1200" i="1" u="sng" baseline="0">
              <a:solidFill>
                <a:schemeClr val="accent4">
                  <a:lumMod val="60000"/>
                  <a:lumOff val="40000"/>
                </a:schemeClr>
              </a:solidFill>
            </a:rPr>
            <a:t> Juliet Kiplimo</a:t>
          </a:r>
        </a:p>
        <a:p>
          <a:pPr algn="r"/>
          <a:r>
            <a:rPr lang="en-US" sz="1200" i="1" u="sng" baseline="0">
              <a:solidFill>
                <a:schemeClr val="accent4">
                  <a:lumMod val="60000"/>
                  <a:lumOff val="40000"/>
                </a:schemeClr>
              </a:solidFill>
            </a:rPr>
            <a:t>01.02.26</a:t>
          </a:r>
          <a:endParaRPr lang="en-US" sz="1200" i="1" u="sng">
            <a:solidFill>
              <a:schemeClr val="accent4">
                <a:lumMod val="60000"/>
                <a:lumOff val="40000"/>
              </a:schemeClr>
            </a:solidFill>
          </a:endParaRPr>
        </a:p>
      </xdr:txBody>
    </xdr:sp>
    <xdr:clientData/>
  </xdr:twoCellAnchor>
  <xdr:twoCellAnchor editAs="oneCell">
    <xdr:from>
      <xdr:col>0</xdr:col>
      <xdr:colOff>22860</xdr:colOff>
      <xdr:row>5</xdr:row>
      <xdr:rowOff>121921</xdr:rowOff>
    </xdr:from>
    <xdr:to>
      <xdr:col>3</xdr:col>
      <xdr:colOff>22860</xdr:colOff>
      <xdr:row>17</xdr:row>
      <xdr:rowOff>60961</xdr:rowOff>
    </xdr:to>
    <mc:AlternateContent xmlns:mc="http://schemas.openxmlformats.org/markup-compatibility/2006" xmlns:a14="http://schemas.microsoft.com/office/drawing/2010/main">
      <mc:Choice Requires="a14">
        <xdr:graphicFrame macro="">
          <xdr:nvGraphicFramePr>
            <xdr:cNvPr id="3" name="ProductCategory 1">
              <a:extLst>
                <a:ext uri="{FF2B5EF4-FFF2-40B4-BE49-F238E27FC236}">
                  <a16:creationId xmlns:a16="http://schemas.microsoft.com/office/drawing/2014/main" id="{3B3D01C2-D1C7-4D63-87ED-5A3F1702E63A}"/>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22860" y="1036321"/>
              <a:ext cx="1828800" cy="2156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17</xdr:row>
      <xdr:rowOff>129541</xdr:rowOff>
    </xdr:from>
    <xdr:to>
      <xdr:col>3</xdr:col>
      <xdr:colOff>15240</xdr:colOff>
      <xdr:row>26</xdr:row>
      <xdr:rowOff>144780</xdr:rowOff>
    </xdr:to>
    <mc:AlternateContent xmlns:mc="http://schemas.openxmlformats.org/markup-compatibility/2006" xmlns:a14="http://schemas.microsoft.com/office/drawing/2010/main">
      <mc:Choice Requires="a14">
        <xdr:graphicFrame macro="">
          <xdr:nvGraphicFramePr>
            <xdr:cNvPr id="4" name="Channel 1">
              <a:extLst>
                <a:ext uri="{FF2B5EF4-FFF2-40B4-BE49-F238E27FC236}">
                  <a16:creationId xmlns:a16="http://schemas.microsoft.com/office/drawing/2014/main" id="{F563C644-E5FE-46C1-A6DB-16928C7F96E9}"/>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5240" y="3261361"/>
              <a:ext cx="1828800" cy="1661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579120</xdr:colOff>
      <xdr:row>5</xdr:row>
      <xdr:rowOff>144780</xdr:rowOff>
    </xdr:from>
    <xdr:to>
      <xdr:col>7</xdr:col>
      <xdr:colOff>335280</xdr:colOff>
      <xdr:row>8</xdr:row>
      <xdr:rowOff>137160</xdr:rowOff>
    </xdr:to>
    <xdr:sp macro="" textlink="">
      <xdr:nvSpPr>
        <xdr:cNvPr id="17" name="Rectangle 16">
          <a:extLst>
            <a:ext uri="{FF2B5EF4-FFF2-40B4-BE49-F238E27FC236}">
              <a16:creationId xmlns:a16="http://schemas.microsoft.com/office/drawing/2014/main" id="{CAFCD776-F554-514E-0B92-303C28AD8573}"/>
            </a:ext>
          </a:extLst>
        </xdr:cNvPr>
        <xdr:cNvSpPr/>
      </xdr:nvSpPr>
      <xdr:spPr>
        <a:xfrm>
          <a:off x="2407920" y="1059180"/>
          <a:ext cx="2194560" cy="55626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US" sz="1200" b="1"/>
            <a:t>TOTAL REVENUE:</a:t>
          </a:r>
          <a:r>
            <a:rPr lang="en-US" sz="1200" b="1" baseline="0"/>
            <a:t> </a:t>
          </a:r>
        </a:p>
        <a:p>
          <a:pPr algn="ctr"/>
          <a:r>
            <a:rPr lang="en-US" sz="1200">
              <a:solidFill>
                <a:srgbClr val="C00000"/>
              </a:solidFill>
              <a:effectLst/>
            </a:rPr>
            <a:t> </a:t>
          </a:r>
          <a:r>
            <a:rPr lang="en-US" sz="1200" b="1" i="0" u="none" strike="noStrike" baseline="0">
              <a:solidFill>
                <a:srgbClr val="C00000"/>
              </a:solidFill>
              <a:effectLst/>
              <a:latin typeface="Arial Rounded MT Bold" panose="020F0704030504030204" pitchFamily="34" charset="0"/>
              <a:ea typeface="+mn-ea"/>
              <a:cs typeface="+mn-cs"/>
            </a:rPr>
            <a:t>KES10</a:t>
          </a:r>
          <a:r>
            <a:rPr lang="en-US" sz="1200" b="1" i="0" u="none" strike="noStrike">
              <a:solidFill>
                <a:srgbClr val="C00000"/>
              </a:solidFill>
              <a:effectLst/>
              <a:latin typeface="Arial Rounded MT Bold" panose="020F0704030504030204" pitchFamily="34" charset="0"/>
              <a:ea typeface="+mn-ea"/>
              <a:cs typeface="+mn-cs"/>
            </a:rPr>
            <a:t>9 2884,5.72</a:t>
          </a:r>
          <a:r>
            <a:rPr lang="en-US" sz="1200" b="1">
              <a:solidFill>
                <a:srgbClr val="C00000"/>
              </a:solidFill>
              <a:effectLst/>
            </a:rPr>
            <a:t> </a:t>
          </a:r>
          <a:endParaRPr lang="en-US" sz="1200" b="1">
            <a:solidFill>
              <a:srgbClr val="C00000"/>
            </a:solidFill>
          </a:endParaRPr>
        </a:p>
      </xdr:txBody>
    </xdr:sp>
    <xdr:clientData/>
  </xdr:twoCellAnchor>
  <xdr:twoCellAnchor>
    <xdr:from>
      <xdr:col>7</xdr:col>
      <xdr:colOff>449580</xdr:colOff>
      <xdr:row>5</xdr:row>
      <xdr:rowOff>152400</xdr:rowOff>
    </xdr:from>
    <xdr:to>
      <xdr:col>11</xdr:col>
      <xdr:colOff>121920</xdr:colOff>
      <xdr:row>8</xdr:row>
      <xdr:rowOff>152400</xdr:rowOff>
    </xdr:to>
    <xdr:sp macro="" textlink="">
      <xdr:nvSpPr>
        <xdr:cNvPr id="18" name="Rectangle 17">
          <a:extLst>
            <a:ext uri="{FF2B5EF4-FFF2-40B4-BE49-F238E27FC236}">
              <a16:creationId xmlns:a16="http://schemas.microsoft.com/office/drawing/2014/main" id="{46069B3C-53C4-4D71-90AF-6429870366FE}"/>
            </a:ext>
          </a:extLst>
        </xdr:cNvPr>
        <xdr:cNvSpPr/>
      </xdr:nvSpPr>
      <xdr:spPr>
        <a:xfrm>
          <a:off x="4716780" y="1066800"/>
          <a:ext cx="2110740" cy="56388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US" sz="1200" b="1"/>
            <a:t>GROSS PROFIT :</a:t>
          </a:r>
          <a:endParaRPr lang="en-US" sz="1200" b="1" baseline="0"/>
        </a:p>
        <a:p>
          <a:pPr algn="ctr"/>
          <a:r>
            <a:rPr lang="en-US" sz="1200">
              <a:solidFill>
                <a:srgbClr val="C00000"/>
              </a:solidFill>
              <a:effectLst/>
            </a:rPr>
            <a:t> </a:t>
          </a:r>
          <a:r>
            <a:rPr lang="en-US" sz="1200" b="1" i="0" u="none" strike="noStrike" baseline="0">
              <a:solidFill>
                <a:srgbClr val="C00000"/>
              </a:solidFill>
              <a:effectLst/>
              <a:latin typeface="Arial Rounded MT Bold" panose="020F0704030504030204" pitchFamily="34" charset="0"/>
              <a:ea typeface="+mn-ea"/>
              <a:cs typeface="+mn-cs"/>
            </a:rPr>
            <a:t>KES </a:t>
          </a:r>
          <a:r>
            <a:rPr lang="en-US" sz="1200" b="1" i="0" u="none" strike="noStrike">
              <a:solidFill>
                <a:srgbClr val="C00000"/>
              </a:solidFill>
              <a:effectLst/>
              <a:latin typeface="+mn-lt"/>
              <a:ea typeface="+mn-ea"/>
              <a:cs typeface="+mn-cs"/>
            </a:rPr>
            <a:t>340,109,8.01</a:t>
          </a:r>
          <a:r>
            <a:rPr lang="en-US" sz="1200">
              <a:effectLst/>
            </a:rPr>
            <a:t> </a:t>
          </a:r>
          <a:r>
            <a:rPr lang="en-US" sz="1200" b="1">
              <a:solidFill>
                <a:srgbClr val="C00000"/>
              </a:solidFill>
              <a:effectLst/>
            </a:rPr>
            <a:t> </a:t>
          </a:r>
          <a:endParaRPr lang="en-US" sz="1200" b="1">
            <a:solidFill>
              <a:srgbClr val="C00000"/>
            </a:solidFill>
          </a:endParaRPr>
        </a:p>
      </xdr:txBody>
    </xdr:sp>
    <xdr:clientData/>
  </xdr:twoCellAnchor>
  <xdr:twoCellAnchor>
    <xdr:from>
      <xdr:col>11</xdr:col>
      <xdr:colOff>175260</xdr:colOff>
      <xdr:row>5</xdr:row>
      <xdr:rowOff>167640</xdr:rowOff>
    </xdr:from>
    <xdr:to>
      <xdr:col>14</xdr:col>
      <xdr:colOff>487680</xdr:colOff>
      <xdr:row>8</xdr:row>
      <xdr:rowOff>129540</xdr:rowOff>
    </xdr:to>
    <xdr:sp macro="" textlink="">
      <xdr:nvSpPr>
        <xdr:cNvPr id="19" name="Rectangle 18">
          <a:extLst>
            <a:ext uri="{FF2B5EF4-FFF2-40B4-BE49-F238E27FC236}">
              <a16:creationId xmlns:a16="http://schemas.microsoft.com/office/drawing/2014/main" id="{38B564E4-6554-4927-A2C1-2F3B86418566}"/>
            </a:ext>
          </a:extLst>
        </xdr:cNvPr>
        <xdr:cNvSpPr/>
      </xdr:nvSpPr>
      <xdr:spPr>
        <a:xfrm>
          <a:off x="6880860" y="1082040"/>
          <a:ext cx="2141220" cy="52578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US" sz="1200" b="1"/>
            <a:t>AVERAGE</a:t>
          </a:r>
          <a:r>
            <a:rPr lang="en-US" sz="1200" b="1" baseline="0"/>
            <a:t> MARGIN %</a:t>
          </a:r>
        </a:p>
        <a:p>
          <a:pPr algn="ctr"/>
          <a:r>
            <a:rPr lang="en-US" sz="1200">
              <a:solidFill>
                <a:srgbClr val="C00000"/>
              </a:solidFill>
              <a:effectLst/>
            </a:rPr>
            <a:t> </a:t>
          </a:r>
          <a:r>
            <a:rPr lang="en-US" sz="1200" b="1" i="0" u="none" strike="noStrike" baseline="0">
              <a:solidFill>
                <a:srgbClr val="C00000"/>
              </a:solidFill>
              <a:effectLst/>
              <a:latin typeface="Arial Rounded MT Bold" panose="020F0704030504030204" pitchFamily="34" charset="0"/>
              <a:ea typeface="+mn-ea"/>
              <a:cs typeface="+mn-cs"/>
            </a:rPr>
            <a:t>KES </a:t>
          </a:r>
          <a:r>
            <a:rPr lang="en-US" sz="1200" b="1" i="0" u="none" strike="noStrike">
              <a:solidFill>
                <a:srgbClr val="C00000"/>
              </a:solidFill>
              <a:effectLst/>
              <a:latin typeface="+mn-lt"/>
              <a:ea typeface="+mn-ea"/>
              <a:cs typeface="+mn-cs"/>
            </a:rPr>
            <a:t>340,109,8.01</a:t>
          </a:r>
          <a:r>
            <a:rPr lang="en-US" sz="1200">
              <a:effectLst/>
            </a:rPr>
            <a:t> </a:t>
          </a:r>
          <a:r>
            <a:rPr lang="en-US" sz="1200" b="1">
              <a:solidFill>
                <a:srgbClr val="C00000"/>
              </a:solidFill>
              <a:effectLst/>
            </a:rPr>
            <a:t> </a:t>
          </a:r>
          <a:endParaRPr lang="en-US" sz="1200" b="1">
            <a:solidFill>
              <a:srgbClr val="C00000"/>
            </a:solidFill>
          </a:endParaRPr>
        </a:p>
      </xdr:txBody>
    </xdr:sp>
    <xdr:clientData/>
  </xdr:twoCellAnchor>
  <xdr:twoCellAnchor>
    <xdr:from>
      <xdr:col>7</xdr:col>
      <xdr:colOff>152400</xdr:colOff>
      <xdr:row>9</xdr:row>
      <xdr:rowOff>30480</xdr:rowOff>
    </xdr:from>
    <xdr:to>
      <xdr:col>12</xdr:col>
      <xdr:colOff>457200</xdr:colOff>
      <xdr:row>10</xdr:row>
      <xdr:rowOff>175260</xdr:rowOff>
    </xdr:to>
    <xdr:sp macro="" textlink="">
      <xdr:nvSpPr>
        <xdr:cNvPr id="21" name="Rectangle 20">
          <a:extLst>
            <a:ext uri="{FF2B5EF4-FFF2-40B4-BE49-F238E27FC236}">
              <a16:creationId xmlns:a16="http://schemas.microsoft.com/office/drawing/2014/main" id="{CB39E7D1-6036-46DB-8972-2F54BDA30F5B}"/>
            </a:ext>
          </a:extLst>
        </xdr:cNvPr>
        <xdr:cNvSpPr/>
      </xdr:nvSpPr>
      <xdr:spPr>
        <a:xfrm>
          <a:off x="4419600" y="1699260"/>
          <a:ext cx="3352800" cy="32766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US" sz="1400" b="1">
              <a:solidFill>
                <a:schemeClr val="tx1"/>
              </a:solidFill>
            </a:rPr>
            <a:t>Delivery time</a:t>
          </a:r>
          <a:r>
            <a:rPr lang="en-US" sz="1100" b="1" i="0" u="none" strike="noStrike" baseline="0">
              <a:solidFill>
                <a:schemeClr val="dk1"/>
              </a:solidFill>
              <a:effectLst/>
              <a:latin typeface="+mn-lt"/>
              <a:ea typeface="+mn-ea"/>
              <a:cs typeface="+mn-cs"/>
            </a:rPr>
            <a:t> :</a:t>
          </a:r>
          <a:r>
            <a:rPr lang="en-US" sz="1400">
              <a:effectLst/>
            </a:rPr>
            <a:t> </a:t>
          </a:r>
          <a:r>
            <a:rPr lang="en-US" sz="1200" b="1">
              <a:solidFill>
                <a:schemeClr val="tx1"/>
              </a:solidFill>
            </a:rPr>
            <a:t>{ ON TIME %  }</a:t>
          </a:r>
          <a:r>
            <a:rPr lang="en-US" sz="1400" b="1">
              <a:solidFill>
                <a:schemeClr val="tx1"/>
              </a:solidFill>
            </a:rPr>
            <a:t>:</a:t>
          </a:r>
          <a:r>
            <a:rPr lang="en-US" sz="1200" b="1">
              <a:solidFill>
                <a:schemeClr val="tx1"/>
              </a:solidFill>
            </a:rPr>
            <a:t> </a:t>
          </a:r>
          <a:r>
            <a:rPr lang="en-US" sz="1200" b="1" i="0" u="none" strike="noStrike">
              <a:solidFill>
                <a:srgbClr val="C00000"/>
              </a:solidFill>
              <a:effectLst/>
              <a:latin typeface="+mn-lt"/>
              <a:ea typeface="+mn-ea"/>
              <a:cs typeface="+mn-cs"/>
            </a:rPr>
            <a:t>71.43%</a:t>
          </a:r>
          <a:r>
            <a:rPr lang="en-US" sz="1600" b="1">
              <a:solidFill>
                <a:srgbClr val="C00000"/>
              </a:solidFill>
              <a:effectLst/>
            </a:rPr>
            <a:t>  </a:t>
          </a:r>
        </a:p>
        <a:p>
          <a:pPr algn="ctr"/>
          <a:endParaRPr lang="en-US" sz="1600" b="1" baseline="0"/>
        </a:p>
      </xdr:txBody>
    </xdr:sp>
    <xdr:clientData/>
  </xdr:twoCellAnchor>
  <xdr:twoCellAnchor>
    <xdr:from>
      <xdr:col>3</xdr:col>
      <xdr:colOff>182880</xdr:colOff>
      <xdr:row>11</xdr:row>
      <xdr:rowOff>60960</xdr:rowOff>
    </xdr:from>
    <xdr:to>
      <xdr:col>15</xdr:col>
      <xdr:colOff>617220</xdr:colOff>
      <xdr:row>25</xdr:row>
      <xdr:rowOff>152400</xdr:rowOff>
    </xdr:to>
    <xdr:graphicFrame macro="">
      <xdr:nvGraphicFramePr>
        <xdr:cNvPr id="22" name="Chart 21">
          <a:extLst>
            <a:ext uri="{FF2B5EF4-FFF2-40B4-BE49-F238E27FC236}">
              <a16:creationId xmlns:a16="http://schemas.microsoft.com/office/drawing/2014/main" id="{49202A5D-85AE-4514-9BB9-502A6A113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739140</xdr:colOff>
      <xdr:row>11</xdr:row>
      <xdr:rowOff>60960</xdr:rowOff>
    </xdr:from>
    <xdr:to>
      <xdr:col>30</xdr:col>
      <xdr:colOff>480060</xdr:colOff>
      <xdr:row>30</xdr:row>
      <xdr:rowOff>0</xdr:rowOff>
    </xdr:to>
    <xdr:graphicFrame macro="">
      <xdr:nvGraphicFramePr>
        <xdr:cNvPr id="23" name="Chart 22">
          <a:extLst>
            <a:ext uri="{FF2B5EF4-FFF2-40B4-BE49-F238E27FC236}">
              <a16:creationId xmlns:a16="http://schemas.microsoft.com/office/drawing/2014/main" id="{FAA5837F-CDD0-4F06-AAFC-D7D43134A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190500</xdr:colOff>
      <xdr:row>27</xdr:row>
      <xdr:rowOff>22860</xdr:rowOff>
    </xdr:from>
    <xdr:to>
      <xdr:col>15</xdr:col>
      <xdr:colOff>617220</xdr:colOff>
      <xdr:row>43</xdr:row>
      <xdr:rowOff>7620</xdr:rowOff>
    </xdr:to>
    <xdr:graphicFrame macro="">
      <xdr:nvGraphicFramePr>
        <xdr:cNvPr id="24" name="Chart 23">
          <a:extLst>
            <a:ext uri="{FF2B5EF4-FFF2-40B4-BE49-F238E27FC236}">
              <a16:creationId xmlns:a16="http://schemas.microsoft.com/office/drawing/2014/main" id="{95394238-C281-4BB5-A2BA-7B872BAB0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190500</xdr:colOff>
      <xdr:row>43</xdr:row>
      <xdr:rowOff>167640</xdr:rowOff>
    </xdr:from>
    <xdr:to>
      <xdr:col>15</xdr:col>
      <xdr:colOff>609600</xdr:colOff>
      <xdr:row>62</xdr:row>
      <xdr:rowOff>45720</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DB79F803-B5F2-4EF9-A91D-83CA3536BE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019300" y="8054340"/>
              <a:ext cx="7734300" cy="3352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777240</xdr:colOff>
      <xdr:row>30</xdr:row>
      <xdr:rowOff>91440</xdr:rowOff>
    </xdr:from>
    <xdr:to>
      <xdr:col>30</xdr:col>
      <xdr:colOff>472440</xdr:colOff>
      <xdr:row>47</xdr:row>
      <xdr:rowOff>144780</xdr:rowOff>
    </xdr:to>
    <xdr:graphicFrame macro="">
      <xdr:nvGraphicFramePr>
        <xdr:cNvPr id="5" name="Chart 4">
          <a:extLst>
            <a:ext uri="{FF2B5EF4-FFF2-40B4-BE49-F238E27FC236}">
              <a16:creationId xmlns:a16="http://schemas.microsoft.com/office/drawing/2014/main" id="{2362E6F6-530C-44FD-A09F-940B39FCA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38100</xdr:colOff>
      <xdr:row>36</xdr:row>
      <xdr:rowOff>45720</xdr:rowOff>
    </xdr:from>
    <xdr:to>
      <xdr:col>3</xdr:col>
      <xdr:colOff>38100</xdr:colOff>
      <xdr:row>49</xdr:row>
      <xdr:rowOff>135255</xdr:rowOff>
    </xdr:to>
    <mc:AlternateContent xmlns:mc="http://schemas.openxmlformats.org/markup-compatibility/2006" xmlns:a14="http://schemas.microsoft.com/office/drawing/2010/main">
      <mc:Choice Requires="a14">
        <xdr:graphicFrame macro="">
          <xdr:nvGraphicFramePr>
            <xdr:cNvPr id="6" name="Country 4">
              <a:extLst>
                <a:ext uri="{FF2B5EF4-FFF2-40B4-BE49-F238E27FC236}">
                  <a16:creationId xmlns:a16="http://schemas.microsoft.com/office/drawing/2014/main" id="{89273130-4B91-451A-A67C-9FC85F398702}"/>
                </a:ext>
              </a:extLst>
            </xdr:cNvPr>
            <xdr:cNvGraphicFramePr/>
          </xdr:nvGraphicFramePr>
          <xdr:xfrm>
            <a:off x="0" y="0"/>
            <a:ext cx="0" cy="0"/>
          </xdr:xfrm>
          <a:graphic>
            <a:graphicData uri="http://schemas.microsoft.com/office/drawing/2010/slicer">
              <sle:slicer xmlns:sle="http://schemas.microsoft.com/office/drawing/2010/slicer" name="Country 4"/>
            </a:graphicData>
          </a:graphic>
        </xdr:graphicFrame>
      </mc:Choice>
      <mc:Fallback xmlns="">
        <xdr:sp macro="" textlink="">
          <xdr:nvSpPr>
            <xdr:cNvPr id="0" name=""/>
            <xdr:cNvSpPr>
              <a:spLocks noTextEdit="1"/>
            </xdr:cNvSpPr>
          </xdr:nvSpPr>
          <xdr:spPr>
            <a:xfrm>
              <a:off x="38100" y="6652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28</xdr:row>
      <xdr:rowOff>15241</xdr:rowOff>
    </xdr:from>
    <xdr:to>
      <xdr:col>3</xdr:col>
      <xdr:colOff>7620</xdr:colOff>
      <xdr:row>35</xdr:row>
      <xdr:rowOff>144781</xdr:rowOff>
    </xdr:to>
    <mc:AlternateContent xmlns:mc="http://schemas.openxmlformats.org/markup-compatibility/2006" xmlns:a14="http://schemas.microsoft.com/office/drawing/2010/main">
      <mc:Choice Requires="a14">
        <xdr:graphicFrame macro="">
          <xdr:nvGraphicFramePr>
            <xdr:cNvPr id="7" name="Region 2">
              <a:extLst>
                <a:ext uri="{FF2B5EF4-FFF2-40B4-BE49-F238E27FC236}">
                  <a16:creationId xmlns:a16="http://schemas.microsoft.com/office/drawing/2014/main" id="{925CE660-B399-4B51-B4E4-CAB2031CDF3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620" y="5158741"/>
              <a:ext cx="182880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50</xdr:row>
      <xdr:rowOff>38100</xdr:rowOff>
    </xdr:from>
    <xdr:to>
      <xdr:col>3</xdr:col>
      <xdr:colOff>45720</xdr:colOff>
      <xdr:row>63</xdr:row>
      <xdr:rowOff>127635</xdr:rowOff>
    </xdr:to>
    <mc:AlternateContent xmlns:mc="http://schemas.openxmlformats.org/markup-compatibility/2006" xmlns:a14="http://schemas.microsoft.com/office/drawing/2010/main">
      <mc:Choice Requires="a14">
        <xdr:graphicFrame macro="">
          <xdr:nvGraphicFramePr>
            <xdr:cNvPr id="8" name="Salesperson 1">
              <a:extLst>
                <a:ext uri="{FF2B5EF4-FFF2-40B4-BE49-F238E27FC236}">
                  <a16:creationId xmlns:a16="http://schemas.microsoft.com/office/drawing/2014/main" id="{FEAD0C3F-E445-408A-8329-F374BFEBDE9E}"/>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45720" y="92049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64</xdr:row>
      <xdr:rowOff>15240</xdr:rowOff>
    </xdr:from>
    <xdr:to>
      <xdr:col>3</xdr:col>
      <xdr:colOff>38100</xdr:colOff>
      <xdr:row>77</xdr:row>
      <xdr:rowOff>104775</xdr:rowOff>
    </xdr:to>
    <mc:AlternateContent xmlns:mc="http://schemas.openxmlformats.org/markup-compatibility/2006" xmlns:a14="http://schemas.microsoft.com/office/drawing/2010/main">
      <mc:Choice Requires="a14">
        <xdr:graphicFrame macro="">
          <xdr:nvGraphicFramePr>
            <xdr:cNvPr id="9" name="Month 1">
              <a:extLst>
                <a:ext uri="{FF2B5EF4-FFF2-40B4-BE49-F238E27FC236}">
                  <a16:creationId xmlns:a16="http://schemas.microsoft.com/office/drawing/2014/main" id="{A2AB5C2D-F3BE-4533-A2C1-F5B74D95CA0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8100" y="11742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251460</xdr:colOff>
      <xdr:row>14</xdr:row>
      <xdr:rowOff>179070</xdr:rowOff>
    </xdr:from>
    <xdr:to>
      <xdr:col>12</xdr:col>
      <xdr:colOff>388620</xdr:colOff>
      <xdr:row>35</xdr:row>
      <xdr:rowOff>91440</xdr:rowOff>
    </xdr:to>
    <xdr:graphicFrame macro="">
      <xdr:nvGraphicFramePr>
        <xdr:cNvPr id="3" name="Chart 2">
          <a:extLst>
            <a:ext uri="{FF2B5EF4-FFF2-40B4-BE49-F238E27FC236}">
              <a16:creationId xmlns:a16="http://schemas.microsoft.com/office/drawing/2014/main" id="{72D83961-8DBF-5466-F088-411066436D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198120</xdr:colOff>
      <xdr:row>1</xdr:row>
      <xdr:rowOff>60960</xdr:rowOff>
    </xdr:from>
    <xdr:to>
      <xdr:col>12</xdr:col>
      <xdr:colOff>198120</xdr:colOff>
      <xdr:row>14</xdr:row>
      <xdr:rowOff>150495</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8C486805-22BE-7E4E-D17F-144869F0421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901940" y="243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xdr:colOff>
      <xdr:row>10</xdr:row>
      <xdr:rowOff>22860</xdr:rowOff>
    </xdr:from>
    <xdr:to>
      <xdr:col>2</xdr:col>
      <xdr:colOff>152400</xdr:colOff>
      <xdr:row>23</xdr:row>
      <xdr:rowOff>112395</xdr:rowOff>
    </xdr:to>
    <mc:AlternateContent xmlns:mc="http://schemas.openxmlformats.org/markup-compatibility/2006" xmlns:a14="http://schemas.microsoft.com/office/drawing/2010/main">
      <mc:Choice Requires="a14">
        <xdr:graphicFrame macro="">
          <xdr:nvGraphicFramePr>
            <xdr:cNvPr id="3" name="Country 2">
              <a:extLst>
                <a:ext uri="{FF2B5EF4-FFF2-40B4-BE49-F238E27FC236}">
                  <a16:creationId xmlns:a16="http://schemas.microsoft.com/office/drawing/2014/main" id="{5CBFAD45-46A2-F56A-D3AE-6122C24EDBF8}"/>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868680" y="1851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129540</xdr:colOff>
      <xdr:row>3</xdr:row>
      <xdr:rowOff>99060</xdr:rowOff>
    </xdr:from>
    <xdr:to>
      <xdr:col>16</xdr:col>
      <xdr:colOff>129540</xdr:colOff>
      <xdr:row>17</xdr:row>
      <xdr:rowOff>5715</xdr:rowOff>
    </xdr:to>
    <mc:AlternateContent xmlns:mc="http://schemas.openxmlformats.org/markup-compatibility/2006" xmlns:a14="http://schemas.microsoft.com/office/drawing/2010/main">
      <mc:Choice Requires="a14">
        <xdr:graphicFrame macro="">
          <xdr:nvGraphicFramePr>
            <xdr:cNvPr id="4" name="Salesperson">
              <a:extLst>
                <a:ext uri="{FF2B5EF4-FFF2-40B4-BE49-F238E27FC236}">
                  <a16:creationId xmlns:a16="http://schemas.microsoft.com/office/drawing/2014/main" id="{CFC1BC7D-3330-AF6A-06C4-31C1723E3224}"/>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0271760" y="6477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533400</xdr:colOff>
      <xdr:row>10</xdr:row>
      <xdr:rowOff>179070</xdr:rowOff>
    </xdr:from>
    <xdr:to>
      <xdr:col>10</xdr:col>
      <xdr:colOff>114300</xdr:colOff>
      <xdr:row>25</xdr:row>
      <xdr:rowOff>179070</xdr:rowOff>
    </xdr:to>
    <xdr:graphicFrame macro="">
      <xdr:nvGraphicFramePr>
        <xdr:cNvPr id="5" name="Chart 4">
          <a:extLst>
            <a:ext uri="{FF2B5EF4-FFF2-40B4-BE49-F238E27FC236}">
              <a16:creationId xmlns:a16="http://schemas.microsoft.com/office/drawing/2014/main" id="{1C685494-2C46-085C-84B0-970ED60D2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30480</xdr:colOff>
      <xdr:row>1</xdr:row>
      <xdr:rowOff>22860</xdr:rowOff>
    </xdr:from>
    <xdr:to>
      <xdr:col>9</xdr:col>
      <xdr:colOff>30480</xdr:colOff>
      <xdr:row>14</xdr:row>
      <xdr:rowOff>112395</xdr:rowOff>
    </xdr:to>
    <mc:AlternateContent xmlns:mc="http://schemas.openxmlformats.org/markup-compatibility/2006" xmlns:a14="http://schemas.microsoft.com/office/drawing/2010/main">
      <mc:Choice Requires="a14">
        <xdr:graphicFrame macro="">
          <xdr:nvGraphicFramePr>
            <xdr:cNvPr id="2" name="ProductCategory 2">
              <a:extLst>
                <a:ext uri="{FF2B5EF4-FFF2-40B4-BE49-F238E27FC236}">
                  <a16:creationId xmlns:a16="http://schemas.microsoft.com/office/drawing/2014/main" id="{375779F9-97D3-9C71-2E84-842654A05442}"/>
                </a:ext>
              </a:extLst>
            </xdr:cNvPr>
            <xdr:cNvGraphicFramePr/>
          </xdr:nvGraphicFramePr>
          <xdr:xfrm>
            <a:off x="0" y="0"/>
            <a:ext cx="0" cy="0"/>
          </xdr:xfrm>
          <a:graphic>
            <a:graphicData uri="http://schemas.microsoft.com/office/drawing/2010/slicer">
              <sle:slicer xmlns:sle="http://schemas.microsoft.com/office/drawing/2010/slicer" name="ProductCategory 2"/>
            </a:graphicData>
          </a:graphic>
        </xdr:graphicFrame>
      </mc:Choice>
      <mc:Fallback xmlns="">
        <xdr:sp macro="" textlink="">
          <xdr:nvSpPr>
            <xdr:cNvPr id="0" name=""/>
            <xdr:cNvSpPr>
              <a:spLocks noTextEdit="1"/>
            </xdr:cNvSpPr>
          </xdr:nvSpPr>
          <xdr:spPr>
            <a:xfrm>
              <a:off x="5547360" y="2057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495300</xdr:colOff>
      <xdr:row>19</xdr:row>
      <xdr:rowOff>57150</xdr:rowOff>
    </xdr:from>
    <xdr:to>
      <xdr:col>14</xdr:col>
      <xdr:colOff>60960</xdr:colOff>
      <xdr:row>44</xdr:row>
      <xdr:rowOff>114300</xdr:rowOff>
    </xdr:to>
    <xdr:graphicFrame macro="">
      <xdr:nvGraphicFramePr>
        <xdr:cNvPr id="3" name="Chart 2">
          <a:extLst>
            <a:ext uri="{FF2B5EF4-FFF2-40B4-BE49-F238E27FC236}">
              <a16:creationId xmlns:a16="http://schemas.microsoft.com/office/drawing/2014/main" id="{BB4415D0-36CA-06E4-0F30-79EB7B48E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327660</xdr:colOff>
      <xdr:row>2</xdr:row>
      <xdr:rowOff>76200</xdr:rowOff>
    </xdr:from>
    <xdr:to>
      <xdr:col>16</xdr:col>
      <xdr:colOff>304800</xdr:colOff>
      <xdr:row>26</xdr:row>
      <xdr:rowOff>38100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1F97E42-807A-D879-A0C5-7E3A909793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39340" y="441960"/>
              <a:ext cx="7901940" cy="43510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579120</xdr:colOff>
      <xdr:row>1</xdr:row>
      <xdr:rowOff>167641</xdr:rowOff>
    </xdr:from>
    <xdr:to>
      <xdr:col>6</xdr:col>
      <xdr:colOff>762000</xdr:colOff>
      <xdr:row>11</xdr:row>
      <xdr:rowOff>38101</xdr:rowOff>
    </xdr:to>
    <mc:AlternateContent xmlns:mc="http://schemas.openxmlformats.org/markup-compatibility/2006" xmlns:a14="http://schemas.microsoft.com/office/drawing/2010/main">
      <mc:Choice Requires="a14">
        <xdr:graphicFrame macro="">
          <xdr:nvGraphicFramePr>
            <xdr:cNvPr id="2" name="Channel">
              <a:extLst>
                <a:ext uri="{FF2B5EF4-FFF2-40B4-BE49-F238E27FC236}">
                  <a16:creationId xmlns:a16="http://schemas.microsoft.com/office/drawing/2014/main" id="{355FC814-82B7-6F6B-50C2-7268C7319BAA}"/>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4968240" y="350521"/>
              <a:ext cx="1828800" cy="1699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342900</xdr:colOff>
      <xdr:row>0</xdr:row>
      <xdr:rowOff>121920</xdr:rowOff>
    </xdr:from>
    <xdr:to>
      <xdr:col>4</xdr:col>
      <xdr:colOff>525780</xdr:colOff>
      <xdr:row>14</xdr:row>
      <xdr:rowOff>28575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43F0433D-B14C-5661-993C-D69495EA278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002280" y="121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1</xdr:col>
      <xdr:colOff>22860</xdr:colOff>
      <xdr:row>21</xdr:row>
      <xdr:rowOff>156210</xdr:rowOff>
    </xdr:from>
    <xdr:to>
      <xdr:col>17</xdr:col>
      <xdr:colOff>693420</xdr:colOff>
      <xdr:row>39</xdr:row>
      <xdr:rowOff>15240</xdr:rowOff>
    </xdr:to>
    <xdr:graphicFrame macro="">
      <xdr:nvGraphicFramePr>
        <xdr:cNvPr id="2" name="Chart 1">
          <a:extLst>
            <a:ext uri="{FF2B5EF4-FFF2-40B4-BE49-F238E27FC236}">
              <a16:creationId xmlns:a16="http://schemas.microsoft.com/office/drawing/2014/main" id="{8AF2B7E3-7181-CBCB-FC81-2A839EBC7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891540</xdr:colOff>
      <xdr:row>1</xdr:row>
      <xdr:rowOff>30480</xdr:rowOff>
    </xdr:from>
    <xdr:to>
      <xdr:col>6</xdr:col>
      <xdr:colOff>251460</xdr:colOff>
      <xdr:row>14</xdr:row>
      <xdr:rowOff>120015</xdr:rowOff>
    </xdr:to>
    <mc:AlternateContent xmlns:mc="http://schemas.openxmlformats.org/markup-compatibility/2006" xmlns:a14="http://schemas.microsoft.com/office/drawing/2010/main">
      <mc:Choice Requires="a14">
        <xdr:graphicFrame macro="">
          <xdr:nvGraphicFramePr>
            <xdr:cNvPr id="2" name="Country 1">
              <a:extLst>
                <a:ext uri="{FF2B5EF4-FFF2-40B4-BE49-F238E27FC236}">
                  <a16:creationId xmlns:a16="http://schemas.microsoft.com/office/drawing/2014/main" id="{1F2C41FD-E108-F204-314C-0CE971E2DD1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878580" y="2133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15240</xdr:colOff>
      <xdr:row>17</xdr:row>
      <xdr:rowOff>3810</xdr:rowOff>
    </xdr:from>
    <xdr:to>
      <xdr:col>9</xdr:col>
      <xdr:colOff>762000</xdr:colOff>
      <xdr:row>32</xdr:row>
      <xdr:rowOff>3810</xdr:rowOff>
    </xdr:to>
    <xdr:graphicFrame macro="">
      <xdr:nvGraphicFramePr>
        <xdr:cNvPr id="3" name="Chart 2">
          <a:extLst>
            <a:ext uri="{FF2B5EF4-FFF2-40B4-BE49-F238E27FC236}">
              <a16:creationId xmlns:a16="http://schemas.microsoft.com/office/drawing/2014/main" id="{D482774F-6A6F-99C5-8C46-89EDC420D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236220</xdr:colOff>
      <xdr:row>1</xdr:row>
      <xdr:rowOff>175260</xdr:rowOff>
    </xdr:from>
    <xdr:to>
      <xdr:col>6</xdr:col>
      <xdr:colOff>556260</xdr:colOff>
      <xdr:row>15</xdr:row>
      <xdr:rowOff>81915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FBA51CF6-E1CF-A292-4925-0FF984BED9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80360" y="3581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7620</xdr:colOff>
      <xdr:row>2</xdr:row>
      <xdr:rowOff>0</xdr:rowOff>
    </xdr:from>
    <xdr:to>
      <xdr:col>10</xdr:col>
      <xdr:colOff>129540</xdr:colOff>
      <xdr:row>15</xdr:row>
      <xdr:rowOff>89535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80D1197A-8148-0E7C-1086-1784830F52F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930140" y="365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3.636872337964" createdVersion="8" refreshedVersion="8" minRefreshableVersion="3" recordCount="632" xr:uid="{43BB173E-FE3D-423D-B633-FC9A717AEE34}">
  <cacheSource type="worksheet">
    <worksheetSource ref="A1:AF633" sheet="staging data"/>
  </cacheSource>
  <cacheFields count="30">
    <cacheField name="OrderID" numFmtId="49">
      <sharedItems count="632">
        <s v="ORD -2025-739842"/>
        <s v="ORD-2025-728935"/>
        <s v="ORD-2023-455933"/>
        <s v="ORD-2023-961864"/>
        <s v="ORD-2023-921939"/>
        <s v="ORD-2023-548934"/>
        <s v="ORD-2023-249805"/>
        <s v="ORD-2023-561823"/>
        <s v="ORD-2025-649633"/>
        <s v="ORD-2023-885216"/>
        <s v="ORD-2024-817997"/>
        <s v="ORD-2025-907040"/>
        <s v="ORD-2024-756884"/>
        <s v="ORD-2023-755337"/>
        <s v="ORD-2025-150713"/>
        <s v="ORD-2024-930679"/>
        <s v="ORD-2023-502205"/>
        <s v="ORD-2025-532859"/>
        <s v="ORD-2023-451931"/>
        <s v="ORD-2024-341535"/>
        <s v="ORD-2024-741404"/>
        <s v="ORD-2024-331408"/>
        <s v="ORD-2023-664790"/>
        <s v="ORD-2025-262434"/>
        <s v="ORD-2024-266562"/>
        <s v="ORD-2024-838925"/>
        <s v="ORD-2023-107265"/>
        <s v="ORD-2023-552115"/>
        <s v="ORD-2024-550400"/>
        <s v="ORD-2025-189846"/>
        <s v="ORD-2025-752192"/>
        <s v="ORD-2023-294716"/>
        <s v="ORD-2024-907733"/>
        <s v="ORD-2024-585443"/>
        <s v="ORD-2025-683247"/>
        <s v="ORD-2023-689428"/>
        <s v="ORD-2025-705398"/>
        <s v="ORD-2024-442776"/>
        <s v="ORD-2024-947056"/>
        <s v="ORD-2025-856556"/>
        <s v="ORD-2023-619493"/>
        <s v="ORD-2025-993993"/>
        <s v="ORD-2023-727290"/>
        <s v="ORD-2025-281062"/>
        <s v="ORD-2024-572312"/>
        <s v="ORD-2023-378676"/>
        <s v="ORD-2024-243988"/>
        <s v="ORD-2025-246692"/>
        <s v="ORD-2024-689872"/>
        <s v="ORD-2023-856322"/>
        <s v="ORD-2024-594527"/>
        <s v="ORD-2023-244375"/>
        <s v="ORD-2025-155182"/>
        <s v="ORD-2023-713614"/>
        <s v="ORD-2023-173313"/>
        <s v="ORD-2024-496601"/>
        <s v="ORD-2023-340056"/>
        <s v="ORD-2025-281413"/>
        <s v="ORD-2024-355095"/>
        <s v="ORD-2023-126505"/>
        <s v="ORD-2025-177994"/>
        <s v="ORD-2025-929414"/>
        <s v="ORD-2024-766980"/>
        <s v="ORD-2024-437164"/>
        <s v="ORD-2025-169093"/>
        <s v="ORD-2023-868460"/>
        <s v="ORD-2024-207669"/>
        <s v="ORD-2024-979401"/>
        <s v="ORD-2025-659650"/>
        <s v="ORD-2023-356427"/>
        <s v="ORD-2024-331226"/>
        <s v="ORD-2024-250862"/>
        <s v="ORD-2024-687073"/>
        <s v="ORD-2024-555229"/>
        <s v="ORD-2024-872291"/>
        <s v="ORD-2025-874124"/>
        <s v="ORD-2024-536442"/>
        <s v="ORD-2023-957692"/>
        <s v="ORD-2025-332931"/>
        <s v="ORD-2025-419532"/>
        <s v="ORD-2023-139236"/>
        <s v="ORD-2025-337268"/>
        <s v="ORD-2024-202877"/>
        <s v="ORD-2024-140633"/>
        <s v="ORD-2023-488227"/>
        <s v="ORD-2023-472078"/>
        <s v="ORD-2024-419248"/>
        <s v="ORD-2023-453699"/>
        <s v="ORD-2025-960931"/>
        <s v="ORD-2023-286720"/>
        <s v="ORD-2024-626925"/>
        <s v="ORD-2023-960380"/>
        <s v="ORD-2023-974506"/>
        <s v="ORD-2023-811823"/>
        <s v="ORD-2023-621393"/>
        <s v="ORD-2024-353078"/>
        <s v="ORD-2023-215819"/>
        <s v="ORD-2025-312803"/>
        <s v="ORD-2025-149156"/>
        <s v="ORD-2023-525643"/>
        <s v="ORD-2025-778145"/>
        <s v="ORD-2025-926547"/>
        <s v="ORD-2024-532184"/>
        <s v="ORD-2023-640022"/>
        <s v="ORD-2024-713332"/>
        <s v="ORD-2025-460466"/>
        <s v="ORD-2023-700699"/>
        <s v="ORD-2024-364080"/>
        <s v="ORD-2024-468615"/>
        <s v="ORD-2024-833375"/>
        <s v="ORD-2024-206311"/>
        <s v="ORD-2023-472050"/>
        <s v="ORD-2023-125739"/>
        <s v="ORD-2024-892879"/>
        <s v="ORD-2023-568013"/>
        <s v="ORD-2025-828263"/>
        <s v="ORD-2024-402240"/>
        <s v="ORD-2025-635337"/>
        <s v="ORD-2024-964950"/>
        <s v="ORD-2023-349264"/>
        <s v="ORD-2025-137394"/>
        <s v="ORD-2024-961501"/>
        <s v="ORD-2023-913592"/>
        <s v="ORD-2024-776337"/>
        <s v="ORD-2023-867166"/>
        <s v="ORD-2024-732543"/>
        <s v="ORD-2025-474368"/>
        <s v="ORD-2024-310809"/>
        <s v="ORD-2025-331237"/>
        <s v="ORD-2025-680118"/>
        <s v="ORD-2023-744942"/>
        <s v="ORD-2023-573656"/>
        <s v="ORD-2024-567435"/>
        <s v="ORD-2025-823055"/>
        <s v="ORD-2023-406606"/>
        <s v="ORD-2023-434071"/>
        <s v="ORD-2024-728474"/>
        <s v="ORD-2024-433936"/>
        <s v="ORD-2024-578646"/>
        <s v="ORD-2025-703623"/>
        <s v="ORD-2024-516704"/>
        <s v="ORD-2024-792353"/>
        <s v="ORD-2024-973420"/>
        <s v="ORD-2025-254721"/>
        <s v="ORD-2024-247032"/>
        <s v="ORD-2024-371409"/>
        <s v="ORD-2023-597666"/>
        <s v="ORD-2024-382152"/>
        <s v="ORD-2023-867175"/>
        <s v="ORD-2025-417336"/>
        <s v="ORD-2025-252117"/>
        <s v="ORD-2024-207792"/>
        <s v="ORD-2023-569862"/>
        <s v="ORD-2023-609394"/>
        <s v="ORD-2024-105586"/>
        <s v="ORD-2023-799597"/>
        <s v="ORD-2024-641220"/>
        <s v="ORD-2023-588455"/>
        <s v="ORD-2025-683043"/>
        <s v="ORD-2024-647571"/>
        <s v="ORD-2025-779659"/>
        <s v="ORD-2023-931633"/>
        <s v="ORD-2023-243704"/>
        <s v="ORD-2025-795385"/>
        <s v="ORD-2025-947929"/>
        <s v="ORD-2024-787018"/>
        <s v="ORD-2023-728177"/>
        <s v="ORD-2024-508213"/>
        <s v="ORD-2025-496178"/>
        <s v="ORD-2025-306251"/>
        <s v="ORD-2024-356812"/>
        <s v="ORD-2023-704111"/>
        <s v="ORD-2023-539967"/>
        <s v="ORD-2023-191563"/>
        <s v="ORD-2024-202166"/>
        <s v="ORD-2023-581799"/>
        <s v="ORD-2023-880296"/>
        <s v="ORD-2024-257550"/>
        <s v="ORD-2025-417942"/>
        <s v="ORD-2023-172095"/>
        <s v="ORD-2024-851993"/>
        <s v="ORD-2023-109927"/>
        <s v="ORD-2023-780206"/>
        <s v="ORD-2024-566589"/>
        <s v="ORD-2024-886939"/>
        <s v="ORD-2025-473192"/>
        <s v="ORD-2023-580751"/>
        <s v="ORD-2024-510520"/>
        <s v="ORD-2023-769774"/>
        <s v="ORD-2024-745424"/>
        <s v="ORD-2024-446030"/>
        <s v="ORD-2023-842820"/>
        <s v="ORD-2023-184577"/>
        <s v="ORD-2023-156396"/>
        <s v="ORD-2023-808024"/>
        <s v="ORD-2023-752962"/>
        <s v="ORD-2024-972318"/>
        <s v="ORD-2023-378104"/>
        <s v="ORD-2023-659070"/>
        <s v="ORD-2024-837651"/>
        <s v="ORD-2024-581530"/>
        <s v="ORD-2024-651852"/>
        <s v="ORD-2024-381197"/>
        <s v="ORD-2024-811752"/>
        <s v="ORD-2025-673091"/>
        <s v="ORD-2024-993481"/>
        <s v="ORD-2025-803803"/>
        <s v="ORD-2024-515105"/>
        <s v="ORD-2024-468655"/>
        <s v="ORD-2025-831576"/>
        <s v="ORD-2025-276968"/>
        <s v="ORD-2025-650841"/>
        <s v="ORD-2023-623293"/>
        <s v="ORD-2024-749242"/>
        <s v="ORD-2025-411385"/>
        <s v="ORD-2025-222035"/>
        <s v="ORD-2024-655710"/>
        <s v="ORD-2023-987081"/>
        <s v="ORD-2023-732585"/>
        <s v="ORD-2024-465898"/>
        <s v="ORD-2024-375848"/>
        <s v="ORD-2023-933238"/>
        <s v="ORD-2024-542244"/>
        <s v="ORD-2023-674887"/>
        <s v="ORD-2025-512310"/>
        <s v="ORD-2025-881624"/>
        <s v="ORD-2024-390951"/>
        <s v="ORD-2024-678110"/>
        <s v="ORD-2025-909340"/>
        <s v="ORD-2023-854471"/>
        <s v="ORD-2024-170021"/>
        <s v="ORD-2024-626750"/>
        <s v="ORD-2024-972999"/>
        <s v="ORD-2025-608069"/>
        <s v="ORD-2024-102866"/>
        <s v="ORD-2025-588029"/>
        <s v="ORD-2023-927385"/>
        <s v="ORD-2025-486350"/>
        <s v="ORD-2025-677880"/>
        <s v="ORD-2024-251426"/>
        <s v="ORD-2023-368449"/>
        <s v="ORD-2024-307849"/>
        <s v="ORD-2025-485946"/>
        <s v="ORD-2023-835226"/>
        <s v="ORD-2024-527858"/>
        <s v="ORD-2023-619385"/>
        <s v="ORD-2024-398783"/>
        <s v="ORD-2023-676553"/>
        <s v="ORD-2025-866565"/>
        <s v="ORD-2025-789245"/>
        <s v="ORD-2023-594955"/>
        <s v="ORD-2025-192876"/>
        <s v="ORD-2025-822030"/>
        <s v="ORD-2025-915869"/>
        <s v="ORD-2025-636162"/>
        <s v="ORD-2023-281890"/>
        <s v="ORD-2025-188059"/>
        <s v="ORD-2024-868223"/>
        <s v="ORD-2024-690270"/>
        <s v="ORD-2023-855675"/>
        <s v="ORD-2023-545150"/>
        <s v="ORD-2025-269934"/>
        <s v="ORD-2023-813340"/>
        <s v="ORD-2025-306903"/>
        <s v="ORD-2023-132101"/>
        <s v="ORD-2025-624006"/>
        <s v="ORD-2024-819778"/>
        <s v="ORD-2025-125517"/>
        <s v="ORD-2024-343877"/>
        <s v="ORD-2023-386663"/>
        <s v="ORD-2023-159821"/>
        <s v="ORD-2025-591006"/>
        <s v="ORD-2024-704056"/>
        <s v="ORD-2024-961756"/>
        <s v="ORD-2024-892173"/>
        <s v="ORD-2024-921935"/>
        <s v="ORD-2025-949776"/>
        <s v="ORD-2024-510591"/>
        <s v="ORD-2024-225829"/>
        <s v="ORD-2023-479747"/>
        <s v="ORD-2024-915495"/>
        <s v="ORD-2023-212701"/>
        <s v="ORD-2023-735274"/>
        <s v="ORD-2025-480172"/>
        <s v="ORD-2023-208944"/>
        <s v="ORD-2023-898009"/>
        <s v="ORD-2024-901115"/>
        <s v="ORD-2023-573146"/>
        <s v="ORD-2024-892908"/>
        <s v="ORD-2024-647473"/>
        <s v="ORD-2023-766015"/>
        <s v="ORD-2024-333192"/>
        <s v="ORD-2023-261081"/>
        <s v="ORD-2023-825084"/>
        <s v="ORD-2023-660608"/>
        <s v="ORD-2024-129345"/>
        <s v="ORD-2024-571797"/>
        <s v="ORD-2024-332076"/>
        <s v="ORD-2025-323492"/>
        <s v="ORD-2023-181257"/>
        <s v="ORD-2023-944052"/>
        <s v="ORD-2025-737787"/>
        <s v="ORD-2025-653781"/>
        <s v="ORD-2023-163610"/>
        <s v="ORD-2023-536542"/>
        <s v="ORD-2025-779530"/>
        <s v="ORD-2024-153053"/>
        <s v="ORD-2023-144816"/>
        <s v="ORD-2024-500890"/>
        <s v="ORD-2024-206121"/>
        <s v="ORD-2023-888245"/>
        <s v="ORD-2024-719055"/>
        <s v="ORD-2024-819979"/>
        <s v="ORD-2023-619570"/>
        <s v="ORD-2025-861401"/>
        <s v="ORD-2023-835010"/>
        <s v="ORD-2023-363031"/>
        <s v="ORD-2025-231184"/>
        <s v="ORD-2024-427031"/>
        <s v="ORD-2024-925626"/>
        <s v="ORD-2024-165942"/>
        <s v="ORD-2024-403664"/>
        <s v="ORD-2023-890605"/>
        <s v="ORD-2023-884192"/>
        <s v="ORD-2025-364852"/>
        <s v="ORD-2025-415018"/>
        <s v="ORD-2025-944081"/>
        <s v="ORD-2024-878493"/>
        <s v="ORD-2025-138578"/>
        <s v="ORD-2025-278048"/>
        <s v="ORD-2023-594700"/>
        <s v="ORD-2023-166668"/>
        <s v="ORD-2025-191328"/>
        <s v="ORD-2024-207096"/>
        <s v="ORD-2025-939953"/>
        <s v="ORD-2023-602648"/>
        <s v="ORD-2024-792137"/>
        <s v="ORD-2025-398335"/>
        <s v="ORD-2025-487025"/>
        <s v="ORD-2023-375011"/>
        <s v="ORD-2025-752845"/>
        <s v="ORD-2023-667815"/>
        <s v="ORD-2025-922513"/>
        <s v="ORD-2024-277241"/>
        <s v="ORD-2023-369150"/>
        <s v="ORD-2024-862371"/>
        <s v="ORD-2025-541048"/>
        <s v="ORD-2025-983096"/>
        <s v="ORD-2024-366010"/>
        <s v="ORD-2023-610470"/>
        <s v="ORD-2025-685236"/>
        <s v="ORD-2023-274037"/>
        <s v="ORD-2023-715175"/>
        <s v="ORD-2024-580808"/>
        <s v="ORD-2023-211715"/>
        <s v="ORD-2025-678328"/>
        <s v="ORD-2024-948800"/>
        <s v="ORD-2024-499009"/>
        <s v="ORD-2024-834983"/>
        <s v="ORD-2024-745822"/>
        <s v="ORD-2023-369160"/>
        <s v="ORD-2025-484073"/>
        <s v="ORD-2023-253245"/>
        <s v="ORD-2024-885858"/>
        <s v="ORD-2023-967239"/>
        <s v="ORD-2023-632893"/>
        <s v="ORD-2024-500511"/>
        <s v="ORD-2025-898022"/>
        <s v="ORD-2025-440093"/>
        <s v="ORD-2023-630430"/>
        <s v="ORD-2025-908258"/>
        <s v="ORD-2023-521280"/>
        <s v="ORD-2023-638181"/>
        <s v="ORD-2023-888140"/>
        <s v="ORD-2025-184754"/>
        <s v="ORD-2023-474313"/>
        <s v="ORD-2023-256951"/>
        <s v="ORD-2024-855600"/>
        <s v="ORD-2024-350100"/>
        <s v="ORD-2024-220234"/>
        <s v="ORD-2024-301260"/>
        <s v="ORD-2023-276806"/>
        <s v="ORD-2024-664046"/>
        <s v="ORD-2025-248586"/>
        <s v="ORD-2024-320972"/>
        <s v="ORD-2024-544865"/>
        <s v="ORD-2025-946490"/>
        <s v="ORD-2024-853298"/>
        <s v="ORD-2024-866535"/>
        <s v="ORD-2023-747341"/>
        <s v="ORD-2025-509940"/>
        <s v="ORD-2025-646342"/>
        <s v="ORD-2023-964434"/>
        <s v="ORD-2024-897622"/>
        <s v="ORD-2023-517216"/>
        <s v="ORD-2025-132174"/>
        <s v="ORD-2024-805860"/>
        <s v="ORD-2024-281211"/>
        <s v="ORD-2023-946143"/>
        <s v="ORD-2024-569164"/>
        <s v="ORD-2024-423853"/>
        <s v="ORD-2025-757957"/>
        <s v="ORD-2023-603650"/>
        <s v="ORD-2023-949710"/>
        <s v="ORD-2025-289139"/>
        <s v="ORD-2023-302041"/>
        <s v="ORD-2023-290237"/>
        <s v="ORD-2023-195665"/>
        <s v="ORD-2023-501220"/>
        <s v="ORD-2025-678688"/>
        <s v="ORD-2023-713375"/>
        <s v="ORD-2023-271918"/>
        <s v="ORD-2025-762212"/>
        <s v="ORD-2024-777623"/>
        <s v="ORD-2024-720756"/>
        <s v="ORD-2023-431328"/>
        <s v="ORD-2023-613317"/>
        <s v="ORD-2024-197852"/>
        <s v="ORD-2025-564184"/>
        <s v="ORD-2023-653343"/>
        <s v="ORD-2024-988736"/>
        <s v="ORD-2025-586799"/>
        <s v="ORD-2024-686712"/>
        <s v="ORD-2025-629393"/>
        <s v="ORD-2025-146850"/>
        <s v="ORD-2024-687100"/>
        <s v="ORD-2023-390998"/>
        <s v="ORD-2023-920483"/>
        <s v="ORD-2025-964661"/>
        <s v="ORD-2023-586275"/>
        <s v="ORD-2023-133848"/>
        <s v="ORD-2024-999607"/>
        <s v="ORD-2023-382017"/>
        <s v="ORD-2023-701153"/>
        <s v="ORD-2023-575584"/>
        <s v="ORD-2024-968374"/>
        <s v="ORD-2024-668926"/>
        <s v="ORD-2024-444710"/>
        <s v="ORD-2023-177794"/>
        <s v="ORD-2023-925146"/>
        <s v="ORD-2024-760799"/>
        <s v="ORD-2023-197661"/>
        <s v="ORD-2024-212990"/>
        <s v="ORD-2024-503082"/>
        <s v="ORD-2023-825836"/>
        <s v="ORD-2025-542939"/>
        <s v="ORD-2023-399631"/>
        <s v="ORD-2023-334213"/>
        <s v="ORD-2024-640340"/>
        <s v="ORD-2025-898843"/>
        <s v="ORD-2024-237478"/>
        <s v="ORD-2025-667201"/>
        <s v="ORD-2023-987700"/>
        <s v="ORD-2025-652467"/>
        <s v="ORD-2024-960952"/>
        <s v="ORD-2023-664749"/>
        <s v="ORD-2025-845715"/>
        <s v="ORD-2024-970848"/>
        <s v="ORD-2024-605629"/>
        <s v="ORD-2023-450877"/>
        <s v="ORD-2023-286994"/>
        <s v="ORD-2025-700847"/>
        <s v="ORD-2024-942981"/>
        <s v="ORD-2023-304451"/>
        <s v="ORD-2024-329104"/>
        <s v="ORD-2023-157993"/>
        <s v="ORD-2023-884625"/>
        <s v="ORD-2024-134084"/>
        <s v="ORD-2023-240507"/>
        <s v="ORD-2024-219735"/>
        <s v="ORD-2024-357368"/>
        <s v="ORD-2023-848013"/>
        <s v="ORD-2025-418232"/>
        <s v="ORD-2024-553449"/>
        <s v="ORD-2025-766923"/>
        <s v="ORD-2024-136321"/>
        <s v="ORD-2024-764468"/>
        <s v="ORD-2023-842488"/>
        <s v="ORD-2024-201376"/>
        <s v="ORD-2023-596758"/>
        <s v="ORD-2023-497686"/>
        <s v="ORD-2024-438404"/>
        <s v="ORD-2025-246470"/>
        <s v="ORD-2023-192324"/>
        <s v="ORD-2024-211453"/>
        <s v="ORD-2025-244832"/>
        <s v="ORD-2023-825495"/>
        <s v="ORD-2023-912395"/>
        <s v="ORD-2024-389102"/>
        <s v="ORD-2023-309373"/>
        <s v="ORD-2024-902741"/>
        <s v="ORD-2023-906481"/>
        <s v="ORD-2024-232632"/>
        <s v="ORD-2024-783321"/>
        <s v="ORD-2023-613287"/>
        <s v="ORD-2024-836421"/>
        <s v="ORD-2023-867285"/>
        <s v="ORD-2024-164288"/>
        <s v="ORD-2025-354346"/>
        <s v="ORD-2025-501927"/>
        <s v="ORD-2023-430904"/>
        <s v="ORD-2023-521818"/>
        <s v="ORD-2025-650719"/>
        <s v="ORD-2025-537785"/>
        <s v="ORD-2024-605518"/>
        <s v="ORD-2024-584090"/>
        <s v="ORD-2023-883066"/>
        <s v="ORD-2023-603238"/>
        <s v="ORD-2023-178249"/>
        <s v="ORD-2024-588972"/>
        <s v="ORD-2025-184082"/>
        <s v="ORD-2023-576840"/>
        <s v="ORD-2025-956101"/>
        <s v="ORD-2024-474999"/>
        <s v="ORD-2023-427304"/>
        <s v="ORD-2025-698069"/>
        <s v="ORD-2023-869884"/>
        <s v="ORD-2025-649239"/>
        <s v="ORD-2023-975863"/>
        <s v="ORD-2024-919471"/>
        <s v="ORD-2024-223618"/>
        <s v="ORD-2024-166150"/>
        <s v="ORD-2024-909942"/>
        <s v="ORD-2024-792558"/>
        <s v="ORD-2024-286833"/>
        <s v="ORD-2023-251563"/>
        <s v="ORD-2024-155337"/>
        <s v="ORD-2024-771210"/>
        <s v="ORD-2025-662997"/>
        <s v="ORD-2024-478165"/>
        <s v="ORD-2025-328504"/>
        <s v="ORD-2024-851883"/>
        <s v="ORD-2025-541501"/>
        <s v="ORD-2023-422918"/>
        <s v="ORD-2024-638884"/>
        <s v="ORD-2025-262491"/>
        <s v="ORD-2024-997336"/>
        <s v="ORD-2025-725646"/>
        <s v="ORD-2023-868734"/>
        <s v="ORD-2025-526752"/>
        <s v="ORD-2023-374486"/>
        <s v="ORD-2025-626047"/>
        <s v="ORD-2023-258768"/>
        <s v="ORD-2024-604471"/>
        <s v="ORD-2025-863978"/>
        <s v="ORD-2023-841426"/>
        <s v="ORD-2024-594592"/>
        <s v="ORD-2025-330203"/>
        <s v="ORD-2025-114382"/>
        <s v="ORD-2025-488349"/>
        <s v="ORD-2023-159379"/>
        <s v="ORD-2023-343322"/>
        <s v="ORD-2024-192263"/>
        <s v="ORD-2023-290279"/>
        <s v="ORD-2023-722117"/>
        <s v="ORD-2024-446699"/>
        <s v="ORD-2024-451005"/>
        <s v="ORD-2023-382272"/>
        <s v="ORD-2024-800947"/>
        <s v="ORD-2024-287210"/>
        <s v="ORD-2025-640677"/>
        <s v="ORD-2024-939873"/>
        <s v="ORD-2023-809913"/>
        <s v="ORD-2023-749324"/>
        <s v="ORD-2023-239789"/>
        <s v="ORD-2023-548874"/>
        <s v="ORD-2024-347736"/>
        <s v="ORD-2023-480975"/>
        <s v="ORD-2025-526650"/>
        <s v="ORD-2024-247979"/>
        <s v="ORD-2025-779574"/>
        <s v="ORD-2025-762301"/>
        <s v="ORD-2024-906395"/>
        <s v="ORD-2025-639542"/>
        <s v="ORD-2024-289089"/>
        <s v="ORD-2025-578007"/>
        <s v="ORD-2023-235230"/>
        <s v="ORD-2025-765220"/>
        <s v="ORD-2025-931538"/>
        <s v="ORD-2023-419187"/>
        <s v="ORD-2024-260775"/>
        <s v="ORD-2023-292714"/>
        <s v="ORD-2024-468501"/>
        <s v="ORD-2024-548345"/>
        <s v="ORD-2024-966651"/>
        <s v="ORD-2023-128295"/>
        <s v="ORD-2024-389336"/>
        <s v="ORD-2023-308124"/>
        <s v="ORD-2025-820255"/>
        <s v="ORD-2024-998320"/>
        <s v="ORD-2024-296582"/>
        <s v="ORD-2024-635626"/>
        <s v="ORD-2023-651638"/>
        <s v="ORD-2024-599522"/>
        <s v="ORD-2025-718992"/>
        <s v="ORD-2023-864121"/>
        <s v="ORD-2024-692673"/>
        <s v="ORD-2024-167215"/>
        <s v="ORD-2024-629525"/>
        <s v="ORD-2023-562894"/>
        <s v="ORD-2025-474710"/>
        <s v="ORD-2024-170313"/>
        <s v="ORD-2025-548982"/>
        <s v="ORD-2024-855073"/>
        <s v="ORD-2023-897079"/>
        <s v="ORD-2024-788105"/>
        <s v="ORD-2023-271836"/>
        <s v="ORD-2024-215294"/>
        <s v="ORD-2024-500109"/>
        <s v="ORD-2025-580047"/>
        <s v="ORD-2023-867836"/>
        <s v="ORD-2024-798002"/>
        <s v="ORD-2025-745263"/>
        <s v="ORD-2025-233883"/>
        <s v="ORD-2025-843974"/>
        <s v="ORD-2024-206081"/>
        <s v="ORD-2025-840976"/>
        <s v="ORD-2023-937291"/>
        <s v="ORD-2025-487261"/>
        <s v="ORD-2024-890180"/>
        <s v="ORD-2025-515515"/>
        <s v="ORD-2024-210687"/>
        <s v="ORD-2024-589570"/>
        <s v="ORD-2025-997421"/>
        <s v="ORD-2024-336584"/>
        <s v="ORD-2023-112666"/>
        <s v="ORD-2023-723587"/>
        <s v="ORD-2023-824839"/>
        <s v="ORD-2023-373538"/>
        <s v="ORD-2025-168148"/>
        <s v="ORD-2024-275203"/>
        <s v="ORD-2024-358795"/>
      </sharedItems>
    </cacheField>
    <cacheField name="OrderDate(mm-yy)" numFmtId="17">
      <sharedItems containsSemiMixedTypes="0" containsNonDate="0" containsDate="1" containsString="0" minDate="2023-01-02T00:00:00" maxDate="2025-09-16T00:00:00" count="468">
        <d v="2023-01-02T00:00:00"/>
        <d v="2023-01-07T00:00:00"/>
        <d v="2023-01-10T00:00:00"/>
        <d v="2023-01-12T00:00:00"/>
        <d v="2023-01-13T00:00:00"/>
        <d v="2023-01-15T00:00:00"/>
        <d v="2023-01-19T00:00:00"/>
        <d v="2023-01-20T00:00:00"/>
        <d v="2023-01-22T00:00:00"/>
        <d v="2023-01-26T00:00:00"/>
        <d v="2023-01-27T00:00:00"/>
        <d v="2023-01-29T00:00:00"/>
        <d v="2023-01-30T00:00:00"/>
        <d v="2023-02-05T00:00:00"/>
        <d v="2023-02-07T00:00:00"/>
        <d v="2023-02-08T00:00:00"/>
        <d v="2023-02-11T00:00:00"/>
        <d v="2023-02-15T00:00:00"/>
        <d v="2023-02-19T00:00:00"/>
        <d v="2023-02-20T00:00:00"/>
        <d v="2023-02-21T00:00:00"/>
        <d v="2023-02-23T00:00:00"/>
        <d v="2023-02-24T00:00:00"/>
        <d v="2023-02-27T00:00:00"/>
        <d v="2023-02-28T00:00:00"/>
        <d v="2023-03-02T00:00:00"/>
        <d v="2023-03-03T00:00:00"/>
        <d v="2023-03-04T00:00:00"/>
        <d v="2023-03-06T00:00:00"/>
        <d v="2023-03-07T00:00:00"/>
        <d v="2023-03-13T00:00:00"/>
        <d v="2023-03-14T00:00:00"/>
        <d v="2023-03-17T00:00:00"/>
        <d v="2023-03-19T00:00:00"/>
        <d v="2023-03-23T00:00:00"/>
        <d v="2023-03-25T00:00:00"/>
        <d v="2023-03-27T00:00:00"/>
        <d v="2023-03-31T00:00:00"/>
        <d v="2023-04-03T00:00:00"/>
        <d v="2023-04-05T00:00:00"/>
        <d v="2023-04-06T00:00:00"/>
        <d v="2023-04-10T00:00:00"/>
        <d v="2023-04-12T00:00:00"/>
        <d v="2023-04-13T00:00:00"/>
        <d v="2023-04-14T00:00:00"/>
        <d v="2023-04-16T00:00:00"/>
        <d v="2023-04-18T00:00:00"/>
        <d v="2023-04-19T00:00:00"/>
        <d v="2023-04-21T00:00:00"/>
        <d v="2023-04-22T00:00:00"/>
        <d v="2023-04-23T00:00:00"/>
        <d v="2023-04-26T00:00:00"/>
        <d v="2023-05-01T00:00:00"/>
        <d v="2023-05-02T00:00:00"/>
        <d v="2023-05-03T00:00:00"/>
        <d v="2023-05-04T00:00:00"/>
        <d v="2023-05-06T00:00:00"/>
        <d v="2023-05-07T00:00:00"/>
        <d v="2023-05-10T00:00:00"/>
        <d v="2023-05-11T00:00:00"/>
        <d v="2023-05-14T00:00:00"/>
        <d v="2023-05-17T00:00:00"/>
        <d v="2023-05-20T00:00:00"/>
        <d v="2023-05-23T00:00:00"/>
        <d v="2023-05-24T00:00:00"/>
        <d v="2023-05-27T00:00:00"/>
        <d v="2023-05-29T00:00:00"/>
        <d v="2023-06-01T00:00:00"/>
        <d v="2023-06-03T00:00:00"/>
        <d v="2023-06-05T00:00:00"/>
        <d v="2023-06-09T00:00:00"/>
        <d v="2023-06-10T00:00:00"/>
        <d v="2023-06-13T00:00:00"/>
        <d v="2023-06-14T00:00:00"/>
        <d v="2023-06-15T00:00:00"/>
        <d v="2023-06-17T00:00:00"/>
        <d v="2023-06-20T00:00:00"/>
        <d v="2023-06-22T00:00:00"/>
        <d v="2023-06-23T00:00:00"/>
        <d v="2023-06-24T00:00:00"/>
        <d v="2023-06-29T00:00:00"/>
        <d v="2023-07-01T00:00:00"/>
        <d v="2023-07-02T00:00:00"/>
        <d v="2023-07-03T00:00:00"/>
        <d v="2023-07-05T00:00:00"/>
        <d v="2023-07-07T00:00:00"/>
        <d v="2023-07-08T00:00:00"/>
        <d v="2023-07-09T00:00:00"/>
        <d v="2023-07-10T00:00:00"/>
        <d v="2023-07-14T00:00:00"/>
        <d v="2023-07-16T00:00:00"/>
        <d v="2023-07-18T00:00:00"/>
        <d v="2023-07-19T00:00:00"/>
        <d v="2023-07-22T00:00:00"/>
        <d v="2023-07-24T00:00:00"/>
        <d v="2023-07-25T00:00:00"/>
        <d v="2023-07-26T00:00:00"/>
        <d v="2023-07-30T00:00:00"/>
        <d v="2023-08-02T00:00:00"/>
        <d v="2023-08-03T00:00:00"/>
        <d v="2023-08-04T00:00:00"/>
        <d v="2023-08-08T00:00:00"/>
        <d v="2023-08-10T00:00:00"/>
        <d v="2023-08-12T00:00:00"/>
        <d v="2023-08-15T00:00:00"/>
        <d v="2023-08-17T00:00:00"/>
        <d v="2023-08-19T00:00:00"/>
        <d v="2023-08-21T00:00:00"/>
        <d v="2023-08-23T00:00:00"/>
        <d v="2023-08-24T00:00:00"/>
        <d v="2023-08-25T00:00:00"/>
        <d v="2023-08-26T00:00:00"/>
        <d v="2023-08-27T00:00:00"/>
        <d v="2023-08-29T00:00:00"/>
        <d v="2023-08-30T00:00:00"/>
        <d v="2023-09-08T00:00:00"/>
        <d v="2023-09-14T00:00:00"/>
        <d v="2023-09-17T00:00:00"/>
        <d v="2023-09-18T00:00:00"/>
        <d v="2023-09-19T00:00:00"/>
        <d v="2023-09-20T00:00:00"/>
        <d v="2023-09-21T00:00:00"/>
        <d v="2023-09-25T00:00:00"/>
        <d v="2023-09-30T00:00:00"/>
        <d v="2023-10-04T00:00:00"/>
        <d v="2023-10-05T00:00:00"/>
        <d v="2023-10-07T00:00:00"/>
        <d v="2023-10-09T00:00:00"/>
        <d v="2023-10-11T00:00:00"/>
        <d v="2023-10-12T00:00:00"/>
        <d v="2023-10-15T00:00:00"/>
        <d v="2023-10-18T00:00:00"/>
        <d v="2023-10-21T00:00:00"/>
        <d v="2023-10-22T00:00:00"/>
        <d v="2023-10-25T00:00:00"/>
        <d v="2023-10-26T00:00:00"/>
        <d v="2023-10-30T00:00:00"/>
        <d v="2023-10-31T00:00:00"/>
        <d v="2023-11-10T00:00:00"/>
        <d v="2023-11-14T00:00:00"/>
        <d v="2023-11-15T00:00:00"/>
        <d v="2023-11-19T00:00:00"/>
        <d v="2023-11-20T00:00:00"/>
        <d v="2023-11-28T00:00:00"/>
        <d v="2023-11-30T00:00:00"/>
        <d v="2023-12-01T00:00:00"/>
        <d v="2023-12-02T00:00:00"/>
        <d v="2023-12-03T00:00:00"/>
        <d v="2023-12-05T00:00:00"/>
        <d v="2023-12-06T00:00:00"/>
        <d v="2023-12-07T00:00:00"/>
        <d v="2023-12-16T00:00:00"/>
        <d v="2023-12-18T00:00:00"/>
        <d v="2023-12-19T00:00:00"/>
        <d v="2023-12-20T00:00:00"/>
        <d v="2023-12-21T00:00:00"/>
        <d v="2023-12-22T00:00:00"/>
        <d v="2023-12-24T00:00:00"/>
        <d v="2023-12-26T00:00:00"/>
        <d v="2023-12-28T00:00:00"/>
        <d v="2023-12-29T00:00:00"/>
        <d v="2023-12-30T00:00:00"/>
        <d v="2024-01-01T00:00:00"/>
        <d v="2024-01-02T00:00:00"/>
        <d v="2024-01-08T00:00:00"/>
        <d v="2024-01-10T00:00:00"/>
        <d v="2024-01-11T00:00:00"/>
        <d v="2024-01-12T00:00:00"/>
        <d v="2024-01-13T00:00:00"/>
        <d v="2024-01-16T00:00:00"/>
        <d v="2024-01-18T00:00:00"/>
        <d v="2024-01-20T00:00:00"/>
        <d v="2024-01-21T00:00:00"/>
        <d v="2024-01-24T00:00:00"/>
        <d v="2024-01-25T00:00:00"/>
        <d v="2024-01-28T00:00:00"/>
        <d v="2024-02-01T00:00:00"/>
        <d v="2024-02-03T00:00:00"/>
        <d v="2024-02-06T00:00:00"/>
        <d v="2024-02-08T00:00:00"/>
        <d v="2024-02-11T00:00:00"/>
        <d v="2024-02-14T00:00:00"/>
        <d v="2024-02-16T00:00:00"/>
        <d v="2024-02-17T00:00:00"/>
        <d v="2024-02-18T00:00:00"/>
        <d v="2024-02-19T00:00:00"/>
        <d v="2024-02-20T00:00:00"/>
        <d v="2024-02-25T00:00:00"/>
        <d v="2024-02-27T00:00:00"/>
        <d v="2024-02-29T00:00:00"/>
        <d v="2024-03-01T00:00:00"/>
        <d v="2024-03-02T00:00:00"/>
        <d v="2024-03-03T00:00:00"/>
        <d v="2024-03-04T00:00:00"/>
        <d v="2024-03-06T00:00:00"/>
        <d v="2024-03-07T00:00:00"/>
        <d v="2024-03-09T00:00:00"/>
        <d v="2024-03-10T00:00:00"/>
        <d v="2024-03-11T00:00:00"/>
        <d v="2024-03-13T00:00:00"/>
        <d v="2024-03-15T00:00:00"/>
        <d v="2024-03-16T00:00:00"/>
        <d v="2024-03-18T00:00:00"/>
        <d v="2024-03-23T00:00:00"/>
        <d v="2024-03-26T00:00:00"/>
        <d v="2024-03-27T00:00:00"/>
        <d v="2024-03-30T00:00:00"/>
        <d v="2024-03-31T00:00:00"/>
        <d v="2024-04-03T00:00:00"/>
        <d v="2024-04-04T00:00:00"/>
        <d v="2024-04-05T00:00:00"/>
        <d v="2024-04-06T00:00:00"/>
        <d v="2024-04-09T00:00:00"/>
        <d v="2024-04-12T00:00:00"/>
        <d v="2024-04-16T00:00:00"/>
        <d v="2024-04-18T00:00:00"/>
        <d v="2024-04-19T00:00:00"/>
        <d v="2024-04-21T00:00:00"/>
        <d v="2024-04-24T00:00:00"/>
        <d v="2024-04-26T00:00:00"/>
        <d v="2024-04-29T00:00:00"/>
        <d v="2024-05-01T00:00:00"/>
        <d v="2024-05-04T00:00:00"/>
        <d v="2024-05-05T00:00:00"/>
        <d v="2024-05-07T00:00:00"/>
        <d v="2024-05-10T00:00:00"/>
        <d v="2024-05-12T00:00:00"/>
        <d v="2024-05-14T00:00:00"/>
        <d v="2024-05-17T00:00:00"/>
        <d v="2024-05-18T00:00:00"/>
        <d v="2024-05-19T00:00:00"/>
        <d v="2024-05-20T00:00:00"/>
        <d v="2024-05-21T00:00:00"/>
        <d v="2024-05-22T00:00:00"/>
        <d v="2024-05-23T00:00:00"/>
        <d v="2024-05-27T00:00:00"/>
        <d v="2024-05-28T00:00:00"/>
        <d v="2024-05-30T00:00:00"/>
        <d v="2024-06-02T00:00:00"/>
        <d v="2024-06-03T00:00:00"/>
        <d v="2024-06-04T00:00:00"/>
        <d v="2024-06-05T00:00:00"/>
        <d v="2024-06-06T00:00:00"/>
        <d v="2024-06-07T00:00:00"/>
        <d v="2024-06-08T00:00:00"/>
        <d v="2024-06-09T00:00:00"/>
        <d v="2024-06-10T00:00:00"/>
        <d v="2024-06-11T00:00:00"/>
        <d v="2024-06-15T00:00:00"/>
        <d v="2024-06-16T00:00:00"/>
        <d v="2024-06-19T00:00:00"/>
        <d v="2024-06-23T00:00:00"/>
        <d v="2024-06-25T00:00:00"/>
        <d v="2024-06-29T00:00:00"/>
        <d v="2024-06-30T00:00:00"/>
        <d v="2024-07-09T00:00:00"/>
        <d v="2024-07-11T00:00:00"/>
        <d v="2024-07-13T00:00:00"/>
        <d v="2024-07-15T00:00:00"/>
        <d v="2024-07-18T00:00:00"/>
        <d v="2024-07-19T00:00:00"/>
        <d v="2024-07-24T00:00:00"/>
        <d v="2024-07-25T00:00:00"/>
        <d v="2024-07-28T00:00:00"/>
        <d v="2024-07-29T00:00:00"/>
        <d v="2024-07-31T00:00:00"/>
        <d v="2024-08-03T00:00:00"/>
        <d v="2024-08-04T00:00:00"/>
        <d v="2024-08-07T00:00:00"/>
        <d v="2024-08-08T00:00:00"/>
        <d v="2024-08-10T00:00:00"/>
        <d v="2024-08-12T00:00:00"/>
        <d v="2024-08-14T00:00:00"/>
        <d v="2024-08-16T00:00:00"/>
        <d v="2024-08-17T00:00:00"/>
        <d v="2024-08-18T00:00:00"/>
        <d v="2024-08-19T00:00:00"/>
        <d v="2024-08-22T00:00:00"/>
        <d v="2024-08-23T00:00:00"/>
        <d v="2024-08-27T00:00:00"/>
        <d v="2024-08-28T00:00:00"/>
        <d v="2024-08-30T00:00:00"/>
        <d v="2024-08-31T00:00:00"/>
        <d v="2024-09-02T00:00:00"/>
        <d v="2024-09-03T00:00:00"/>
        <d v="2024-09-05T00:00:00"/>
        <d v="2024-09-06T00:00:00"/>
        <d v="2024-09-07T00:00:00"/>
        <d v="2024-09-09T00:00:00"/>
        <d v="2024-09-10T00:00:00"/>
        <d v="2024-09-13T00:00:00"/>
        <d v="2024-09-14T00:00:00"/>
        <d v="2024-09-19T00:00:00"/>
        <d v="2024-09-22T00:00:00"/>
        <d v="2024-09-23T00:00:00"/>
        <d v="2024-09-25T00:00:00"/>
        <d v="2024-10-02T00:00:00"/>
        <d v="2024-10-03T00:00:00"/>
        <d v="2024-10-04T00:00:00"/>
        <d v="2024-10-08T00:00:00"/>
        <d v="2024-10-09T00:00:00"/>
        <d v="2024-10-10T00:00:00"/>
        <d v="2024-10-11T00:00:00"/>
        <d v="2024-10-13T00:00:00"/>
        <d v="2024-10-14T00:00:00"/>
        <d v="2024-10-16T00:00:00"/>
        <d v="2024-10-17T00:00:00"/>
        <d v="2024-10-19T00:00:00"/>
        <d v="2024-10-22T00:00:00"/>
        <d v="2024-10-23T00:00:00"/>
        <d v="2024-10-24T00:00:00"/>
        <d v="2024-10-25T00:00:00"/>
        <d v="2024-10-27T00:00:00"/>
        <d v="2024-10-29T00:00:00"/>
        <d v="2024-10-30T00:00:00"/>
        <d v="2024-11-01T00:00:00"/>
        <d v="2024-11-02T00:00:00"/>
        <d v="2024-11-04T00:00:00"/>
        <d v="2024-11-05T00:00:00"/>
        <d v="2024-11-06T00:00:00"/>
        <d v="2024-11-07T00:00:00"/>
        <d v="2024-11-08T00:00:00"/>
        <d v="2024-11-11T00:00:00"/>
        <d v="2024-11-12T00:00:00"/>
        <d v="2024-11-17T00:00:00"/>
        <d v="2024-11-20T00:00:00"/>
        <d v="2024-11-21T00:00:00"/>
        <d v="2024-11-22T00:00:00"/>
        <d v="2024-11-25T00:00:00"/>
        <d v="2024-11-27T00:00:00"/>
        <d v="2024-11-30T00:00:00"/>
        <d v="2024-12-04T00:00:00"/>
        <d v="2024-12-05T00:00:00"/>
        <d v="2024-12-07T00:00:00"/>
        <d v="2024-12-08T00:00:00"/>
        <d v="2024-12-10T00:00:00"/>
        <d v="2024-12-12T00:00:00"/>
        <d v="2024-12-14T00:00:00"/>
        <d v="2024-12-15T00:00:00"/>
        <d v="2024-12-17T00:00:00"/>
        <d v="2024-12-20T00:00:00"/>
        <d v="2024-12-21T00:00:00"/>
        <d v="2024-12-23T00:00:00"/>
        <d v="2024-12-24T00:00:00"/>
        <d v="2024-12-27T00:00:00"/>
        <d v="2024-12-28T00:00:00"/>
        <d v="2024-12-29T00:00:00"/>
        <d v="2025-01-03T00:00:00"/>
        <d v="2025-01-04T00:00:00"/>
        <d v="2025-01-07T00:00:00"/>
        <d v="2025-01-09T00:00:00"/>
        <d v="2025-01-10T00:00:00"/>
        <d v="2025-01-11T00:00:00"/>
        <d v="2025-01-13T00:00:00"/>
        <d v="2025-01-17T00:00:00"/>
        <d v="2025-01-20T00:00:00"/>
        <d v="2025-01-21T00:00:00"/>
        <d v="2025-01-22T00:00:00"/>
        <d v="2025-01-27T00:00:00"/>
        <d v="2025-01-29T00:00:00"/>
        <d v="2025-01-31T00:00:00"/>
        <d v="2025-02-02T00:00:00"/>
        <d v="2025-02-04T00:00:00"/>
        <d v="2025-02-06T00:00:00"/>
        <d v="2025-02-07T00:00:00"/>
        <d v="2025-02-09T00:00:00"/>
        <d v="2025-02-12T00:00:00"/>
        <d v="2025-02-15T00:00:00"/>
        <d v="2025-02-16T00:00:00"/>
        <d v="2025-02-17T00:00:00"/>
        <d v="2025-02-19T00:00:00"/>
        <d v="2025-02-21T00:00:00"/>
        <d v="2025-02-25T00:00:00"/>
        <d v="2025-02-28T00:00:00"/>
        <d v="2025-03-03T00:00:00"/>
        <d v="2025-03-06T00:00:00"/>
        <d v="2025-03-08T00:00:00"/>
        <d v="2025-03-10T00:00:00"/>
        <d v="2025-03-11T00:00:00"/>
        <d v="2025-03-14T00:00:00"/>
        <d v="2025-03-15T00:00:00"/>
        <d v="2025-03-21T00:00:00"/>
        <d v="2025-03-23T00:00:00"/>
        <d v="2025-03-24T00:00:00"/>
        <d v="2025-03-25T00:00:00"/>
        <d v="2025-03-29T00:00:00"/>
        <d v="2025-03-30T00:00:00"/>
        <d v="2025-03-31T00:00:00"/>
        <d v="2025-04-01T00:00:00"/>
        <d v="2025-04-04T00:00:00"/>
        <d v="2025-04-06T00:00:00"/>
        <d v="2025-04-07T00:00:00"/>
        <d v="2025-04-09T00:00:00"/>
        <d v="2025-04-10T00:00:00"/>
        <d v="2025-04-11T00:00:00"/>
        <d v="2025-04-12T00:00:00"/>
        <d v="2025-04-13T00:00:00"/>
        <d v="2025-04-14T00:00:00"/>
        <d v="2025-04-16T00:00:00"/>
        <d v="2025-04-17T00:00:00"/>
        <d v="2025-04-22T00:00:00"/>
        <d v="2025-04-23T00:00:00"/>
        <d v="2025-04-24T00:00:00"/>
        <d v="2025-04-27T00:00:00"/>
        <d v="2025-04-28T00:00:00"/>
        <d v="2025-05-02T00:00:00"/>
        <d v="2025-05-07T00:00:00"/>
        <d v="2025-05-10T00:00:00"/>
        <d v="2025-05-12T00:00:00"/>
        <d v="2025-05-14T00:00:00"/>
        <d v="2025-05-15T00:00:00"/>
        <d v="2025-05-16T00:00:00"/>
        <d v="2025-05-17T00:00:00"/>
        <d v="2025-05-18T00:00:00"/>
        <d v="2025-05-19T00:00:00"/>
        <d v="2025-05-21T00:00:00"/>
        <d v="2025-05-27T00:00:00"/>
        <d v="2025-05-29T00:00:00"/>
        <d v="2025-06-01T00:00:00"/>
        <d v="2025-06-03T00:00:00"/>
        <d v="2025-06-05T00:00:00"/>
        <d v="2025-06-09T00:00:00"/>
        <d v="2025-06-14T00:00:00"/>
        <d v="2025-06-15T00:00:00"/>
        <d v="2025-06-17T00:00:00"/>
        <d v="2025-06-19T00:00:00"/>
        <d v="2025-06-21T00:00:00"/>
        <d v="2025-06-22T00:00:00"/>
        <d v="2025-06-24T00:00:00"/>
        <d v="2025-06-25T00:00:00"/>
        <d v="2025-06-26T00:00:00"/>
        <d v="2025-06-27T00:00:00"/>
        <d v="2025-07-03T00:00:00"/>
        <d v="2025-07-09T00:00:00"/>
        <d v="2025-07-11T00:00:00"/>
        <d v="2025-07-14T00:00:00"/>
        <d v="2025-07-16T00:00:00"/>
        <d v="2025-07-17T00:00:00"/>
        <d v="2025-07-19T00:00:00"/>
        <d v="2025-07-20T00:00:00"/>
        <d v="2025-07-21T00:00:00"/>
        <d v="2025-07-22T00:00:00"/>
        <d v="2025-07-23T00:00:00"/>
        <d v="2025-07-24T00:00:00"/>
        <d v="2025-07-27T00:00:00"/>
        <d v="2025-08-01T00:00:00"/>
        <d v="2025-08-02T00:00:00"/>
        <d v="2025-08-03T00:00:00"/>
        <d v="2025-08-05T00:00:00"/>
        <d v="2025-08-06T00:00:00"/>
        <d v="2025-08-07T00:00:00"/>
        <d v="2025-08-10T00:00:00"/>
        <d v="2025-08-11T00:00:00"/>
        <d v="2025-08-13T00:00:00"/>
        <d v="2025-08-14T00:00:00"/>
        <d v="2025-08-20T00:00:00"/>
        <d v="2025-08-21T00:00:00"/>
        <d v="2025-08-25T00:00:00"/>
        <d v="2025-08-28T00:00:00"/>
        <d v="2025-08-30T00:00:00"/>
        <d v="2025-09-01T00:00:00"/>
        <d v="2025-09-02T00:00:00"/>
        <d v="2025-09-08T00:00:00"/>
        <d v="2025-09-10T00:00:00"/>
        <d v="2025-09-11T00:00:00"/>
        <d v="2025-09-12T00:00:00"/>
        <d v="2025-09-14T00:00:00"/>
        <d v="2025-09-15T00:00:00"/>
      </sharedItems>
      <fieldGroup par="29"/>
    </cacheField>
    <cacheField name="OrderDate" numFmtId="14">
      <sharedItems containsSemiMixedTypes="0" containsNonDate="0" containsDate="1" containsString="0" minDate="2023-01-02T00:00:00" maxDate="2025-09-16T00:00:00"/>
    </cacheField>
    <cacheField name="Corrected.Required date" numFmtId="14">
      <sharedItems containsSemiMixedTypes="0" containsNonDate="0" containsDate="1" containsString="0" minDate="2023-01-05T00:00:00" maxDate="2025-10-06T00:00:00"/>
    </cacheField>
    <cacheField name="RequiredDate" numFmtId="14">
      <sharedItems containsSemiMixedTypes="0" containsNonDate="0" containsDate="1" containsString="0" minDate="2023-01-05T00:00:00" maxDate="2025-10-06T00:00:00"/>
    </cacheField>
    <cacheField name="Leadtime days" numFmtId="1">
      <sharedItems containsSemiMixedTypes="0" containsString="0" containsNumber="1" containsInteger="1" minValue="-2" maxValue="30"/>
    </cacheField>
    <cacheField name="Region" numFmtId="49">
      <sharedItems count="4">
        <s v="Asia"/>
        <s v="Europe"/>
        <s v="Americas"/>
        <s v="Africa"/>
      </sharedItems>
    </cacheField>
    <cacheField name="Country" numFmtId="49">
      <sharedItems count="12">
        <s v="Japan"/>
        <s v="Germany"/>
        <s v="Canada"/>
        <s v="China"/>
        <s v="India"/>
        <s v="Kenya"/>
        <s v="Brazil"/>
        <s v="United Kingdom"/>
        <s v="France"/>
        <s v="Nigeria"/>
        <s v="USA"/>
        <s v="South Africa"/>
      </sharedItems>
    </cacheField>
    <cacheField name="City" numFmtId="49">
      <sharedItems count="39">
        <s v="Osaka"/>
        <s v="Nagoya"/>
        <s v="Frankfurt"/>
        <s v="Vancouver"/>
        <s v="Shanghai"/>
        <s v="Hyderabad"/>
        <s v="Delhi"/>
        <s v="Nairobi"/>
        <s v="Rio de Janeiro"/>
        <s v="Nakuru"/>
        <s v="London"/>
        <s v="Paris"/>
        <s v="Manchester"/>
        <s v="Port Harcourt"/>
        <s v="Tokyo"/>
        <s v="Kisumu"/>
        <s v="Chicago"/>
        <s v="Austin"/>
        <s v="Cape Town"/>
        <s v="Johannesburg"/>
        <s v="Mombasa"/>
        <s v="Toronto"/>
        <s v="Marseille"/>
        <s v="San Francisco"/>
        <s v="Lyon"/>
        <s v="Abuja"/>
        <s v="São Paulo"/>
        <s v="New York"/>
        <s v="Brasília"/>
        <s v="Montreal"/>
        <s v="Mumbai"/>
        <s v="Bengaluru"/>
        <s v="Munich"/>
        <s v="Berlin"/>
        <s v="Durban"/>
        <s v="Shenzhen"/>
        <s v="Lagos"/>
        <s v="Beijing"/>
        <s v="Birmingham"/>
      </sharedItems>
    </cacheField>
    <cacheField name="CustomerSegment" numFmtId="49">
      <sharedItems/>
    </cacheField>
    <cacheField name="Channel" numFmtId="49">
      <sharedItems/>
    </cacheField>
    <cacheField name="Salesperson" numFmtId="49">
      <sharedItems/>
    </cacheField>
    <cacheField name="ProductCategory" numFmtId="49">
      <sharedItems/>
    </cacheField>
    <cacheField name="SKU" numFmtId="49">
      <sharedItems/>
    </cacheField>
    <cacheField name="UnitCost" numFmtId="164">
      <sharedItems containsSemiMixedTypes="0" containsString="0" containsNumber="1" minValue="5.34" maxValue="1495.79"/>
    </cacheField>
    <cacheField name="Price bands" numFmtId="164">
      <sharedItems/>
    </cacheField>
    <cacheField name="Corrected unit Price" numFmtId="164">
      <sharedItems containsSemiMixedTypes="0" containsString="0" containsNumber="1" minValue="4.22" maxValue="3661.07" count="630">
        <n v="45.98"/>
        <n v="1853.86"/>
        <n v="2397.3000000000002"/>
        <n v="1435.54"/>
        <n v="545.72"/>
        <n v="978.09"/>
        <n v="2636.6"/>
        <n v="2296.25"/>
        <n v="1558.89"/>
        <n v="861.16"/>
        <n v="413.34"/>
        <n v="411.48"/>
        <n v="1086.68"/>
        <n v="1010.75"/>
        <n v="33.659999999999997"/>
        <n v="902.47"/>
        <n v="1897.74"/>
        <n v="2789.61"/>
        <n v="3230.35"/>
        <n v="1028.46"/>
        <n v="1595.52"/>
        <n v="1431.37"/>
        <n v="124.25"/>
        <n v="1404.33"/>
        <n v="3589.89"/>
        <n v="233.51"/>
        <n v="668.27"/>
        <n v="962.51"/>
        <n v="1802.44"/>
        <n v="1269.78"/>
        <n v="571.9"/>
        <n v="2755.04"/>
        <n v="275.07"/>
        <n v="1355.94"/>
        <n v="724.7"/>
        <n v="1698.75"/>
        <n v="1787.2"/>
        <n v="699.5"/>
        <n v="2331.48"/>
        <n v="1417.24"/>
        <n v="947.77"/>
        <n v="601.49"/>
        <n v="2200.41"/>
        <n v="3062.01"/>
        <n v="1731.75"/>
        <n v="1125.99"/>
        <n v="123.62"/>
        <n v="1112.81"/>
        <n v="2307.75"/>
        <n v="2066.6"/>
        <n v="86.2"/>
        <n v="486.13"/>
        <n v="327.72"/>
        <n v="868.62"/>
        <n v="347.9"/>
        <n v="1111.8800000000001"/>
        <n v="901.48"/>
        <n v="113.08"/>
        <n v="47.29"/>
        <n v="754.24"/>
        <n v="997.2"/>
        <n v="1543.76"/>
        <n v="2115.19"/>
        <n v="1837.19"/>
        <n v="2858.93"/>
        <n v="289.92"/>
        <n v="727.22"/>
        <n v="1233.79"/>
        <n v="1645.48"/>
        <n v="1841.9"/>
        <n v="527.64"/>
        <n v="602.34"/>
        <n v="1978.91"/>
        <n v="1481.45"/>
        <n v="1658.92"/>
        <n v="2580.5700000000002"/>
        <n v="1447.68"/>
        <n v="2949.62"/>
        <n v="956.7"/>
        <n v="2383.41"/>
        <n v="213.06"/>
        <n v="2030.64"/>
        <n v="1251.21"/>
        <n v="1104.8"/>
        <n v="1054.29"/>
        <n v="2451.2199999999998"/>
        <n v="1712.03"/>
        <n v="839.04"/>
        <n v="1139.1500000000001"/>
        <n v="366.7"/>
        <n v="2797.41"/>
        <n v="2209.66"/>
        <n v="1424.74"/>
        <n v="2318.7399999999998"/>
        <n v="2657.84"/>
        <n v="656.66"/>
        <n v="1559.19"/>
        <n v="1276.67"/>
        <n v="2821.36"/>
        <n v="67.040000000000006"/>
        <n v="140.82"/>
        <n v="1069.77"/>
        <n v="3342.11"/>
        <n v="1594.78"/>
        <n v="1425.87"/>
        <n v="826.47"/>
        <n v="118.17"/>
        <n v="1938.33"/>
        <n v="3101.11"/>
        <n v="979.42"/>
        <n v="1186.26"/>
        <n v="1503.96"/>
        <n v="1625.42"/>
        <n v="299.94"/>
        <n v="987.24"/>
        <n v="975.43"/>
        <n v="141.43"/>
        <n v="3028.05"/>
        <n v="333.48"/>
        <n v="1784.7"/>
        <n v="1072.29"/>
        <n v="833.69"/>
        <n v="1860.41"/>
        <n v="434.72"/>
        <n v="2606.11"/>
        <n v="1624.67"/>
        <n v="970.27"/>
        <n v="1217.43"/>
        <n v="1667.82"/>
        <n v="1921.51"/>
        <n v="891.73"/>
        <n v="1630.39"/>
        <n v="963.73"/>
        <n v="1145.9000000000001"/>
        <n v="976.17"/>
        <n v="754.22"/>
        <n v="2981.01"/>
        <n v="651.55999999999995"/>
        <n v="12.69"/>
        <n v="666.41"/>
        <n v="744.27"/>
        <n v="309.47000000000003"/>
        <n v="2077.5"/>
        <n v="172.88"/>
        <n v="2778.74"/>
        <n v="602.91999999999996"/>
        <n v="290.33"/>
        <n v="1921.65"/>
        <n v="492.18"/>
        <n v="94.78"/>
        <n v="2777.35"/>
        <n v="2738.69"/>
        <n v="360.34"/>
        <n v="2545.81"/>
        <n v="699.47"/>
        <n v="221.58"/>
        <n v="1290.29"/>
        <n v="1344.05"/>
        <n v="1588.53"/>
        <n v="1383.6"/>
        <n v="1843.51"/>
        <n v="1002.11"/>
        <n v="913.78"/>
        <n v="2193.13"/>
        <n v="2187.8000000000002"/>
        <n v="2665.91"/>
        <n v="587.95000000000005"/>
        <n v="608.36"/>
        <n v="165.7"/>
        <n v="956.49"/>
        <n v="62.82"/>
        <n v="206.88"/>
        <n v="1870.89"/>
        <n v="757.59"/>
        <n v="415.96"/>
        <n v="2074.34"/>
        <n v="495.19"/>
        <n v="1568.83"/>
        <n v="2125.44"/>
        <n v="712.75"/>
        <n v="2101.5500000000002"/>
        <n v="1045"/>
        <n v="2132.19"/>
        <n v="2210.17"/>
        <n v="314.87"/>
        <n v="1319.04"/>
        <n v="194.62"/>
        <n v="1031.6400000000001"/>
        <n v="3398.37"/>
        <n v="2210.94"/>
        <n v="571.89"/>
        <n v="485.86"/>
        <n v="1224.72"/>
        <n v="1229.3399999999999"/>
        <n v="284.23"/>
        <n v="908.3"/>
        <n v="190.84"/>
        <n v="2764.65"/>
        <n v="278.35000000000002"/>
        <n v="984.36"/>
        <n v="1330.85"/>
        <n v="2077.69"/>
        <n v="1590.36"/>
        <n v="395.61"/>
        <n v="1932.42"/>
        <n v="2322.6999999999998"/>
        <n v="3197.47"/>
        <n v="1483.74"/>
        <n v="2884.34"/>
        <n v="1711.16"/>
        <n v="1696.35"/>
        <n v="819.06"/>
        <n v="157.82"/>
        <n v="901.79"/>
        <n v="796.15"/>
        <n v="2717.15"/>
        <n v="3087.13"/>
        <n v="1159.3499999999999"/>
        <n v="2513.5100000000002"/>
        <n v="876.81"/>
        <n v="824.26"/>
        <n v="1972.38"/>
        <n v="529.14"/>
        <n v="1388.31"/>
        <n v="1737.9"/>
        <n v="2050.87"/>
        <n v="1184.71"/>
        <n v="1201.47"/>
        <n v="880.99"/>
        <n v="1118.56"/>
        <n v="1299.02"/>
        <n v="2875.8"/>
        <n v="1641.61"/>
        <n v="3131.37"/>
        <n v="1444.72"/>
        <n v="1680.93"/>
        <n v="2905.06"/>
        <n v="842.09"/>
        <n v="2137.21"/>
        <n v="564.26"/>
        <n v="1480.83"/>
        <n v="42.56"/>
        <n v="972.91"/>
        <n v="594.41999999999996"/>
        <n v="1617.85"/>
        <n v="1278.3"/>
        <n v="899.83"/>
        <n v="878.73"/>
        <n v="1116.5999999999999"/>
        <n v="1455"/>
        <n v="1905.42"/>
        <n v="541.55999999999995"/>
        <n v="1034.6600000000001"/>
        <n v="1620.6"/>
        <n v="2197.23"/>
        <n v="1206.04"/>
        <n v="3472.81"/>
        <n v="250.73"/>
        <n v="731.29"/>
        <n v="1533.95"/>
        <n v="1571.66"/>
        <n v="322.70999999999998"/>
        <n v="3083.8"/>
        <n v="2303.46"/>
        <n v="3024.03"/>
        <n v="1210.04"/>
        <n v="771.12"/>
        <n v="1780.56"/>
        <n v="1118.43"/>
        <n v="400.84"/>
        <n v="1646.43"/>
        <n v="1382.91"/>
        <n v="2201.54"/>
        <n v="814.36"/>
        <n v="128.68"/>
        <n v="1325.96"/>
        <n v="2439.33"/>
        <n v="2120.4"/>
        <n v="1093.3900000000001"/>
        <n v="1454.22"/>
        <n v="462.61"/>
        <n v="2299.3000000000002"/>
        <n v="1982.98"/>
        <n v="147.12"/>
        <n v="2050.31"/>
        <n v="2783.12"/>
        <n v="244.13"/>
        <n v="2015.99"/>
        <n v="1823.04"/>
        <n v="1634.86"/>
        <n v="70.599999999999994"/>
        <n v="1330.07"/>
        <n v="441.74"/>
        <n v="1318.37"/>
        <n v="1374.72"/>
        <n v="2751.84"/>
        <n v="1135.99"/>
        <n v="1154.3399999999999"/>
        <n v="2433.34"/>
        <n v="885.92"/>
        <n v="226.14"/>
        <n v="3154.14"/>
        <n v="952.56"/>
        <n v="619.51"/>
        <n v="1421.55"/>
        <n v="931.84"/>
        <n v="2492.14"/>
        <n v="65.650000000000006"/>
        <n v="3149.13"/>
        <n v="433.88"/>
        <n v="2422.1"/>
        <n v="1178.6199999999999"/>
        <n v="479.54"/>
        <n v="1175.25"/>
        <n v="227.45"/>
        <n v="742.23"/>
        <n v="741.92"/>
        <n v="1493.53"/>
        <n v="824.81"/>
        <n v="772.09"/>
        <n v="3149.21"/>
        <n v="57.53"/>
        <n v="224.95"/>
        <n v="1994.67"/>
        <n v="552.84"/>
        <n v="213.32"/>
        <n v="979.84"/>
        <n v="537.39"/>
        <n v="2071.1"/>
        <n v="1360.12"/>
        <n v="1426.03"/>
        <n v="577.24"/>
        <n v="511.03"/>
        <n v="4.22"/>
        <n v="464.05"/>
        <n v="3294.57"/>
        <n v="1075.3"/>
        <n v="523"/>
        <n v="2105.5300000000002"/>
        <n v="1240.31"/>
        <n v="118.37"/>
        <n v="995.47"/>
        <n v="2569.77"/>
        <n v="1592.02"/>
        <n v="6.28"/>
        <n v="728.69"/>
        <n v="111.29"/>
        <n v="1100.0899999999999"/>
        <n v="1529.14"/>
        <n v="2182.31"/>
        <n v="2726.62"/>
        <n v="2066.75"/>
        <n v="893.19"/>
        <n v="2328.9"/>
        <n v="2247.14"/>
        <n v="1650.75"/>
        <n v="628.54"/>
        <n v="1766.55"/>
        <n v="538.79"/>
        <n v="1436.54"/>
        <n v="334.19"/>
        <n v="907.59"/>
        <n v="496.2"/>
        <n v="2462.77"/>
        <n v="2503.79"/>
        <n v="921.68"/>
        <n v="1996.81"/>
        <n v="99.04"/>
        <n v="2576.65"/>
        <n v="1044.1400000000001"/>
        <n v="2068.21"/>
        <n v="550.07000000000005"/>
        <n v="687.95"/>
        <n v="745.38"/>
        <n v="1667.44"/>
        <n v="2562.5500000000002"/>
        <n v="758.92"/>
        <n v="1814.06"/>
        <n v="912.45"/>
        <n v="815.19"/>
        <n v="1015.7"/>
        <n v="1653.64"/>
        <n v="1009"/>
        <n v="39.74"/>
        <n v="151.88"/>
        <n v="2210.4"/>
        <n v="927.93"/>
        <n v="1793.08"/>
        <n v="122.74"/>
        <n v="606.76"/>
        <n v="1337.69"/>
        <n v="2757.54"/>
        <n v="873.75"/>
        <n v="258.52"/>
        <n v="1765.76"/>
        <n v="1432.8"/>
        <n v="1589.07"/>
        <n v="405.97"/>
        <n v="325.79000000000002"/>
        <n v="932.29"/>
        <n v="48.94"/>
        <n v="918.19"/>
        <n v="1456.81"/>
        <n v="1482.75"/>
        <n v="2698.01"/>
        <n v="2529.15"/>
        <n v="1088.2"/>
        <n v="2941.2"/>
        <n v="496.52"/>
        <n v="228.15"/>
        <n v="1300.58"/>
        <n v="937.46"/>
        <n v="504.76"/>
        <n v="346.96"/>
        <n v="318.17"/>
        <n v="1246.4100000000001"/>
        <n v="776.46"/>
        <n v="1335.02"/>
        <n v="2691.45"/>
        <n v="131.76"/>
        <n v="2366.5100000000002"/>
        <n v="2065.73"/>
        <n v="1805.11"/>
        <n v="188.3"/>
        <n v="2562.84"/>
        <n v="2253.42"/>
        <n v="2446.56"/>
        <n v="1545.34"/>
        <n v="973.04"/>
        <n v="625.04"/>
        <n v="881.57"/>
        <n v="2645.23"/>
        <n v="1465.29"/>
        <n v="852.54"/>
        <n v="1564.76"/>
        <n v="1952.04"/>
        <n v="361.33"/>
        <n v="790.61"/>
        <n v="886.22"/>
        <n v="1242.1500000000001"/>
        <n v="1310.29"/>
        <n v="967.25"/>
        <n v="2273.42"/>
        <n v="1395.53"/>
        <n v="1020.69"/>
        <n v="887.9"/>
        <n v="1382.31"/>
        <n v="1355.61"/>
        <n v="1912.8"/>
        <n v="2206.63"/>
        <n v="5.92"/>
        <n v="501.31"/>
        <n v="411.18"/>
        <n v="30.09"/>
        <n v="1913.76"/>
        <n v="3275"/>
        <n v="249.57"/>
        <n v="1218.92"/>
        <n v="2062.12"/>
        <n v="10.18"/>
        <n v="2281.7199999999998"/>
        <n v="538.04"/>
        <n v="1395.56"/>
        <n v="1848.97"/>
        <n v="391.15"/>
        <n v="2055.2399999999998"/>
        <n v="1511.71"/>
        <n v="301.7"/>
        <n v="1343.64"/>
        <n v="1217.71"/>
        <n v="523.01"/>
        <n v="2552.2199999999998"/>
        <n v="1651.14"/>
        <n v="1982.18"/>
        <n v="527.48"/>
        <n v="1467.17"/>
        <n v="1349.94"/>
        <n v="2145.17"/>
        <n v="845.55"/>
        <n v="1254.95"/>
        <n v="2411.52"/>
        <n v="568.29"/>
        <n v="732.88"/>
        <n v="951.51"/>
        <n v="728.61"/>
        <n v="630.72"/>
        <n v="1643.18"/>
        <n v="998.76"/>
        <n v="921.62"/>
        <n v="2252.2399999999998"/>
        <n v="84.9"/>
        <n v="1856.16"/>
        <n v="393.31"/>
        <n v="1631.04"/>
        <n v="2323.87"/>
        <n v="572.71"/>
        <n v="537.27"/>
        <n v="468.09"/>
        <n v="668.02"/>
        <n v="1004.34"/>
        <n v="1027.73"/>
        <n v="45.19"/>
        <n v="361.1"/>
        <n v="1848.39"/>
        <n v="694.78"/>
        <n v="284.43"/>
        <n v="1679.42"/>
        <n v="1433.9"/>
        <n v="1959.09"/>
        <n v="2742.97"/>
        <n v="88.51"/>
        <n v="3469.7"/>
        <n v="621.02"/>
        <n v="53.45"/>
        <n v="3436.52"/>
        <n v="218.5"/>
        <n v="249.87"/>
        <n v="4.37"/>
        <n v="1795.17"/>
        <n v="356.55"/>
        <n v="1025.05"/>
        <n v="166.04"/>
        <n v="2250.81"/>
        <n v="15.41"/>
        <n v="1394.3"/>
        <n v="2968.87"/>
        <n v="1952.83"/>
        <n v="242.29"/>
        <n v="3104.71"/>
        <n v="334.28"/>
        <n v="419.17"/>
        <n v="2001.17"/>
        <n v="1896.62"/>
        <n v="28.69"/>
        <n v="968.94"/>
        <n v="1088.81"/>
        <n v="2484.9899999999998"/>
        <n v="911.72"/>
        <n v="1405.07"/>
        <n v="1284.3"/>
        <n v="83.57"/>
        <n v="1109.92"/>
        <n v="679.35"/>
        <n v="1285.0899999999999"/>
        <n v="1678.14"/>
        <n v="1808.26"/>
        <n v="388.04"/>
        <n v="44.57"/>
        <n v="2763.95"/>
        <n v="1503.53"/>
        <n v="1997.19"/>
        <n v="703.62"/>
        <n v="1108.43"/>
        <n v="3144.1"/>
        <n v="2095.73"/>
        <n v="1347.92"/>
        <n v="546.42999999999995"/>
        <n v="1269.4000000000001"/>
        <n v="620.92999999999995"/>
        <n v="1455.91"/>
        <n v="1880.15"/>
        <n v="605.23"/>
        <n v="1145.67"/>
        <n v="1234.0999999999999"/>
        <n v="1228.01"/>
        <n v="755.87"/>
        <n v="1244.08"/>
        <n v="1912.51"/>
        <n v="2593.7800000000002"/>
        <n v="1437.06"/>
        <n v="1911.89"/>
        <n v="5.27"/>
        <n v="701.95"/>
        <n v="236.87"/>
        <n v="41.9"/>
        <n v="977.38"/>
        <n v="2794.13"/>
        <n v="385.72"/>
        <n v="106.3"/>
        <n v="1791.37"/>
        <n v="2629.75"/>
        <n v="3524"/>
        <n v="1825.61"/>
        <n v="548.89"/>
        <n v="996.36"/>
        <n v="1397.05"/>
        <n v="1135.43"/>
        <n v="3204.5"/>
        <n v="1759.79"/>
        <n v="1580.97"/>
        <n v="454.42"/>
        <n v="1395.64"/>
        <n v="1735.41"/>
        <n v="199.37"/>
        <n v="927.51"/>
        <n v="3036.87"/>
        <n v="1321.85"/>
        <n v="1794.07"/>
        <n v="2633.02"/>
        <n v="631.78"/>
        <n v="1666.18"/>
        <n v="758.23"/>
        <n v="434.8"/>
        <n v="175.67"/>
        <n v="2089.16"/>
        <n v="2583.02"/>
        <n v="2553.69"/>
        <n v="1242.8399999999999"/>
        <n v="2903.09"/>
        <n v="3661.07"/>
        <n v="2148.14"/>
        <n v="2705.57"/>
        <n v="2375.37"/>
        <n v="1040.0999999999999"/>
        <n v="631.57000000000005"/>
        <n v="850.8"/>
        <n v="548.4"/>
        <n v="1439.01"/>
        <n v="691.37"/>
        <n v="700.12"/>
        <n v="2530.81"/>
        <n v="2309.56"/>
        <n v="845.97"/>
        <n v="47.22"/>
        <n v="591.67999999999995"/>
        <n v="813.51"/>
        <n v="30.66"/>
        <n v="255.94"/>
        <n v="608.9"/>
        <n v="759.33"/>
      </sharedItems>
      <fieldGroup base="16">
        <rangePr autoStart="0" autoEnd="0" startNum="1" endNum="4000" groupInterval="1000"/>
        <groupItems count="6">
          <s v="&lt;1"/>
          <s v="1-1001"/>
          <s v="1001-2001"/>
          <s v="2001-3001"/>
          <s v="3001-4001"/>
          <s v="&gt;4001"/>
        </groupItems>
      </fieldGroup>
    </cacheField>
    <cacheField name="UnitPrice" numFmtId="2">
      <sharedItems containsSemiMixedTypes="0" containsString="0" containsNumber="1" minValue="-33.659999999999997" maxValue="3661.07"/>
    </cacheField>
    <cacheField name="Discount.Pct" numFmtId="10">
      <sharedItems containsSemiMixedTypes="0" containsString="0" containsNumber="1" minValue="0" maxValue="0.56499999999999995"/>
    </cacheField>
    <cacheField name="Quantity" numFmtId="1">
      <sharedItems containsSemiMixedTypes="0" containsString="0" containsNumber="1" containsInteger="1" minValue="2" maxValue="61"/>
    </cacheField>
    <cacheField name="Discount" numFmtId="164">
      <sharedItems containsSemiMixedTypes="0" containsString="0" containsNumber="1" minValue="0" maxValue="1019.0310000000001"/>
    </cacheField>
    <cacheField name="Gross Revenue" numFmtId="164">
      <sharedItems containsSemiMixedTypes="0" containsString="0" containsNumber="1" minValue="18.659839999999999" maxValue="139277.83032000001"/>
    </cacheField>
    <cacheField name="NET Revenue" numFmtId="164">
      <sharedItems containsSemiMixedTypes="0" containsString="0" containsNumber="1" minValue="17.404799999999998" maxValue="138803.53344"/>
    </cacheField>
    <cacheField name="Cost of Goods" numFmtId="164">
      <sharedItems containsSemiMixedTypes="0" containsString="0" containsNumber="1" minValue="22" maxValue="83258.290000000008"/>
    </cacheField>
    <cacheField name="Gross Profit" numFmtId="164">
      <sharedItems containsSemiMixedTypes="0" containsString="0" containsNumber="1" minValue="-68355.013999999996" maxValue="65188.659999999996"/>
    </cacheField>
    <cacheField name="Net Profit" numFmtId="164">
      <sharedItems containsSemiMixedTypes="0" containsString="0" containsNumber="1" minValue="-68355.409249999997" maxValue="65188.659999999996"/>
    </cacheField>
    <cacheField name="Margin %" numFmtId="9">
      <sharedItems containsSemiMixedTypes="0" containsString="0" containsNumber="1" minValue="3.9777641778865769E-3" maxValue="2.479699396259341"/>
    </cacheField>
    <cacheField name="Months (OrderDate(mm-yy))" numFmtId="0" databaseField="0">
      <fieldGroup base="1">
        <rangePr groupBy="months" startDate="2023-01-02T00:00:00" endDate="2025-09-16T00:00:00"/>
        <groupItems count="14">
          <s v="&lt;02/01/2023"/>
          <s v="Jan"/>
          <s v="Feb"/>
          <s v="Mar"/>
          <s v="Apr"/>
          <s v="May"/>
          <s v="Jun"/>
          <s v="Jul"/>
          <s v="Aug"/>
          <s v="Sept"/>
          <s v="Oct"/>
          <s v="Nov"/>
          <s v="Dec"/>
          <s v="&gt;16/09/2025"/>
        </groupItems>
      </fieldGroup>
    </cacheField>
    <cacheField name="Quarters (OrderDate(mm-yy))" numFmtId="0" databaseField="0">
      <fieldGroup base="1">
        <rangePr groupBy="quarters" startDate="2023-01-02T00:00:00" endDate="2025-09-16T00:00:00"/>
        <groupItems count="6">
          <s v="&lt;02/01/2023"/>
          <s v="Qtr1"/>
          <s v="Qtr2"/>
          <s v="Qtr3"/>
          <s v="Qtr4"/>
          <s v="&gt;16/09/2025"/>
        </groupItems>
      </fieldGroup>
    </cacheField>
    <cacheField name="Years (OrderDate(mm-yy))" numFmtId="0" databaseField="0">
      <fieldGroup base="1">
        <rangePr groupBy="years" startDate="2023-01-02T00:00:00" endDate="2025-09-16T00:00:00"/>
        <groupItems count="5">
          <s v="&lt;02/01/2023"/>
          <s v="2023"/>
          <s v="2024"/>
          <s v="2025"/>
          <s v="&gt;16/09/2025"/>
        </groupItems>
      </fieldGroup>
    </cacheField>
  </cacheFields>
  <extLst>
    <ext xmlns:x14="http://schemas.microsoft.com/office/spreadsheetml/2009/9/main" uri="{725AE2AE-9491-48be-B2B4-4EB974FC3084}">
      <x14:pivotCacheDefinition pivotCacheId="10718630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3.732278240743" createdVersion="8" refreshedVersion="8" minRefreshableVersion="3" recordCount="633" xr:uid="{597F7AB1-3EE6-482A-AB37-19BCF19560F8}">
  <cacheSource type="worksheet">
    <worksheetSource ref="A1:AF633" sheet="staging data"/>
  </cacheSource>
  <cacheFields count="30">
    <cacheField name="OrderID" numFmtId="49">
      <sharedItems containsBlank="1"/>
    </cacheField>
    <cacheField name="Order date in months" numFmtId="17">
      <sharedItems containsNonDate="0" containsDate="1" containsString="0" containsBlank="1" minDate="2023-01-02T00:00:00" maxDate="2025-09-16T00:00:00"/>
    </cacheField>
    <cacheField name="Quarters" numFmtId="17">
      <sharedItems containsBlank="1" count="5">
        <s v="q1"/>
        <s v="q2"/>
        <s v="q3"/>
        <s v="q4"/>
        <m/>
      </sharedItems>
    </cacheField>
    <cacheField name="Year" numFmtId="17">
      <sharedItems containsBlank="1" count="4">
        <s v="2025"/>
        <s v="2023"/>
        <s v="2024"/>
        <m/>
      </sharedItems>
    </cacheField>
    <cacheField name="Month" numFmtId="17">
      <sharedItems containsBlank="1" count="13">
        <s v="Feb"/>
        <s v="Nov"/>
        <s v="Dec"/>
        <s v="Jun"/>
        <s v="Aug"/>
        <s v="Jul"/>
        <s v="Apr"/>
        <s v="Sept"/>
        <s v="Oct"/>
        <s v="Mar"/>
        <s v="Jan"/>
        <s v="May"/>
        <m/>
      </sharedItems>
    </cacheField>
    <cacheField name="OrderDate" numFmtId="14">
      <sharedItems containsNonDate="0" containsDate="1" containsString="0" containsBlank="1" minDate="2023-01-02T00:00:00" maxDate="2025-09-16T00:00:00"/>
    </cacheField>
    <cacheField name="Corrected.Required date" numFmtId="14">
      <sharedItems containsNonDate="0" containsDate="1" containsString="0" containsBlank="1" minDate="2023-01-05T00:00:00" maxDate="2025-10-06T00:00:00"/>
    </cacheField>
    <cacheField name="RequiredDate" numFmtId="14">
      <sharedItems containsNonDate="0" containsDate="1" containsString="0" containsBlank="1" minDate="2023-01-05T00:00:00" maxDate="2025-10-06T00:00:00"/>
    </cacheField>
    <cacheField name="Leadtime days" numFmtId="1">
      <sharedItems containsString="0" containsBlank="1" containsNumber="1" containsInteger="1" minValue="-2" maxValue="30"/>
    </cacheField>
    <cacheField name="Region" numFmtId="49">
      <sharedItems containsBlank="1" count="5">
        <s v="Asia"/>
        <s v="Europe"/>
        <s v="Americas"/>
        <s v="Africa"/>
        <m/>
      </sharedItems>
    </cacheField>
    <cacheField name="Country" numFmtId="49">
      <sharedItems containsBlank="1" count="13">
        <s v="Japan"/>
        <s v="Germany"/>
        <s v="Canada"/>
        <s v="China"/>
        <s v="India"/>
        <s v="Kenya"/>
        <s v="Brazil"/>
        <s v="United Kingdom"/>
        <s v="France"/>
        <s v="Nigeria"/>
        <s v="USA"/>
        <s v="South Africa"/>
        <m/>
      </sharedItems>
    </cacheField>
    <cacheField name="City" numFmtId="49">
      <sharedItems containsBlank="1"/>
    </cacheField>
    <cacheField name="CustomerSegment" numFmtId="49">
      <sharedItems containsBlank="1"/>
    </cacheField>
    <cacheField name="Channel" numFmtId="49">
      <sharedItems containsBlank="1" count="6">
        <s v="Distributor"/>
        <s v="Retail"/>
        <s v="Online"/>
        <s v="Direct"/>
        <s v="Marketplace"/>
        <m/>
      </sharedItems>
    </cacheField>
    <cacheField name="Salesperson" numFmtId="49">
      <sharedItems containsBlank="1" count="17">
        <s v="N. Brown"/>
        <s v="L. Okafor"/>
        <s v="E. Garcia"/>
        <s v="A. Patel"/>
        <s v="C. Otieno"/>
        <s v="J. Njeri"/>
        <s v="O. Wang"/>
        <s v="I. Johnson"/>
        <s v="K. Singh"/>
        <s v="F. Müller"/>
        <s v="D. Smith"/>
        <s v="B. Chen"/>
        <s v="G. Dubois"/>
        <s v="M. Rossi"/>
        <s v="H. Kim"/>
        <s v="H.Kim"/>
        <m/>
      </sharedItems>
    </cacheField>
    <cacheField name="ProductCategory" numFmtId="49">
      <sharedItems containsBlank="1" count="8">
        <s v="Laptops"/>
        <s v="Phones"/>
        <s v="Components"/>
        <s v="Monitors"/>
        <s v="Networking"/>
        <s v="Accessories"/>
        <s v="Printers"/>
        <m/>
      </sharedItems>
    </cacheField>
    <cacheField name="SKU" numFmtId="49">
      <sharedItems containsBlank="1" count="631">
        <s v="LAP-3017"/>
        <s v="PHN-9184"/>
        <s v="CMP-1940"/>
        <s v="PHN-4677"/>
        <s v="MON-3773"/>
        <s v="CMP-1555"/>
        <s v="NET-2460"/>
        <s v="NET-4735"/>
        <s v="NET-4675"/>
        <s v="ACC-1028"/>
        <s v="NET-8610"/>
        <s v="ACC-4766"/>
        <s v="PRN-5753"/>
        <s v="CMP-5006"/>
        <s v="MON-4215"/>
        <s v="NET-8856"/>
        <s v="PRN-5264"/>
        <s v="NET-5423"/>
        <s v="NET-5987"/>
        <s v="MON-8129"/>
        <s v="PRN-4906"/>
        <s v="PRN-9249"/>
        <s v="CMP-1470"/>
        <s v="ACC-7713"/>
        <s v="PHN-7379"/>
        <s v="PRN-5569"/>
        <s v="LAP-4932"/>
        <s v="PRN-5067"/>
        <s v="LAP-8633"/>
        <s v="PRN-9793"/>
        <s v="NET-6218"/>
        <s v="PRN-6131"/>
        <s v="MON-2849"/>
        <s v="PRN-9867"/>
        <s v="PRN-4787"/>
        <s v="CMP-5065"/>
        <s v="LAP-6577"/>
        <s v="ACC-7906"/>
        <s v="NET-1282"/>
        <s v="MON-1564"/>
        <s v="CMP-5311"/>
        <s v="ACC-4815"/>
        <s v="ACC-1604"/>
        <s v="PHN-9677"/>
        <s v="CMP-9001"/>
        <s v="PHN-4566"/>
        <s v="PHN-5366"/>
        <s v="LAP-1969"/>
        <s v="LAP-4483"/>
        <s v="CMP-1223"/>
        <s v="MON-7207"/>
        <s v="PHN-7636"/>
        <s v="NET-2932"/>
        <s v="NET-3785"/>
        <s v="NET-3689"/>
        <s v="ACC-3833"/>
        <s v="MON-6065"/>
        <s v="CMP-4945"/>
        <s v="PHN-4395"/>
        <s v="LAP-3581"/>
        <s v="ACC-4587"/>
        <s v="CMP-5911"/>
        <s v="LAP-7523"/>
        <s v="MON-1118"/>
        <s v="NET-9177"/>
        <s v="CMP-6495"/>
        <s v="NET-2502"/>
        <s v="LAP-5689"/>
        <s v="MON-6053"/>
        <s v="PHN-1919"/>
        <s v="CMP-9498"/>
        <s v="PRN-6585"/>
        <s v="PRN-2407"/>
        <s v="MON-7099"/>
        <s v="ACC-7354"/>
        <s v="ACC-9283"/>
        <s v="ACC-5144"/>
        <s v="PHN-6111"/>
        <s v="ACC-5150"/>
        <s v="NET-4491"/>
        <s v="MON-4317"/>
        <s v="NET-7349"/>
        <s v="PRN-9624"/>
        <s v="MON-6287"/>
        <s v="MON-8422"/>
        <s v="ACC-3415"/>
        <s v="NET-5196"/>
        <s v="ACC-8242"/>
        <s v="LAP-4666"/>
        <s v="NET-8787"/>
        <s v="LAP-1989"/>
        <s v="MON-8688"/>
        <s v="ACC-9445"/>
        <s v="PRN-1654"/>
        <s v="LAP-5763"/>
        <s v="NET-6533"/>
        <s v="LAP-7353"/>
        <s v="PHN-8072"/>
        <s v="LAP-1308"/>
        <s v="MON-9216"/>
        <s v="PHN-3007"/>
        <s v="NET-9569"/>
        <s v="PRN-4732"/>
        <s v="LAP-1739"/>
        <s v="PRN-1641"/>
        <s v="PRN-2641"/>
        <s v="PRN-1882"/>
        <s v="CMP-2410"/>
        <s v="LAP-6499"/>
        <s v="ACC-3721"/>
        <s v="MON-6190"/>
        <s v="CMP-5825"/>
        <s v="NET-4228"/>
        <s v="CMP-5633"/>
        <s v="LAP-3905"/>
        <s v="PRN-1786"/>
        <s v="ACC-3349"/>
        <s v="CMP-1156"/>
        <s v="CMP-3223"/>
        <s v="CMP-8127"/>
        <s v="PHN-1924"/>
        <s v="MON-2465"/>
        <s v="LAP-5078"/>
        <s v="LAP-3565"/>
        <s v="NET-3728"/>
        <s v="PHN-8776"/>
        <s v="CMP-6529"/>
        <s v="NET-6269"/>
        <s v="PRN-1060"/>
        <s v="NET-8329"/>
        <s v="PHN-9107"/>
        <s v="MON-9274"/>
        <s v="MON-4830"/>
        <s v="ACC-2867"/>
        <s v="NET-1145"/>
        <s v="MON-8867"/>
        <s v="NET-1228"/>
        <s v="ACC-7240"/>
        <s v="PHN-7852"/>
        <s v="CMP-5435"/>
        <s v="ACC-1596"/>
        <s v="ACC-2990"/>
        <s v="PRN-1371"/>
        <s v="PRN-5813"/>
        <s v="PHN-6480"/>
        <s v="PHN-5938"/>
        <s v="CMP-2335"/>
        <s v="NET-2894"/>
        <s v="PHN-2462"/>
        <s v="PRN-3917"/>
        <s v="LAP-3220"/>
        <s v="NET-1893"/>
        <s v="CMP-8675"/>
        <s v="LAP-1178"/>
        <s v="ACC-1731"/>
        <s v="LAP-1066"/>
        <s v="PRN-1271"/>
        <s v="PHN-9465"/>
        <s v="MON-2462"/>
        <s v="CMP-1220"/>
        <s v="PRN-7079"/>
        <s v="PRN-3159"/>
        <s v="PRN-9488"/>
        <s v="NET-6014"/>
        <s v="CMP-4159"/>
        <s v="CMP-3938"/>
        <s v="ACC-7671"/>
        <s v="CMP-5658"/>
        <s v="NET-5270"/>
        <s v="PRN-6911"/>
        <s v="ACC-5206"/>
        <s v="CMP-6649"/>
        <s v="CMP-3313"/>
        <s v="MON-5086"/>
        <s v="LAP-4899"/>
        <s v="ACC-8620"/>
        <s v="PHN-6506"/>
        <s v="MON-6882"/>
        <s v="CMP-6811"/>
        <s v="PHN-5675"/>
        <s v="ACC-3645"/>
        <s v="PHN-2436"/>
        <s v="PRN-2301"/>
        <s v="MON-5386"/>
        <s v="MON-7106"/>
        <s v="LAP-1946"/>
        <s v="PRN-8008"/>
        <s v="PRN-4892"/>
        <s v="PRN-9557"/>
        <s v="ACC-1375"/>
        <s v="PRN-1923"/>
        <s v="PHN-4346"/>
        <s v="NET-2499"/>
        <s v="ACC-6594"/>
        <s v="CMP-8604"/>
        <s v="NET-9832"/>
        <s v="PHN-8891"/>
        <s v="NET-7998"/>
        <s v="LAP-8825"/>
        <s v="MON-8697"/>
        <s v="MON-4789"/>
        <s v="PRN-2409"/>
        <s v="PHN-5683"/>
        <s v="PHN-3077"/>
        <s v="MON-3350"/>
        <s v="LAP-7553"/>
        <s v="LAP-8469"/>
        <s v="PRN-6308"/>
        <s v="PHN-2859"/>
        <s v="LAP-8910"/>
        <s v="PHN-8478"/>
        <s v="PHN-1044"/>
        <s v="MON-4195"/>
        <s v="PRN-5815"/>
        <s v="ACC-1075"/>
        <s v="ACC-2902"/>
        <s v="PRN-9975"/>
        <s v="NET-6578"/>
        <s v="PHN-8483"/>
        <s v="PHN-3971"/>
        <s v="LAP-7009"/>
        <s v="PRN-1725"/>
        <s v="ACC-9644"/>
        <s v="LAP-8119"/>
        <s v="PHN-5887"/>
        <s v="PRN-9378"/>
        <s v="MON-2073"/>
        <s v="CMP-2015"/>
        <s v="LAP-9901"/>
        <s v="CMP-8658"/>
        <s v="PRN-5591"/>
        <s v="NET-3432"/>
        <s v="CMP-6898"/>
        <s v="MON-3504"/>
        <s v="MON-9662"/>
        <s v="LAP-8347"/>
        <s v="PHN-3398"/>
        <s v="CMP-8545"/>
        <s v="ACC-1249"/>
        <s v="CMP-2096"/>
        <s v="PRN-1183"/>
        <s v="MON-5891"/>
        <s v="LAP-7320"/>
        <s v="PRN-8850"/>
        <s v="LAP-9100"/>
        <s v="NET-3828"/>
        <s v="MON-7622"/>
        <s v="LAP-2806"/>
        <s v="NET-1336"/>
        <s v="PRN-5876"/>
        <s v="NET-5482"/>
        <s v="CMP-5820"/>
        <s v="NET-7901"/>
        <s v="CMP-2574"/>
        <s v="NET-3535"/>
        <s v="PHN-4915"/>
        <s v="PHN-7974"/>
        <s v="PRN-8657"/>
        <s v="LAP-2942"/>
        <s v="PHN-2036"/>
        <s v="MON-4373"/>
        <s v="PRN-3775"/>
        <s v="LAP-6750"/>
        <s v="CMP-3259"/>
        <s v="PHN-6866"/>
        <s v="CMP-7055"/>
        <s v="PRN-3690"/>
        <s v="LAP-3904"/>
        <s v="MON-5749"/>
        <s v="PHN-5383"/>
        <s v="ACC-7838"/>
        <s v="PRN-6660"/>
        <s v="NET-3850"/>
        <s v="ACC-7047"/>
        <s v="PRN-9960"/>
        <s v="ACC-3103"/>
        <s v="PRN-9490"/>
        <s v="NET-8957"/>
        <s v="MON-4278"/>
        <s v="ACC-5334"/>
        <s v="PRN-7410"/>
        <s v="LAP-1990"/>
        <s v="CMP-4792"/>
        <s v="PHN-1670"/>
        <s v="ACC-6626"/>
        <s v="LAP-3604"/>
        <s v="NET-9575"/>
        <s v="PHN-1717"/>
        <s v="PRN-4893"/>
        <s v="ACC-1238"/>
        <s v="NET-1816"/>
        <s v="MON-1018"/>
        <s v="ACC-8178"/>
        <s v="PRN-5384"/>
        <s v="PHN-7815"/>
        <s v="PRN-1086"/>
        <s v="PHN-3854"/>
        <s v="ACC-1060"/>
        <s v="ACC-3068"/>
        <s v="NET-9003"/>
        <s v="PHN-6307"/>
        <s v="LAP-9024"/>
        <s v="MON-2993"/>
        <s v="CMP-5138"/>
        <s v="PHN-2337"/>
        <s v="ACC-2364"/>
        <s v="CMP-3093"/>
        <s v="CMP-9801"/>
        <s v="NET-5195"/>
        <s v="NET-4554"/>
        <s v="PHN-9399"/>
        <s v="ACC-2988"/>
        <s v="PHN-6131"/>
        <s v="NET-4104"/>
        <s v="MON-9319"/>
        <s v="CMP-4093"/>
        <s v="MON-1389"/>
        <s v="PRN-2293"/>
        <s v="ACC-2903"/>
        <s v="LAP-4551"/>
        <s v="MON-6310"/>
        <s v="NET-1166"/>
        <s v="PRN-2991"/>
        <s v="ACC-9533"/>
        <s v="NET-3749"/>
        <s v="MON-5276"/>
        <s v="PHN-5316"/>
        <s v="LAP-4607"/>
        <s v="NET-1699"/>
        <s v="PRN-6520"/>
        <s v="CMP-9307"/>
        <s v="ACC-5422"/>
        <s v="MON-4326"/>
        <s v="MON-5444"/>
        <s v="PRN-7976"/>
        <s v="LAP-1619"/>
        <s v="CMP-3743"/>
        <s v="ACC-1492"/>
        <s v="ACC-8557"/>
        <s v="ACC-4483"/>
        <s v="PRN-8763"/>
        <s v="CMP-8659"/>
        <s v="NET-9835"/>
        <s v="ACC-6223"/>
        <s v="PHN-3803"/>
        <s v="PHN-6818"/>
        <s v="PHN-1234"/>
        <s v="LAP-9016"/>
        <s v="LAP-9931"/>
        <s v="MON-5424"/>
        <s v="NET-8430"/>
        <s v="LAP-2378"/>
        <s v="ACC-8094"/>
        <s v="PHN-6832"/>
        <s v="NET-5523"/>
        <s v="LAP-7056"/>
        <s v="PRN-8758"/>
        <s v="MON-3307"/>
        <s v="MON-1436"/>
        <s v="MON-8651"/>
        <s v="ACC-3951"/>
        <s v="PRN-6776"/>
        <s v="PHN-3014"/>
        <s v="CMP-9392"/>
        <s v="MON-9733"/>
        <s v="PRN-1276"/>
        <s v="LAP-3490"/>
        <s v="PHN-3819"/>
        <s v="ACC-1882"/>
        <s v="NET-9125"/>
        <s v="CMP-4630"/>
        <s v="ACC-3567"/>
        <s v="MON-7626"/>
        <s v="NET-2439"/>
        <s v="LAP-5009"/>
        <s v="CMP-4807"/>
        <s v="MON-8939"/>
        <s v="PRN-2829"/>
        <s v="LAP-6160"/>
        <s v="MON-4361"/>
        <s v="CMP-7563"/>
        <s v="MON-2998"/>
        <s v="NET-2628"/>
        <s v="MON-2842"/>
        <s v="PHN-4741"/>
        <s v="LAP-2774"/>
        <s v="PHN-7132"/>
        <s v="LAP-4828"/>
        <s v="PRN-5492"/>
        <s v="PRN-5005"/>
        <s v="PHN-3800"/>
        <s v="CMP-8851"/>
        <s v="PHN-2447"/>
        <s v="LAP-2846"/>
        <s v="PHN-8804"/>
        <s v="PRN-7816"/>
        <s v="CMP-8230"/>
        <s v="MON-5249"/>
        <s v="PRN-1141"/>
        <s v="PHN-2787"/>
        <s v="CMP-6925"/>
        <s v="PRN-7049"/>
        <s v="PRN-2098"/>
        <s v="ACC-5079"/>
        <s v="NET-1645"/>
        <s v="PHN-7274"/>
        <s v="LAP-9766"/>
        <s v="NET-1612"/>
        <s v="CMP-7063"/>
        <s v="ACC-3551"/>
        <s v="CMP-4970"/>
        <s v="PRN-2749"/>
        <s v="PRN-5666"/>
        <s v="MON-2537"/>
        <s v="NET-7588"/>
        <s v="MON-1572"/>
        <s v="ACC-5260"/>
        <s v="PRN-3014"/>
        <s v="PHN-1671"/>
        <s v="MON-7868"/>
        <s v="CMP-3978"/>
        <s v="ACC-8999"/>
        <s v="PRN-6068"/>
        <s v="CMP-7256"/>
        <s v="ACC-1659"/>
        <s v="MON-4959"/>
        <s v="MON-1663"/>
        <s v="NET-6036"/>
        <s v="PHN-2013"/>
        <s v="PRN-8604"/>
        <s v="PHN-3159"/>
        <s v="PRN-7019"/>
        <s v="NET-3460"/>
        <s v="PHN-5082"/>
        <s v="PHN-9789"/>
        <s v="MON-6341"/>
        <s v="NET-5941"/>
        <s v="PRN-4983"/>
        <s v="LAP-7979"/>
        <s v="MON-4271"/>
        <s v="LAP-5531"/>
        <s v="MON-7511"/>
        <s v="MON-7869"/>
        <s v="ACC-4631"/>
        <s v="MON-1593"/>
        <s v="ACC-3385"/>
        <s v="MON-5517"/>
        <s v="MON-8758"/>
        <s v="ACC-9591"/>
        <s v="PHN-7488"/>
        <s v="ACC-6777"/>
        <s v="MON-5259"/>
        <s v="PRN-8137"/>
        <s v="CMP-9264"/>
        <s v="PRN-5107"/>
        <s v="MON-6962"/>
        <s v="PRN-3785"/>
        <s v="ACC-2735"/>
        <s v="CMP-5211"/>
        <s v="CMP-1632"/>
        <s v="LAP-7099"/>
        <s v="CMP-1072"/>
        <s v="MON-7602"/>
        <s v="MON-2100"/>
        <s v="LAP-1482"/>
        <s v="MON-6699"/>
        <s v="PRN-4097"/>
        <s v="MON-9227"/>
        <s v="PHN-5445"/>
        <s v="CMP-4610"/>
        <s v="MON-9906"/>
        <s v="PHN-9234"/>
        <s v="CMP-3875"/>
        <s v="ACC-3989"/>
        <s v="NET-7924"/>
        <s v="NET-8761"/>
        <s v="ACC-4124"/>
        <s v="PRN-7089"/>
        <s v="PRN-8175"/>
        <s v="LAP-6342"/>
        <s v="PHN-4568"/>
        <s v="PRN-6178"/>
        <s v="PRN-4432"/>
        <s v="ACC-6543"/>
        <s v="LAP-3278"/>
        <s v="LAP-1525"/>
        <s v="ACC-7078"/>
        <s v="PRN-4453"/>
        <s v="NET-2394"/>
        <s v="PHN-8057"/>
        <s v="MON-2266"/>
        <s v="ACC-1021"/>
        <s v="PRN-4911"/>
        <s v="PHN-8014"/>
        <s v="CMP-3720"/>
        <s v="MON-3043"/>
        <s v="PRN-4788"/>
        <s v="PHN-2875"/>
        <s v="ACC-4056"/>
        <s v="LAP-9782"/>
        <s v="NET-4155"/>
        <s v="MON-5179"/>
        <s v="CMP-6346"/>
        <s v="PHN-4356"/>
        <s v="CMP-2040"/>
        <s v="CMP-6352"/>
        <s v="CMP-2136"/>
        <s v="PHN-7924"/>
        <s v="NET-8561"/>
        <s v="NET-6370"/>
        <s v="MON-3745"/>
        <s v="LAP-2218"/>
        <s v="LAP-8214"/>
        <s v="MON-9194"/>
        <s v="PRN-6429"/>
        <s v="MON-2828"/>
        <s v="ACC-4511"/>
        <s v="NET-3033"/>
        <s v="NET-4241"/>
        <s v="LAP-9230"/>
        <s v="ACC-9820"/>
        <s v="CMP-6392"/>
        <s v="NET-6387"/>
        <s v="PHN-2341"/>
        <s v="PHN-8970"/>
        <s v="CMP-8101"/>
        <s v="LAP-5150"/>
        <s v="LAP-7136"/>
        <s v="ACC-2386"/>
        <s v="PHN-8368"/>
        <s v="CMP-8141"/>
        <s v="NET-1804"/>
        <s v="LAP-3679"/>
        <s v="ACC-5177"/>
        <s v="MON-1822"/>
        <s v="ACC-9038"/>
        <s v="PHN-6954"/>
        <s v="PRN-8970"/>
        <s v="PHN-3482"/>
        <s v="PRN-6490"/>
        <s v="NET-1966"/>
        <s v="MON-2990"/>
        <s v="MON-8973"/>
        <s v="CMP-2854"/>
        <s v="CMP-4531"/>
        <s v="CMP-8196"/>
        <s v="NET-7166"/>
        <s v="CMP-2865"/>
        <s v="MON-3371"/>
        <s v="NET-5018"/>
        <s v="PRN-9669"/>
        <s v="MON-7943"/>
        <s v="CMP-1009"/>
        <s v="ACC-4490"/>
        <s v="ACC-9162"/>
        <s v="CMP-5208"/>
        <s v="NET-1846"/>
        <s v="ACC-2761"/>
        <s v="LAP-4517"/>
        <s v="LAP-8489"/>
        <s v="CMP-7371"/>
        <s v="MON-2296"/>
        <s v="PHN-4644"/>
        <s v="ACC-9150"/>
        <s v="MON-6870"/>
        <s v="LAP-3393"/>
        <s v="PHN-8350"/>
        <s v="MON-5188"/>
        <s v="CMP-6971"/>
        <s v="ACC-2252"/>
        <s v="CMP-8002"/>
        <s v="ACC-1770"/>
        <s v="ACC-5780"/>
        <s v="LAP-3779"/>
        <s v="NET-9989"/>
        <s v="MON-4925"/>
        <s v="LAP-6989"/>
        <s v="LAP-7819"/>
        <s v="MON-4330"/>
        <s v="PRN-1504"/>
        <s v="ACC-6348"/>
        <s v="NET-2365"/>
        <s v="NET-5268"/>
        <s v="PRN-2542"/>
        <s v="CMP-5946"/>
        <s v="NET-2062"/>
        <s v="PRN-9787"/>
        <s v="PRN-3143"/>
        <s v="NET-1412"/>
        <s v="MON-9967"/>
        <s v="PRN-6536"/>
        <s v="PRN-7303"/>
        <s v="CMP-8390"/>
        <s v="PRN-4506"/>
        <s v="CMP-7617"/>
        <s v="CMP-1559"/>
        <s v="LAP-9932"/>
        <s v="PHN-4854"/>
        <s v="NET-7966"/>
        <s v="CMP-6919"/>
        <s v="NET-9716"/>
        <s v="PHN-6854"/>
        <s v="PHN-1784"/>
        <s v="PRN-4170"/>
        <s v="CMP-2693"/>
        <s v="ACC-8683"/>
        <s v="LAP-4987"/>
        <s v="ACC-3961"/>
        <s v="NET-3255"/>
        <s v="LAP-9815"/>
        <s v="LAP-3385"/>
        <s v="PHN-1197"/>
        <s v="ACC-8098"/>
        <s v="PRN-6791"/>
        <s v="ACC-1663"/>
        <s v="LAP-1698"/>
        <s v="CMP-3693"/>
        <s v="PRN-8392"/>
        <s v="PHN-7019"/>
        <s v="ACC-7938"/>
        <s v="MON-6892"/>
        <s v="CMP-3731"/>
        <s v="MON-8629"/>
        <s v="PRN-6276"/>
        <s v="LAP-8555"/>
        <s v="PRN-8041"/>
        <s v="NET-9666"/>
        <s v="PHN-4556"/>
        <s v="CMP-8270"/>
        <s v="PRN-9322"/>
        <m/>
      </sharedItems>
    </cacheField>
    <cacheField name="UnitCost" numFmtId="164">
      <sharedItems containsString="0" containsBlank="1" containsNumber="1" minValue="5.34" maxValue="1495.79"/>
    </cacheField>
    <cacheField name="Price bands" numFmtId="164">
      <sharedItems containsBlank="1"/>
    </cacheField>
    <cacheField name="Corrected unit Price" numFmtId="164">
      <sharedItems containsString="0" containsBlank="1" containsNumber="1" minValue="4.22" maxValue="3661.07"/>
    </cacheField>
    <cacheField name="UnitPrice" numFmtId="2">
      <sharedItems containsString="0" containsBlank="1" containsNumber="1" minValue="-33.659999999999997" maxValue="3661.07"/>
    </cacheField>
    <cacheField name="Discount.Pct" numFmtId="10">
      <sharedItems containsString="0" containsBlank="1" containsNumber="1" minValue="0" maxValue="0.56499999999999995"/>
    </cacheField>
    <cacheField name="Quantity" numFmtId="1">
      <sharedItems containsString="0" containsBlank="1" containsNumber="1" containsInteger="1" minValue="2" maxValue="61"/>
    </cacheField>
    <cacheField name="Discount" numFmtId="164">
      <sharedItems containsString="0" containsBlank="1" containsNumber="1" minValue="0" maxValue="1019.0310000000001"/>
    </cacheField>
    <cacheField name="Gross Revenue" numFmtId="164">
      <sharedItems containsString="0" containsBlank="1" containsNumber="1" minValue="18.659839999999999" maxValue="139277.83032000001"/>
    </cacheField>
    <cacheField name="NET Revenue" numFmtId="0">
      <sharedItems containsString="0" containsBlank="1" containsNumber="1" minValue="17.404799999999998" maxValue="138803.53344"/>
    </cacheField>
    <cacheField name="Cost of Goods" numFmtId="0">
      <sharedItems containsString="0" containsBlank="1" containsNumber="1" minValue="22" maxValue="83258.290000000008"/>
    </cacheField>
    <cacheField name="Gross Profit" numFmtId="0">
      <sharedItems containsString="0" containsBlank="1" containsNumber="1" minValue="-68355.013999999996" maxValue="65188.659999999996"/>
    </cacheField>
    <cacheField name="Net Profit" numFmtId="0">
      <sharedItems containsString="0" containsBlank="1" containsNumber="1" minValue="-68355.409249999997" maxValue="65188.659999999996"/>
    </cacheField>
    <cacheField name="Margin %" numFmtId="9">
      <sharedItems containsString="0" containsBlank="1" containsNumber="1" minValue="3.9777641778865769E-3" maxValue="2.479699396259341"/>
    </cacheField>
  </cacheFields>
  <extLst>
    <ext xmlns:x14="http://schemas.microsoft.com/office/spreadsheetml/2009/9/main" uri="{725AE2AE-9491-48be-B2B4-4EB974FC3084}">
      <x14:pivotCacheDefinition pivotCacheId="22059423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4.682455092596" createdVersion="8" refreshedVersion="8" minRefreshableVersion="3" recordCount="632" xr:uid="{1EBB54AF-5A5D-4728-BA2D-E78D93005010}">
  <cacheSource type="worksheet">
    <worksheetSource ref="A1:AI633" sheet="staging data"/>
  </cacheSource>
  <cacheFields count="35">
    <cacheField name="OrderID" numFmtId="49">
      <sharedItems count="632">
        <s v="ORD -2025-739842"/>
        <s v="ORD-2025-728935"/>
        <s v="ORD-2023-455933"/>
        <s v="ORD-2023-961864"/>
        <s v="ORD-2023-921939"/>
        <s v="ORD-2023-548934"/>
        <s v="ORD-2023-249805"/>
        <s v="ORD-2023-561823"/>
        <s v="ORD-2025-649633"/>
        <s v="ORD-2023-885216"/>
        <s v="ORD-2024-817997"/>
        <s v="ORD-2025-907040"/>
        <s v="ORD-2024-756884"/>
        <s v="ORD-2023-755337"/>
        <s v="ORD-2025-150713"/>
        <s v="ORD-2024-930679"/>
        <s v="ORD-2023-502205"/>
        <s v="ORD-2025-532859"/>
        <s v="ORD-2023-451931"/>
        <s v="ORD-2024-341535"/>
        <s v="ORD-2024-741404"/>
        <s v="ORD-2024-331408"/>
        <s v="ORD-2023-664790"/>
        <s v="ORD-2025-262434"/>
        <s v="ORD-2024-266562"/>
        <s v="ORD-2024-838925"/>
        <s v="ORD-2023-107265"/>
        <s v="ORD-2023-552115"/>
        <s v="ORD-2024-550400"/>
        <s v="ORD-2025-189846"/>
        <s v="ORD-2025-752192"/>
        <s v="ORD-2023-294716"/>
        <s v="ORD-2024-907733"/>
        <s v="ORD-2024-585443"/>
        <s v="ORD-2025-683247"/>
        <s v="ORD-2023-689428"/>
        <s v="ORD-2025-705398"/>
        <s v="ORD-2024-442776"/>
        <s v="ORD-2024-947056"/>
        <s v="ORD-2025-856556"/>
        <s v="ORD-2023-619493"/>
        <s v="ORD-2025-993993"/>
        <s v="ORD-2023-727290"/>
        <s v="ORD-2025-281062"/>
        <s v="ORD-2024-572312"/>
        <s v="ORD-2023-378676"/>
        <s v="ORD-2024-243988"/>
        <s v="ORD-2025-246692"/>
        <s v="ORD-2024-689872"/>
        <s v="ORD-2023-856322"/>
        <s v="ORD-2024-594527"/>
        <s v="ORD-2023-244375"/>
        <s v="ORD-2025-155182"/>
        <s v="ORD-2023-713614"/>
        <s v="ORD-2023-173313"/>
        <s v="ORD-2024-496601"/>
        <s v="ORD-2023-340056"/>
        <s v="ORD-2025-281413"/>
        <s v="ORD-2024-355095"/>
        <s v="ORD-2023-126505"/>
        <s v="ORD-2025-177994"/>
        <s v="ORD-2025-929414"/>
        <s v="ORD-2024-766980"/>
        <s v="ORD-2024-437164"/>
        <s v="ORD-2025-169093"/>
        <s v="ORD-2023-868460"/>
        <s v="ORD-2024-207669"/>
        <s v="ORD-2024-979401"/>
        <s v="ORD-2025-659650"/>
        <s v="ORD-2023-356427"/>
        <s v="ORD-2024-331226"/>
        <s v="ORD-2024-250862"/>
        <s v="ORD-2024-687073"/>
        <s v="ORD-2024-555229"/>
        <s v="ORD-2024-872291"/>
        <s v="ORD-2025-874124"/>
        <s v="ORD-2024-536442"/>
        <s v="ORD-2023-957692"/>
        <s v="ORD-2025-332931"/>
        <s v="ORD-2025-419532"/>
        <s v="ORD-2023-139236"/>
        <s v="ORD-2025-337268"/>
        <s v="ORD-2024-202877"/>
        <s v="ORD-2024-140633"/>
        <s v="ORD-2023-488227"/>
        <s v="ORD-2023-472078"/>
        <s v="ORD-2024-419248"/>
        <s v="ORD-2023-453699"/>
        <s v="ORD-2025-960931"/>
        <s v="ORD-2023-286720"/>
        <s v="ORD-2024-626925"/>
        <s v="ORD-2023-960380"/>
        <s v="ORD-2023-974506"/>
        <s v="ORD-2023-811823"/>
        <s v="ORD-2023-621393"/>
        <s v="ORD-2024-353078"/>
        <s v="ORD-2023-215819"/>
        <s v="ORD-2025-312803"/>
        <s v="ORD-2025-149156"/>
        <s v="ORD-2023-525643"/>
        <s v="ORD-2025-778145"/>
        <s v="ORD-2025-926547"/>
        <s v="ORD-2024-532184"/>
        <s v="ORD-2023-640022"/>
        <s v="ORD-2024-713332"/>
        <s v="ORD-2025-460466"/>
        <s v="ORD-2023-700699"/>
        <s v="ORD-2024-364080"/>
        <s v="ORD-2024-468615"/>
        <s v="ORD-2024-833375"/>
        <s v="ORD-2024-206311"/>
        <s v="ORD-2023-472050"/>
        <s v="ORD-2023-125739"/>
        <s v="ORD-2024-892879"/>
        <s v="ORD-2023-568013"/>
        <s v="ORD-2025-828263"/>
        <s v="ORD-2024-402240"/>
        <s v="ORD-2025-635337"/>
        <s v="ORD-2024-964950"/>
        <s v="ORD-2023-349264"/>
        <s v="ORD-2025-137394"/>
        <s v="ORD-2024-961501"/>
        <s v="ORD-2023-913592"/>
        <s v="ORD-2024-776337"/>
        <s v="ORD-2023-867166"/>
        <s v="ORD-2024-732543"/>
        <s v="ORD-2025-474368"/>
        <s v="ORD-2024-310809"/>
        <s v="ORD-2025-331237"/>
        <s v="ORD-2025-680118"/>
        <s v="ORD-2023-744942"/>
        <s v="ORD-2023-573656"/>
        <s v="ORD-2024-567435"/>
        <s v="ORD-2025-823055"/>
        <s v="ORD-2023-406606"/>
        <s v="ORD-2023-434071"/>
        <s v="ORD-2024-728474"/>
        <s v="ORD-2024-433936"/>
        <s v="ORD-2024-578646"/>
        <s v="ORD-2025-703623"/>
        <s v="ORD-2024-516704"/>
        <s v="ORD-2024-792353"/>
        <s v="ORD-2024-973420"/>
        <s v="ORD-2025-254721"/>
        <s v="ORD-2024-247032"/>
        <s v="ORD-2024-371409"/>
        <s v="ORD-2023-597666"/>
        <s v="ORD-2024-382152"/>
        <s v="ORD-2023-867175"/>
        <s v="ORD-2025-417336"/>
        <s v="ORD-2025-252117"/>
        <s v="ORD-2024-207792"/>
        <s v="ORD-2023-569862"/>
        <s v="ORD-2023-609394"/>
        <s v="ORD-2024-105586"/>
        <s v="ORD-2023-799597"/>
        <s v="ORD-2024-641220"/>
        <s v="ORD-2023-588455"/>
        <s v="ORD-2025-683043"/>
        <s v="ORD-2024-647571"/>
        <s v="ORD-2025-779659"/>
        <s v="ORD-2023-931633"/>
        <s v="ORD-2023-243704"/>
        <s v="ORD-2025-795385"/>
        <s v="ORD-2025-947929"/>
        <s v="ORD-2024-787018"/>
        <s v="ORD-2023-728177"/>
        <s v="ORD-2024-508213"/>
        <s v="ORD-2025-496178"/>
        <s v="ORD-2025-306251"/>
        <s v="ORD-2024-356812"/>
        <s v="ORD-2023-704111"/>
        <s v="ORD-2023-539967"/>
        <s v="ORD-2023-191563"/>
        <s v="ORD-2024-202166"/>
        <s v="ORD-2023-581799"/>
        <s v="ORD-2023-880296"/>
        <s v="ORD-2024-257550"/>
        <s v="ORD-2025-417942"/>
        <s v="ORD-2023-172095"/>
        <s v="ORD-2024-851993"/>
        <s v="ORD-2023-109927"/>
        <s v="ORD-2023-780206"/>
        <s v="ORD-2024-566589"/>
        <s v="ORD-2024-886939"/>
        <s v="ORD-2025-473192"/>
        <s v="ORD-2023-580751"/>
        <s v="ORD-2024-510520"/>
        <s v="ORD-2023-769774"/>
        <s v="ORD-2024-745424"/>
        <s v="ORD-2024-446030"/>
        <s v="ORD-2023-842820"/>
        <s v="ORD-2023-184577"/>
        <s v="ORD-2023-156396"/>
        <s v="ORD-2023-808024"/>
        <s v="ORD-2023-752962"/>
        <s v="ORD-2024-972318"/>
        <s v="ORD-2023-378104"/>
        <s v="ORD-2023-659070"/>
        <s v="ORD-2024-837651"/>
        <s v="ORD-2024-581530"/>
        <s v="ORD-2024-651852"/>
        <s v="ORD-2024-381197"/>
        <s v="ORD-2024-811752"/>
        <s v="ORD-2025-673091"/>
        <s v="ORD-2024-993481"/>
        <s v="ORD-2025-803803"/>
        <s v="ORD-2024-515105"/>
        <s v="ORD-2024-468655"/>
        <s v="ORD-2025-831576"/>
        <s v="ORD-2025-276968"/>
        <s v="ORD-2025-650841"/>
        <s v="ORD-2023-623293"/>
        <s v="ORD-2024-749242"/>
        <s v="ORD-2025-411385"/>
        <s v="ORD-2025-222035"/>
        <s v="ORD-2024-655710"/>
        <s v="ORD-2023-987081"/>
        <s v="ORD-2023-732585"/>
        <s v="ORD-2024-465898"/>
        <s v="ORD-2024-375848"/>
        <s v="ORD-2023-933238"/>
        <s v="ORD-2024-542244"/>
        <s v="ORD-2023-674887"/>
        <s v="ORD-2025-512310"/>
        <s v="ORD-2025-881624"/>
        <s v="ORD-2024-390951"/>
        <s v="ORD-2024-678110"/>
        <s v="ORD-2025-909340"/>
        <s v="ORD-2023-854471"/>
        <s v="ORD-2024-170021"/>
        <s v="ORD-2024-626750"/>
        <s v="ORD-2024-972999"/>
        <s v="ORD-2025-608069"/>
        <s v="ORD-2024-102866"/>
        <s v="ORD-2025-588029"/>
        <s v="ORD-2023-927385"/>
        <s v="ORD-2025-486350"/>
        <s v="ORD-2025-677880"/>
        <s v="ORD-2024-251426"/>
        <s v="ORD-2023-368449"/>
        <s v="ORD-2024-307849"/>
        <s v="ORD-2025-485946"/>
        <s v="ORD-2023-835226"/>
        <s v="ORD-2024-527858"/>
        <s v="ORD-2023-619385"/>
        <s v="ORD-2024-398783"/>
        <s v="ORD-2023-676553"/>
        <s v="ORD-2025-866565"/>
        <s v="ORD-2025-789245"/>
        <s v="ORD-2023-594955"/>
        <s v="ORD-2025-192876"/>
        <s v="ORD-2025-822030"/>
        <s v="ORD-2025-915869"/>
        <s v="ORD-2025-636162"/>
        <s v="ORD-2023-281890"/>
        <s v="ORD-2025-188059"/>
        <s v="ORD-2024-868223"/>
        <s v="ORD-2024-690270"/>
        <s v="ORD-2023-855675"/>
        <s v="ORD-2023-545150"/>
        <s v="ORD-2025-269934"/>
        <s v="ORD-2023-813340"/>
        <s v="ORD-2025-306903"/>
        <s v="ORD-2023-132101"/>
        <s v="ORD-2025-624006"/>
        <s v="ORD-2024-819778"/>
        <s v="ORD-2025-125517"/>
        <s v="ORD-2024-343877"/>
        <s v="ORD-2023-386663"/>
        <s v="ORD-2023-159821"/>
        <s v="ORD-2025-591006"/>
        <s v="ORD-2024-704056"/>
        <s v="ORD-2024-961756"/>
        <s v="ORD-2024-892173"/>
        <s v="ORD-2024-921935"/>
        <s v="ORD-2025-949776"/>
        <s v="ORD-2024-510591"/>
        <s v="ORD-2024-225829"/>
        <s v="ORD-2023-479747"/>
        <s v="ORD-2024-915495"/>
        <s v="ORD-2023-212701"/>
        <s v="ORD-2023-735274"/>
        <s v="ORD-2025-480172"/>
        <s v="ORD-2023-208944"/>
        <s v="ORD-2023-898009"/>
        <s v="ORD-2024-901115"/>
        <s v="ORD-2023-573146"/>
        <s v="ORD-2024-892908"/>
        <s v="ORD-2024-647473"/>
        <s v="ORD-2023-766015"/>
        <s v="ORD-2024-333192"/>
        <s v="ORD-2023-261081"/>
        <s v="ORD-2023-825084"/>
        <s v="ORD-2023-660608"/>
        <s v="ORD-2024-129345"/>
        <s v="ORD-2024-571797"/>
        <s v="ORD-2024-332076"/>
        <s v="ORD-2025-323492"/>
        <s v="ORD-2023-181257"/>
        <s v="ORD-2023-944052"/>
        <s v="ORD-2025-737787"/>
        <s v="ORD-2025-653781"/>
        <s v="ORD-2023-163610"/>
        <s v="ORD-2023-536542"/>
        <s v="ORD-2025-779530"/>
        <s v="ORD-2024-153053"/>
        <s v="ORD-2023-144816"/>
        <s v="ORD-2024-500890"/>
        <s v="ORD-2024-206121"/>
        <s v="ORD-2023-888245"/>
        <s v="ORD-2024-719055"/>
        <s v="ORD-2024-819979"/>
        <s v="ORD-2023-619570"/>
        <s v="ORD-2025-861401"/>
        <s v="ORD-2023-835010"/>
        <s v="ORD-2023-363031"/>
        <s v="ORD-2025-231184"/>
        <s v="ORD-2024-427031"/>
        <s v="ORD-2024-925626"/>
        <s v="ORD-2024-165942"/>
        <s v="ORD-2024-403664"/>
        <s v="ORD-2023-890605"/>
        <s v="ORD-2023-884192"/>
        <s v="ORD-2025-364852"/>
        <s v="ORD-2025-415018"/>
        <s v="ORD-2025-944081"/>
        <s v="ORD-2024-878493"/>
        <s v="ORD-2025-138578"/>
        <s v="ORD-2025-278048"/>
        <s v="ORD-2023-594700"/>
        <s v="ORD-2023-166668"/>
        <s v="ORD-2025-191328"/>
        <s v="ORD-2024-207096"/>
        <s v="ORD-2025-939953"/>
        <s v="ORD-2023-602648"/>
        <s v="ORD-2024-792137"/>
        <s v="ORD-2025-398335"/>
        <s v="ORD-2025-487025"/>
        <s v="ORD-2023-375011"/>
        <s v="ORD-2025-752845"/>
        <s v="ORD-2023-667815"/>
        <s v="ORD-2025-922513"/>
        <s v="ORD-2024-277241"/>
        <s v="ORD-2023-369150"/>
        <s v="ORD-2024-862371"/>
        <s v="ORD-2025-541048"/>
        <s v="ORD-2025-983096"/>
        <s v="ORD-2024-366010"/>
        <s v="ORD-2023-610470"/>
        <s v="ORD-2025-685236"/>
        <s v="ORD-2023-274037"/>
        <s v="ORD-2023-715175"/>
        <s v="ORD-2024-580808"/>
        <s v="ORD-2023-211715"/>
        <s v="ORD-2025-678328"/>
        <s v="ORD-2024-948800"/>
        <s v="ORD-2024-499009"/>
        <s v="ORD-2024-834983"/>
        <s v="ORD-2024-745822"/>
        <s v="ORD-2023-369160"/>
        <s v="ORD-2025-484073"/>
        <s v="ORD-2023-253245"/>
        <s v="ORD-2024-885858"/>
        <s v="ORD-2023-967239"/>
        <s v="ORD-2023-632893"/>
        <s v="ORD-2024-500511"/>
        <s v="ORD-2025-898022"/>
        <s v="ORD-2025-440093"/>
        <s v="ORD-2023-630430"/>
        <s v="ORD-2025-908258"/>
        <s v="ORD-2023-521280"/>
        <s v="ORD-2023-638181"/>
        <s v="ORD-2023-888140"/>
        <s v="ORD-2025-184754"/>
        <s v="ORD-2023-474313"/>
        <s v="ORD-2023-256951"/>
        <s v="ORD-2024-855600"/>
        <s v="ORD-2024-350100"/>
        <s v="ORD-2024-220234"/>
        <s v="ORD-2024-301260"/>
        <s v="ORD-2023-276806"/>
        <s v="ORD-2024-664046"/>
        <s v="ORD-2025-248586"/>
        <s v="ORD-2024-320972"/>
        <s v="ORD-2024-544865"/>
        <s v="ORD-2025-946490"/>
        <s v="ORD-2024-853298"/>
        <s v="ORD-2024-866535"/>
        <s v="ORD-2023-747341"/>
        <s v="ORD-2025-509940"/>
        <s v="ORD-2025-646342"/>
        <s v="ORD-2023-964434"/>
        <s v="ORD-2024-897622"/>
        <s v="ORD-2023-517216"/>
        <s v="ORD-2025-132174"/>
        <s v="ORD-2024-805860"/>
        <s v="ORD-2024-281211"/>
        <s v="ORD-2023-946143"/>
        <s v="ORD-2024-569164"/>
        <s v="ORD-2024-423853"/>
        <s v="ORD-2025-757957"/>
        <s v="ORD-2023-603650"/>
        <s v="ORD-2023-949710"/>
        <s v="ORD-2025-289139"/>
        <s v="ORD-2023-302041"/>
        <s v="ORD-2023-290237"/>
        <s v="ORD-2023-195665"/>
        <s v="ORD-2023-501220"/>
        <s v="ORD-2025-678688"/>
        <s v="ORD-2023-713375"/>
        <s v="ORD-2023-271918"/>
        <s v="ORD-2025-762212"/>
        <s v="ORD-2024-777623"/>
        <s v="ORD-2024-720756"/>
        <s v="ORD-2023-431328"/>
        <s v="ORD-2023-613317"/>
        <s v="ORD-2024-197852"/>
        <s v="ORD-2025-564184"/>
        <s v="ORD-2023-653343"/>
        <s v="ORD-2024-988736"/>
        <s v="ORD-2025-586799"/>
        <s v="ORD-2024-686712"/>
        <s v="ORD-2025-629393"/>
        <s v="ORD-2025-146850"/>
        <s v="ORD-2024-687100"/>
        <s v="ORD-2023-390998"/>
        <s v="ORD-2023-920483"/>
        <s v="ORD-2025-964661"/>
        <s v="ORD-2023-586275"/>
        <s v="ORD-2023-133848"/>
        <s v="ORD-2024-999607"/>
        <s v="ORD-2023-382017"/>
        <s v="ORD-2023-701153"/>
        <s v="ORD-2023-575584"/>
        <s v="ORD-2024-968374"/>
        <s v="ORD-2024-668926"/>
        <s v="ORD-2024-444710"/>
        <s v="ORD-2023-177794"/>
        <s v="ORD-2023-925146"/>
        <s v="ORD-2024-760799"/>
        <s v="ORD-2023-197661"/>
        <s v="ORD-2024-212990"/>
        <s v="ORD-2024-503082"/>
        <s v="ORD-2023-825836"/>
        <s v="ORD-2025-542939"/>
        <s v="ORD-2023-399631"/>
        <s v="ORD-2023-334213"/>
        <s v="ORD-2024-640340"/>
        <s v="ORD-2025-898843"/>
        <s v="ORD-2024-237478"/>
        <s v="ORD-2025-667201"/>
        <s v="ORD-2023-987700"/>
        <s v="ORD-2025-652467"/>
        <s v="ORD-2024-960952"/>
        <s v="ORD-2023-664749"/>
        <s v="ORD-2025-845715"/>
        <s v="ORD-2024-970848"/>
        <s v="ORD-2024-605629"/>
        <s v="ORD-2023-450877"/>
        <s v="ORD-2023-286994"/>
        <s v="ORD-2025-700847"/>
        <s v="ORD-2024-942981"/>
        <s v="ORD-2023-304451"/>
        <s v="ORD-2024-329104"/>
        <s v="ORD-2023-157993"/>
        <s v="ORD-2023-884625"/>
        <s v="ORD-2024-134084"/>
        <s v="ORD-2023-240507"/>
        <s v="ORD-2024-219735"/>
        <s v="ORD-2024-357368"/>
        <s v="ORD-2023-848013"/>
        <s v="ORD-2025-418232"/>
        <s v="ORD-2024-553449"/>
        <s v="ORD-2025-766923"/>
        <s v="ORD-2024-136321"/>
        <s v="ORD-2024-764468"/>
        <s v="ORD-2023-842488"/>
        <s v="ORD-2024-201376"/>
        <s v="ORD-2023-596758"/>
        <s v="ORD-2023-497686"/>
        <s v="ORD-2024-438404"/>
        <s v="ORD-2025-246470"/>
        <s v="ORD-2023-192324"/>
        <s v="ORD-2024-211453"/>
        <s v="ORD-2025-244832"/>
        <s v="ORD-2023-825495"/>
        <s v="ORD-2023-912395"/>
        <s v="ORD-2024-389102"/>
        <s v="ORD-2023-309373"/>
        <s v="ORD-2024-902741"/>
        <s v="ORD-2023-906481"/>
        <s v="ORD-2024-232632"/>
        <s v="ORD-2024-783321"/>
        <s v="ORD-2023-613287"/>
        <s v="ORD-2024-836421"/>
        <s v="ORD-2023-867285"/>
        <s v="ORD-2024-164288"/>
        <s v="ORD-2025-354346"/>
        <s v="ORD-2025-501927"/>
        <s v="ORD-2023-430904"/>
        <s v="ORD-2023-521818"/>
        <s v="ORD-2025-650719"/>
        <s v="ORD-2025-537785"/>
        <s v="ORD-2024-605518"/>
        <s v="ORD-2024-584090"/>
        <s v="ORD-2023-883066"/>
        <s v="ORD-2023-603238"/>
        <s v="ORD-2023-178249"/>
        <s v="ORD-2024-588972"/>
        <s v="ORD-2025-184082"/>
        <s v="ORD-2023-576840"/>
        <s v="ORD-2025-956101"/>
        <s v="ORD-2024-474999"/>
        <s v="ORD-2023-427304"/>
        <s v="ORD-2025-698069"/>
        <s v="ORD-2023-869884"/>
        <s v="ORD-2025-649239"/>
        <s v="ORD-2023-975863"/>
        <s v="ORD-2024-919471"/>
        <s v="ORD-2024-223618"/>
        <s v="ORD-2024-166150"/>
        <s v="ORD-2024-909942"/>
        <s v="ORD-2024-792558"/>
        <s v="ORD-2024-286833"/>
        <s v="ORD-2023-251563"/>
        <s v="ORD-2024-155337"/>
        <s v="ORD-2024-771210"/>
        <s v="ORD-2025-662997"/>
        <s v="ORD-2024-478165"/>
        <s v="ORD-2025-328504"/>
        <s v="ORD-2024-851883"/>
        <s v="ORD-2025-541501"/>
        <s v="ORD-2023-422918"/>
        <s v="ORD-2024-638884"/>
        <s v="ORD-2025-262491"/>
        <s v="ORD-2024-997336"/>
        <s v="ORD-2025-725646"/>
        <s v="ORD-2023-868734"/>
        <s v="ORD-2025-526752"/>
        <s v="ORD-2023-374486"/>
        <s v="ORD-2025-626047"/>
        <s v="ORD-2023-258768"/>
        <s v="ORD-2024-604471"/>
        <s v="ORD-2025-863978"/>
        <s v="ORD-2023-841426"/>
        <s v="ORD-2024-594592"/>
        <s v="ORD-2025-330203"/>
        <s v="ORD-2025-114382"/>
        <s v="ORD-2025-488349"/>
        <s v="ORD-2023-159379"/>
        <s v="ORD-2023-343322"/>
        <s v="ORD-2024-192263"/>
        <s v="ORD-2023-290279"/>
        <s v="ORD-2023-722117"/>
        <s v="ORD-2024-446699"/>
        <s v="ORD-2024-451005"/>
        <s v="ORD-2023-382272"/>
        <s v="ORD-2024-800947"/>
        <s v="ORD-2024-287210"/>
        <s v="ORD-2025-640677"/>
        <s v="ORD-2024-939873"/>
        <s v="ORD-2023-809913"/>
        <s v="ORD-2023-749324"/>
        <s v="ORD-2023-239789"/>
        <s v="ORD-2023-548874"/>
        <s v="ORD-2024-347736"/>
        <s v="ORD-2023-480975"/>
        <s v="ORD-2025-526650"/>
        <s v="ORD-2024-247979"/>
        <s v="ORD-2025-779574"/>
        <s v="ORD-2025-762301"/>
        <s v="ORD-2024-906395"/>
        <s v="ORD-2025-639542"/>
        <s v="ORD-2024-289089"/>
        <s v="ORD-2025-578007"/>
        <s v="ORD-2023-235230"/>
        <s v="ORD-2025-765220"/>
        <s v="ORD-2025-931538"/>
        <s v="ORD-2023-419187"/>
        <s v="ORD-2024-260775"/>
        <s v="ORD-2023-292714"/>
        <s v="ORD-2024-468501"/>
        <s v="ORD-2024-548345"/>
        <s v="ORD-2024-966651"/>
        <s v="ORD-2023-128295"/>
        <s v="ORD-2024-389336"/>
        <s v="ORD-2023-308124"/>
        <s v="ORD-2025-820255"/>
        <s v="ORD-2024-998320"/>
        <s v="ORD-2024-296582"/>
        <s v="ORD-2024-635626"/>
        <s v="ORD-2023-651638"/>
        <s v="ORD-2024-599522"/>
        <s v="ORD-2025-718992"/>
        <s v="ORD-2023-864121"/>
        <s v="ORD-2024-692673"/>
        <s v="ORD-2024-167215"/>
        <s v="ORD-2024-629525"/>
        <s v="ORD-2023-562894"/>
        <s v="ORD-2025-474710"/>
        <s v="ORD-2024-170313"/>
        <s v="ORD-2025-548982"/>
        <s v="ORD-2024-855073"/>
        <s v="ORD-2023-897079"/>
        <s v="ORD-2024-788105"/>
        <s v="ORD-2023-271836"/>
        <s v="ORD-2024-215294"/>
        <s v="ORD-2024-500109"/>
        <s v="ORD-2025-580047"/>
        <s v="ORD-2023-867836"/>
        <s v="ORD-2024-798002"/>
        <s v="ORD-2025-745263"/>
        <s v="ORD-2025-233883"/>
        <s v="ORD-2025-843974"/>
        <s v="ORD-2024-206081"/>
        <s v="ORD-2025-840976"/>
        <s v="ORD-2023-937291"/>
        <s v="ORD-2025-487261"/>
        <s v="ORD-2024-890180"/>
        <s v="ORD-2025-515515"/>
        <s v="ORD-2024-210687"/>
        <s v="ORD-2024-589570"/>
        <s v="ORD-2025-997421"/>
        <s v="ORD-2024-336584"/>
        <s v="ORD-2023-112666"/>
        <s v="ORD-2023-723587"/>
        <s v="ORD-2023-824839"/>
        <s v="ORD-2023-373538"/>
        <s v="ORD-2025-168148"/>
        <s v="ORD-2024-275203"/>
        <s v="ORD-2024-358795"/>
      </sharedItems>
    </cacheField>
    <cacheField name="Order date in months" numFmtId="17">
      <sharedItems containsSemiMixedTypes="0" containsNonDate="0" containsDate="1" containsString="0" minDate="2023-01-02T00:00:00" maxDate="2025-09-16T00:00:00"/>
    </cacheField>
    <cacheField name="Quarters" numFmtId="17">
      <sharedItems/>
    </cacheField>
    <cacheField name="Year" numFmtId="17">
      <sharedItems/>
    </cacheField>
    <cacheField name="Month" numFmtId="17">
      <sharedItems/>
    </cacheField>
    <cacheField name="OrderDate" numFmtId="14">
      <sharedItems containsSemiMixedTypes="0" containsNonDate="0" containsDate="1" containsString="0" minDate="2023-01-02T00:00:00" maxDate="2025-09-16T00:00:00"/>
    </cacheField>
    <cacheField name="Corrected.Required date" numFmtId="14">
      <sharedItems containsSemiMixedTypes="0" containsNonDate="0" containsDate="1" containsString="0" minDate="2023-01-05T00:00:00" maxDate="2025-10-06T00:00:00"/>
    </cacheField>
    <cacheField name="RequiredDate" numFmtId="14">
      <sharedItems containsSemiMixedTypes="0" containsNonDate="0" containsDate="1" containsString="0" minDate="2023-01-05T00:00:00" maxDate="2025-10-06T00:00:00"/>
    </cacheField>
    <cacheField name="%leadtime &gt;7days" numFmtId="14">
      <sharedItems count="2">
        <s v="Achieved"/>
        <s v="Not achieved"/>
      </sharedItems>
    </cacheField>
    <cacheField name="Corrected Leadtime days" numFmtId="1">
      <sharedItems containsSemiMixedTypes="0" containsString="0" containsNumber="1" containsInteger="1" minValue="0" maxValue="30"/>
    </cacheField>
    <cacheField name="Leadtime days" numFmtId="1">
      <sharedItems containsSemiMixedTypes="0" containsString="0" containsNumber="1" containsInteger="1" minValue="-2" maxValue="30"/>
    </cacheField>
    <cacheField name="Region" numFmtId="49">
      <sharedItems count="4">
        <s v="Asia"/>
        <s v="Europe"/>
        <s v="Americas"/>
        <s v="Africa"/>
      </sharedItems>
    </cacheField>
    <cacheField name="Country" numFmtId="49">
      <sharedItems count="12">
        <s v="Japan"/>
        <s v="Germany"/>
        <s v="Canada"/>
        <s v="China"/>
        <s v="India"/>
        <s v="Kenya"/>
        <s v="Brazil"/>
        <s v="United Kingdom"/>
        <s v="France"/>
        <s v="Nigeria"/>
        <s v="USA"/>
        <s v="South Africa"/>
      </sharedItems>
    </cacheField>
    <cacheField name="City" numFmtId="49">
      <sharedItems/>
    </cacheField>
    <cacheField name="CustomerSegment" numFmtId="49">
      <sharedItems/>
    </cacheField>
    <cacheField name="Channel" numFmtId="49">
      <sharedItems count="5">
        <s v="Distributor"/>
        <s v="Retail"/>
        <s v="Online"/>
        <s v="Direct"/>
        <s v="Marketplace"/>
      </sharedItems>
    </cacheField>
    <cacheField name="Salesperson" numFmtId="49">
      <sharedItems count="16">
        <s v="N. Brown"/>
        <s v="L. Okafor"/>
        <s v="E. Garcia"/>
        <s v="A. Patel"/>
        <s v="C. Otieno"/>
        <s v="J. Njeri"/>
        <s v="O. Wang"/>
        <s v="I. Johnson"/>
        <s v="K. Singh"/>
        <s v="F. Müller"/>
        <s v="D. Smith"/>
        <s v="B. Chen"/>
        <s v="G. Dubois"/>
        <s v="M. Rossi"/>
        <s v="H. Kim"/>
        <s v="H.Kim"/>
      </sharedItems>
    </cacheField>
    <cacheField name="ProductCategory" numFmtId="49">
      <sharedItems count="7">
        <s v="Laptops"/>
        <s v="Phones"/>
        <s v="Components"/>
        <s v="Monitors"/>
        <s v="Networking"/>
        <s v="Accessories"/>
        <s v="Printers"/>
      </sharedItems>
    </cacheField>
    <cacheField name="SKU" numFmtId="49">
      <sharedItems count="630">
        <s v="LAP-3017"/>
        <s v="PHN-9184"/>
        <s v="CMP-1940"/>
        <s v="PHN-4677"/>
        <s v="MON-3773"/>
        <s v="CMP-1555"/>
        <s v="NET-2460"/>
        <s v="NET-4735"/>
        <s v="NET-4675"/>
        <s v="ACC-1028"/>
        <s v="NET-8610"/>
        <s v="ACC-4766"/>
        <s v="PRN-5753"/>
        <s v="CMP-5006"/>
        <s v="MON-4215"/>
        <s v="NET-8856"/>
        <s v="PRN-5264"/>
        <s v="NET-5423"/>
        <s v="NET-5987"/>
        <s v="MON-8129"/>
        <s v="PRN-4906"/>
        <s v="PRN-9249"/>
        <s v="CMP-1470"/>
        <s v="ACC-7713"/>
        <s v="PHN-7379"/>
        <s v="PRN-5569"/>
        <s v="LAP-4932"/>
        <s v="PRN-5067"/>
        <s v="LAP-8633"/>
        <s v="PRN-9793"/>
        <s v="NET-6218"/>
        <s v="PRN-6131"/>
        <s v="MON-2849"/>
        <s v="PRN-9867"/>
        <s v="PRN-4787"/>
        <s v="CMP-5065"/>
        <s v="LAP-6577"/>
        <s v="ACC-7906"/>
        <s v="NET-1282"/>
        <s v="MON-1564"/>
        <s v="CMP-5311"/>
        <s v="ACC-4815"/>
        <s v="ACC-1604"/>
        <s v="PHN-9677"/>
        <s v="CMP-9001"/>
        <s v="PHN-4566"/>
        <s v="PHN-5366"/>
        <s v="LAP-1969"/>
        <s v="LAP-4483"/>
        <s v="CMP-1223"/>
        <s v="MON-7207"/>
        <s v="PHN-7636"/>
        <s v="NET-2932"/>
        <s v="NET-3785"/>
        <s v="NET-3689"/>
        <s v="ACC-3833"/>
        <s v="MON-6065"/>
        <s v="CMP-4945"/>
        <s v="PHN-4395"/>
        <s v="LAP-3581"/>
        <s v="ACC-4587"/>
        <s v="CMP-5911"/>
        <s v="LAP-7523"/>
        <s v="MON-1118"/>
        <s v="NET-9177"/>
        <s v="CMP-6495"/>
        <s v="NET-2502"/>
        <s v="LAP-5689"/>
        <s v="MON-6053"/>
        <s v="PHN-1919"/>
        <s v="CMP-9498"/>
        <s v="PRN-6585"/>
        <s v="PRN-2407"/>
        <s v="MON-7099"/>
        <s v="ACC-7354"/>
        <s v="ACC-9283"/>
        <s v="ACC-5144"/>
        <s v="PHN-6111"/>
        <s v="ACC-5150"/>
        <s v="NET-4491"/>
        <s v="MON-4317"/>
        <s v="NET-7349"/>
        <s v="PRN-9624"/>
        <s v="MON-6287"/>
        <s v="MON-8422"/>
        <s v="ACC-3415"/>
        <s v="NET-5196"/>
        <s v="ACC-8242"/>
        <s v="LAP-4666"/>
        <s v="NET-8787"/>
        <s v="LAP-1989"/>
        <s v="MON-8688"/>
        <s v="ACC-9445"/>
        <s v="PRN-1654"/>
        <s v="LAP-5763"/>
        <s v="NET-6533"/>
        <s v="LAP-7353"/>
        <s v="PHN-8072"/>
        <s v="LAP-1308"/>
        <s v="MON-9216"/>
        <s v="PHN-3007"/>
        <s v="NET-9569"/>
        <s v="PRN-4732"/>
        <s v="LAP-1739"/>
        <s v="PRN-1641"/>
        <s v="PRN-2641"/>
        <s v="PRN-1882"/>
        <s v="CMP-2410"/>
        <s v="LAP-6499"/>
        <s v="ACC-3721"/>
        <s v="MON-6190"/>
        <s v="CMP-5825"/>
        <s v="NET-4228"/>
        <s v="CMP-5633"/>
        <s v="LAP-3905"/>
        <s v="PRN-1786"/>
        <s v="ACC-3349"/>
        <s v="CMP-1156"/>
        <s v="CMP-3223"/>
        <s v="CMP-8127"/>
        <s v="PHN-1924"/>
        <s v="MON-2465"/>
        <s v="LAP-5078"/>
        <s v="LAP-3565"/>
        <s v="NET-3728"/>
        <s v="PHN-8776"/>
        <s v="CMP-6529"/>
        <s v="NET-6269"/>
        <s v="PRN-1060"/>
        <s v="NET-8329"/>
        <s v="PHN-9107"/>
        <s v="MON-9274"/>
        <s v="MON-4830"/>
        <s v="ACC-2867"/>
        <s v="NET-1145"/>
        <s v="MON-8867"/>
        <s v="NET-1228"/>
        <s v="ACC-7240"/>
        <s v="PHN-7852"/>
        <s v="CMP-5435"/>
        <s v="ACC-1596"/>
        <s v="ACC-2990"/>
        <s v="PRN-1371"/>
        <s v="PRN-5813"/>
        <s v="PHN-6480"/>
        <s v="PHN-5938"/>
        <s v="CMP-2335"/>
        <s v="NET-2894"/>
        <s v="PHN-2462"/>
        <s v="PRN-3917"/>
        <s v="LAP-3220"/>
        <s v="NET-1893"/>
        <s v="CMP-8675"/>
        <s v="LAP-1178"/>
        <s v="ACC-1731"/>
        <s v="LAP-1066"/>
        <s v="PRN-1271"/>
        <s v="PHN-9465"/>
        <s v="MON-2462"/>
        <s v="CMP-1220"/>
        <s v="PRN-7079"/>
        <s v="PRN-3159"/>
        <s v="PRN-9488"/>
        <s v="NET-6014"/>
        <s v="CMP-4159"/>
        <s v="CMP-3938"/>
        <s v="ACC-7671"/>
        <s v="CMP-5658"/>
        <s v="NET-5270"/>
        <s v="PRN-6911"/>
        <s v="ACC-5206"/>
        <s v="CMP-6649"/>
        <s v="CMP-3313"/>
        <s v="MON-5086"/>
        <s v="LAP-4899"/>
        <s v="ACC-8620"/>
        <s v="PHN-6506"/>
        <s v="MON-6882"/>
        <s v="CMP-6811"/>
        <s v="PHN-5675"/>
        <s v="ACC-3645"/>
        <s v="PHN-2436"/>
        <s v="PRN-2301"/>
        <s v="MON-5386"/>
        <s v="MON-7106"/>
        <s v="LAP-1946"/>
        <s v="PRN-8008"/>
        <s v="PRN-4892"/>
        <s v="PRN-9557"/>
        <s v="ACC-1375"/>
        <s v="PRN-1923"/>
        <s v="PHN-4346"/>
        <s v="NET-2499"/>
        <s v="ACC-6594"/>
        <s v="CMP-8604"/>
        <s v="NET-9832"/>
        <s v="PHN-8891"/>
        <s v="NET-7998"/>
        <s v="LAP-8825"/>
        <s v="MON-8697"/>
        <s v="MON-4789"/>
        <s v="PRN-2409"/>
        <s v="PHN-5683"/>
        <s v="PHN-3077"/>
        <s v="MON-3350"/>
        <s v="LAP-7553"/>
        <s v="LAP-8469"/>
        <s v="PRN-6308"/>
        <s v="PHN-2859"/>
        <s v="LAP-8910"/>
        <s v="PHN-8478"/>
        <s v="PHN-1044"/>
        <s v="MON-4195"/>
        <s v="PRN-5815"/>
        <s v="ACC-1075"/>
        <s v="ACC-2902"/>
        <s v="PRN-9975"/>
        <s v="NET-6578"/>
        <s v="PHN-8483"/>
        <s v="PHN-3971"/>
        <s v="LAP-7009"/>
        <s v="PRN-1725"/>
        <s v="ACC-9644"/>
        <s v="LAP-8119"/>
        <s v="PHN-5887"/>
        <s v="PRN-9378"/>
        <s v="MON-2073"/>
        <s v="CMP-2015"/>
        <s v="LAP-9901"/>
        <s v="CMP-8658"/>
        <s v="PRN-5591"/>
        <s v="NET-3432"/>
        <s v="CMP-6898"/>
        <s v="MON-3504"/>
        <s v="MON-9662"/>
        <s v="LAP-8347"/>
        <s v="PHN-3398"/>
        <s v="CMP-8545"/>
        <s v="ACC-1249"/>
        <s v="CMP-2096"/>
        <s v="PRN-1183"/>
        <s v="MON-5891"/>
        <s v="LAP-7320"/>
        <s v="PRN-8850"/>
        <s v="LAP-9100"/>
        <s v="NET-3828"/>
        <s v="MON-7622"/>
        <s v="LAP-2806"/>
        <s v="NET-1336"/>
        <s v="PRN-5876"/>
        <s v="NET-5482"/>
        <s v="CMP-5820"/>
        <s v="NET-7901"/>
        <s v="CMP-2574"/>
        <s v="NET-3535"/>
        <s v="PHN-4915"/>
        <s v="PHN-7974"/>
        <s v="PRN-8657"/>
        <s v="LAP-2942"/>
        <s v="PHN-2036"/>
        <s v="MON-4373"/>
        <s v="PRN-3775"/>
        <s v="LAP-6750"/>
        <s v="CMP-3259"/>
        <s v="PHN-6866"/>
        <s v="CMP-7055"/>
        <s v="PRN-3690"/>
        <s v="LAP-3904"/>
        <s v="MON-5749"/>
        <s v="PHN-5383"/>
        <s v="ACC-7838"/>
        <s v="PRN-6660"/>
        <s v="NET-3850"/>
        <s v="ACC-7047"/>
        <s v="PRN-9960"/>
        <s v="ACC-3103"/>
        <s v="PRN-9490"/>
        <s v="NET-8957"/>
        <s v="MON-4278"/>
        <s v="ACC-5334"/>
        <s v="PRN-7410"/>
        <s v="LAP-1990"/>
        <s v="CMP-4792"/>
        <s v="PHN-1670"/>
        <s v="ACC-6626"/>
        <s v="LAP-3604"/>
        <s v="NET-9575"/>
        <s v="PHN-1717"/>
        <s v="PRN-4893"/>
        <s v="ACC-1238"/>
        <s v="NET-1816"/>
        <s v="MON-1018"/>
        <s v="ACC-8178"/>
        <s v="PRN-5384"/>
        <s v="PHN-7815"/>
        <s v="PRN-1086"/>
        <s v="PHN-3854"/>
        <s v="ACC-1060"/>
        <s v="ACC-3068"/>
        <s v="NET-9003"/>
        <s v="PHN-6307"/>
        <s v="LAP-9024"/>
        <s v="MON-2993"/>
        <s v="CMP-5138"/>
        <s v="PHN-2337"/>
        <s v="ACC-2364"/>
        <s v="CMP-3093"/>
        <s v="CMP-9801"/>
        <s v="NET-5195"/>
        <s v="NET-4554"/>
        <s v="PHN-9399"/>
        <s v="ACC-2988"/>
        <s v="PHN-6131"/>
        <s v="NET-4104"/>
        <s v="MON-9319"/>
        <s v="CMP-4093"/>
        <s v="MON-1389"/>
        <s v="PRN-2293"/>
        <s v="ACC-2903"/>
        <s v="LAP-4551"/>
        <s v="MON-6310"/>
        <s v="NET-1166"/>
        <s v="PRN-2991"/>
        <s v="ACC-9533"/>
        <s v="NET-3749"/>
        <s v="MON-5276"/>
        <s v="PHN-5316"/>
        <s v="LAP-4607"/>
        <s v="NET-1699"/>
        <s v="PRN-6520"/>
        <s v="CMP-9307"/>
        <s v="ACC-5422"/>
        <s v="MON-4326"/>
        <s v="MON-5444"/>
        <s v="PRN-7976"/>
        <s v="LAP-1619"/>
        <s v="CMP-3743"/>
        <s v="ACC-1492"/>
        <s v="ACC-8557"/>
        <s v="ACC-4483"/>
        <s v="PRN-8763"/>
        <s v="CMP-8659"/>
        <s v="NET-9835"/>
        <s v="ACC-6223"/>
        <s v="PHN-3803"/>
        <s v="PHN-6818"/>
        <s v="PHN-1234"/>
        <s v="LAP-9016"/>
        <s v="LAP-9931"/>
        <s v="MON-5424"/>
        <s v="NET-8430"/>
        <s v="LAP-2378"/>
        <s v="ACC-8094"/>
        <s v="PHN-6832"/>
        <s v="NET-5523"/>
        <s v="LAP-7056"/>
        <s v="PRN-8758"/>
        <s v="MON-3307"/>
        <s v="MON-1436"/>
        <s v="MON-8651"/>
        <s v="ACC-3951"/>
        <s v="PRN-6776"/>
        <s v="PHN-3014"/>
        <s v="CMP-9392"/>
        <s v="MON-9733"/>
        <s v="PRN-1276"/>
        <s v="LAP-3490"/>
        <s v="PHN-3819"/>
        <s v="ACC-1882"/>
        <s v="NET-9125"/>
        <s v="CMP-4630"/>
        <s v="ACC-3567"/>
        <s v="MON-7626"/>
        <s v="NET-2439"/>
        <s v="LAP-5009"/>
        <s v="CMP-4807"/>
        <s v="MON-8939"/>
        <s v="PRN-2829"/>
        <s v="LAP-6160"/>
        <s v="MON-4361"/>
        <s v="CMP-7563"/>
        <s v="MON-2998"/>
        <s v="NET-2628"/>
        <s v="MON-2842"/>
        <s v="PHN-4741"/>
        <s v="LAP-2774"/>
        <s v="PHN-7132"/>
        <s v="LAP-4828"/>
        <s v="PRN-5492"/>
        <s v="PRN-5005"/>
        <s v="PHN-3800"/>
        <s v="CMP-8851"/>
        <s v="PHN-2447"/>
        <s v="LAP-2846"/>
        <s v="PHN-8804"/>
        <s v="PRN-7816"/>
        <s v="CMP-8230"/>
        <s v="MON-5249"/>
        <s v="PRN-1141"/>
        <s v="PHN-2787"/>
        <s v="CMP-6925"/>
        <s v="PRN-7049"/>
        <s v="PRN-2098"/>
        <s v="ACC-5079"/>
        <s v="NET-1645"/>
        <s v="PHN-7274"/>
        <s v="LAP-9766"/>
        <s v="NET-1612"/>
        <s v="CMP-7063"/>
        <s v="ACC-3551"/>
        <s v="CMP-4970"/>
        <s v="PRN-2749"/>
        <s v="PRN-5666"/>
        <s v="MON-2537"/>
        <s v="NET-7588"/>
        <s v="MON-1572"/>
        <s v="ACC-5260"/>
        <s v="PRN-3014"/>
        <s v="PHN-1671"/>
        <s v="MON-7868"/>
        <s v="CMP-3978"/>
        <s v="ACC-8999"/>
        <s v="PRN-6068"/>
        <s v="CMP-7256"/>
        <s v="ACC-1659"/>
        <s v="MON-4959"/>
        <s v="MON-1663"/>
        <s v="NET-6036"/>
        <s v="PHN-2013"/>
        <s v="PRN-8604"/>
        <s v="PHN-3159"/>
        <s v="PRN-7019"/>
        <s v="NET-3460"/>
        <s v="PHN-5082"/>
        <s v="PHN-9789"/>
        <s v="MON-6341"/>
        <s v="NET-5941"/>
        <s v="PRN-4983"/>
        <s v="LAP-7979"/>
        <s v="MON-4271"/>
        <s v="LAP-5531"/>
        <s v="MON-7511"/>
        <s v="MON-7869"/>
        <s v="ACC-4631"/>
        <s v="MON-1593"/>
        <s v="ACC-3385"/>
        <s v="MON-5517"/>
        <s v="MON-8758"/>
        <s v="ACC-9591"/>
        <s v="PHN-7488"/>
        <s v="ACC-6777"/>
        <s v="MON-5259"/>
        <s v="PRN-8137"/>
        <s v="CMP-9264"/>
        <s v="PRN-5107"/>
        <s v="MON-6962"/>
        <s v="PRN-3785"/>
        <s v="ACC-2735"/>
        <s v="CMP-5211"/>
        <s v="CMP-1632"/>
        <s v="LAP-7099"/>
        <s v="CMP-1072"/>
        <s v="MON-7602"/>
        <s v="MON-2100"/>
        <s v="LAP-1482"/>
        <s v="MON-6699"/>
        <s v="PRN-4097"/>
        <s v="MON-9227"/>
        <s v="PHN-5445"/>
        <s v="CMP-4610"/>
        <s v="MON-9906"/>
        <s v="PHN-9234"/>
        <s v="CMP-3875"/>
        <s v="ACC-3989"/>
        <s v="NET-7924"/>
        <s v="NET-8761"/>
        <s v="ACC-4124"/>
        <s v="PRN-7089"/>
        <s v="PRN-8175"/>
        <s v="LAP-6342"/>
        <s v="PHN-4568"/>
        <s v="PRN-6178"/>
        <s v="PRN-4432"/>
        <s v="ACC-6543"/>
        <s v="LAP-3278"/>
        <s v="LAP-1525"/>
        <s v="ACC-7078"/>
        <s v="PRN-4453"/>
        <s v="NET-2394"/>
        <s v="PHN-8057"/>
        <s v="MON-2266"/>
        <s v="ACC-1021"/>
        <s v="PRN-4911"/>
        <s v="PHN-8014"/>
        <s v="CMP-3720"/>
        <s v="MON-3043"/>
        <s v="PRN-4788"/>
        <s v="PHN-2875"/>
        <s v="ACC-4056"/>
        <s v="LAP-9782"/>
        <s v="NET-4155"/>
        <s v="MON-5179"/>
        <s v="CMP-6346"/>
        <s v="PHN-4356"/>
        <s v="CMP-2040"/>
        <s v="CMP-6352"/>
        <s v="CMP-2136"/>
        <s v="PHN-7924"/>
        <s v="NET-8561"/>
        <s v="NET-6370"/>
        <s v="MON-3745"/>
        <s v="LAP-2218"/>
        <s v="LAP-8214"/>
        <s v="MON-9194"/>
        <s v="PRN-6429"/>
        <s v="MON-2828"/>
        <s v="ACC-4511"/>
        <s v="NET-3033"/>
        <s v="NET-4241"/>
        <s v="LAP-9230"/>
        <s v="ACC-9820"/>
        <s v="CMP-6392"/>
        <s v="NET-6387"/>
        <s v="PHN-2341"/>
        <s v="PHN-8970"/>
        <s v="CMP-8101"/>
        <s v="LAP-5150"/>
        <s v="LAP-7136"/>
        <s v="ACC-2386"/>
        <s v="PHN-8368"/>
        <s v="CMP-8141"/>
        <s v="NET-1804"/>
        <s v="LAP-3679"/>
        <s v="ACC-5177"/>
        <s v="MON-1822"/>
        <s v="ACC-9038"/>
        <s v="PHN-6954"/>
        <s v="PRN-8970"/>
        <s v="PHN-3482"/>
        <s v="PRN-6490"/>
        <s v="NET-1966"/>
        <s v="MON-2990"/>
        <s v="MON-8973"/>
        <s v="CMP-2854"/>
        <s v="CMP-4531"/>
        <s v="CMP-8196"/>
        <s v="NET-7166"/>
        <s v="CMP-2865"/>
        <s v="MON-3371"/>
        <s v="NET-5018"/>
        <s v="PRN-9669"/>
        <s v="MON-7943"/>
        <s v="CMP-1009"/>
        <s v="ACC-4490"/>
        <s v="ACC-9162"/>
        <s v="CMP-5208"/>
        <s v="NET-1846"/>
        <s v="ACC-2761"/>
        <s v="LAP-4517"/>
        <s v="LAP-8489"/>
        <s v="CMP-7371"/>
        <s v="MON-2296"/>
        <s v="PHN-4644"/>
        <s v="ACC-9150"/>
        <s v="MON-6870"/>
        <s v="LAP-3393"/>
        <s v="PHN-8350"/>
        <s v="MON-5188"/>
        <s v="CMP-6971"/>
        <s v="ACC-2252"/>
        <s v="CMP-8002"/>
        <s v="ACC-1770"/>
        <s v="ACC-5780"/>
        <s v="LAP-3779"/>
        <s v="NET-9989"/>
        <s v="MON-4925"/>
        <s v="LAP-6989"/>
        <s v="LAP-7819"/>
        <s v="MON-4330"/>
        <s v="PRN-1504"/>
        <s v="ACC-6348"/>
        <s v="NET-2365"/>
        <s v="NET-5268"/>
        <s v="PRN-2542"/>
        <s v="CMP-5946"/>
        <s v="NET-2062"/>
        <s v="PRN-9787"/>
        <s v="PRN-3143"/>
        <s v="NET-1412"/>
        <s v="MON-9967"/>
        <s v="PRN-6536"/>
        <s v="PRN-7303"/>
        <s v="CMP-8390"/>
        <s v="PRN-4506"/>
        <s v="CMP-7617"/>
        <s v="CMP-1559"/>
        <s v="LAP-9932"/>
        <s v="PHN-4854"/>
        <s v="NET-7966"/>
        <s v="CMP-6919"/>
        <s v="NET-9716"/>
        <s v="PHN-6854"/>
        <s v="PHN-1784"/>
        <s v="PRN-4170"/>
        <s v="CMP-2693"/>
        <s v="ACC-8683"/>
        <s v="LAP-4987"/>
        <s v="ACC-3961"/>
        <s v="NET-3255"/>
        <s v="LAP-9815"/>
        <s v="LAP-3385"/>
        <s v="PHN-1197"/>
        <s v="ACC-8098"/>
        <s v="PRN-6791"/>
        <s v="ACC-1663"/>
        <s v="LAP-1698"/>
        <s v="CMP-3693"/>
        <s v="PRN-8392"/>
        <s v="PHN-7019"/>
        <s v="ACC-7938"/>
        <s v="MON-6892"/>
        <s v="CMP-3731"/>
        <s v="MON-8629"/>
        <s v="PRN-6276"/>
        <s v="LAP-8555"/>
        <s v="PRN-8041"/>
        <s v="NET-9666"/>
        <s v="PHN-4556"/>
        <s v="CMP-8270"/>
        <s v="PRN-9322"/>
      </sharedItems>
    </cacheField>
    <cacheField name="UnitCost" numFmtId="164">
      <sharedItems containsSemiMixedTypes="0" containsString="0" containsNumber="1" minValue="5.34" maxValue="1495.79"/>
    </cacheField>
    <cacheField name="Price bands" numFmtId="164">
      <sharedItems/>
    </cacheField>
    <cacheField name="Corrected unit Price(Ksh)" numFmtId="0">
      <sharedItems containsSemiMixedTypes="0" containsString="0" containsNumber="1" minValue="4.22" maxValue="3661.07"/>
    </cacheField>
    <cacheField name="UnitPrice" numFmtId="2">
      <sharedItems containsSemiMixedTypes="0" containsString="0" containsNumber="1" minValue="-33.659999999999997" maxValue="3661.07"/>
    </cacheField>
    <cacheField name="Discount.Pct" numFmtId="10">
      <sharedItems containsSemiMixedTypes="0" containsString="0" containsNumber="1" minValue="0" maxValue="0.56499999999999995"/>
    </cacheField>
    <cacheField name="Quantity" numFmtId="1">
      <sharedItems containsSemiMixedTypes="0" containsString="0" containsNumber="1" containsInteger="1" minValue="2" maxValue="61"/>
    </cacheField>
    <cacheField name="Discount(KES)" numFmtId="2">
      <sharedItems containsSemiMixedTypes="0" containsString="0" containsNumber="1" minValue="0" maxValue="1019.0310000000001"/>
    </cacheField>
    <cacheField name="Gross Revenue(KES)" numFmtId="2">
      <sharedItems containsSemiMixedTypes="0" containsString="0" containsNumber="1" minValue="18.659839999999999" maxValue="139277.83032000001"/>
    </cacheField>
    <cacheField name="NET Revenue(KES)" numFmtId="2">
      <sharedItems containsSemiMixedTypes="0" containsString="0" containsNumber="1" minValue="17.404799999999998" maxValue="138803.53344"/>
    </cacheField>
    <cacheField name="Cost of Goods(KES)" numFmtId="2">
      <sharedItems containsSemiMixedTypes="0" containsString="0" containsNumber="1" minValue="22" maxValue="83258.290000000008"/>
    </cacheField>
    <cacheField name="Gross Profit(KES)" numFmtId="2">
      <sharedItems containsSemiMixedTypes="0" containsString="0" containsNumber="1" minValue="-68355.013999999996" maxValue="65188.659999999996"/>
    </cacheField>
    <cacheField name="Net Profit(KES)" numFmtId="2">
      <sharedItems containsSemiMixedTypes="0" containsString="0" containsNumber="1" minValue="-68355.409249999997" maxValue="65188.659999999996"/>
    </cacheField>
    <cacheField name="Margin %" numFmtId="9">
      <sharedItems containsSemiMixedTypes="0" containsString="0" containsNumber="1" minValue="3.9777641778865769E-3" maxValue="2.479699396259341"/>
    </cacheField>
    <cacheField name="disc cap" numFmtId="10">
      <sharedItems containsSemiMixedTypes="0" containsString="0" containsNumber="1" minValue="0" maxValue="0.2"/>
    </cacheField>
    <cacheField name="Infl cap" numFmtId="0">
      <sharedItems containsSemiMixedTypes="0" containsString="0" containsNumber="1" minValue="6.1409999999999991" maxValue="1720.1584999999998"/>
    </cacheField>
    <cacheField name="uplift cost" numFmtId="0">
      <sharedItems containsSemiMixedTypes="0" containsString="0" containsNumber="1" minValue="2.4" maxValue="73.2"/>
    </cacheField>
  </cacheFields>
  <extLst>
    <ext xmlns:x14="http://schemas.microsoft.com/office/spreadsheetml/2009/9/main" uri="{725AE2AE-9491-48be-B2B4-4EB974FC3084}">
      <x14:pivotCacheDefinition pivotCacheId="51664352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4.879755439812" createdVersion="8" refreshedVersion="8" minRefreshableVersion="3" recordCount="10" xr:uid="{C59CABD3-07B7-4A2C-AAE3-C325071492CA}">
  <cacheSource type="worksheet">
    <worksheetSource ref="A2:B12" sheet="Pivot.Top10SKU"/>
  </cacheSource>
  <cacheFields count="2">
    <cacheField name="Row Labels" numFmtId="0">
      <sharedItems count="10">
        <s v="CMP-8851"/>
        <s v="NET-2365"/>
        <s v="LAP-8910"/>
        <s v="MON-6962"/>
        <s v="MON-2266"/>
        <s v="MON-6699"/>
        <s v="CMP-3938"/>
        <s v="LAP-3904"/>
        <s v="NET-5987"/>
        <s v="NET-5523"/>
      </sharedItems>
    </cacheField>
    <cacheField name="Sum of Gross Revenue(KES)" numFmtId="2">
      <sharedItems containsSemiMixedTypes="0" containsString="0" containsNumber="1" minValue="79548.755999999994" maxValue="139277.830320000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x v="0"/>
    <x v="0"/>
    <d v="2025-02-28T00:00:00"/>
    <d v="2025-03-10T00:00:00"/>
    <d v="2025-03-10T00:00:00"/>
    <n v="10"/>
    <x v="0"/>
    <x v="0"/>
    <x v="0"/>
    <s v="Education"/>
    <s v="Distributor"/>
    <s v="N. Brown"/>
    <s v="Laptops"/>
    <s v="LAP-3017"/>
    <n v="51.86"/>
    <s v="Low"/>
    <x v="0"/>
    <n v="45.98"/>
    <n v="0.17299999999999999"/>
    <n v="7"/>
    <n v="7.9545399999999988"/>
    <n v="266.17821999999995"/>
    <n v="258.22367999999994"/>
    <n v="363.02"/>
    <n v="-96.841780000000028"/>
    <n v="-104.79632000000004"/>
    <n v="0.73323293482452745"/>
  </r>
  <r>
    <x v="1"/>
    <x v="1"/>
    <d v="2023-11-19T00:00:00"/>
    <d v="2023-12-19T00:00:00"/>
    <d v="2023-12-19T00:00:00"/>
    <n v="30"/>
    <x v="0"/>
    <x v="0"/>
    <x v="1"/>
    <s v="Consumer"/>
    <s v="Retail"/>
    <s v="L. Okafor"/>
    <s v="Phones"/>
    <s v="PHN-9184"/>
    <n v="807.11"/>
    <s v="Medium"/>
    <x v="1"/>
    <n v="1853.86"/>
    <n v="0.13900000000000001"/>
    <n v="8"/>
    <n v="257.68654000000004"/>
    <n v="12769.38768"/>
    <n v="12511.701139999999"/>
    <n v="6456.88"/>
    <n v="6312.5076799999997"/>
    <n v="6054.8211399999991"/>
    <n v="1.9776405446593401"/>
  </r>
  <r>
    <x v="2"/>
    <x v="2"/>
    <d v="2023-12-07T00:00:00"/>
    <d v="2024-01-02T00:00:00"/>
    <d v="2024-01-02T00:00:00"/>
    <n v="26"/>
    <x v="1"/>
    <x v="1"/>
    <x v="2"/>
    <s v="Enterprise"/>
    <s v="Distributor"/>
    <s v="E. Garcia"/>
    <s v="Components"/>
    <s v="CMP-1940"/>
    <n v="1071.99"/>
    <s v="High"/>
    <x v="2"/>
    <n v="2397.3000000000002"/>
    <n v="6.2E-2"/>
    <n v="18"/>
    <n v="148.6326"/>
    <n v="40476.013200000001"/>
    <n v="40327.380600000004"/>
    <n v="19295.82"/>
    <n v="21180.193200000002"/>
    <n v="21031.560600000004"/>
    <n v="2.0976570676965269"/>
  </r>
  <r>
    <x v="3"/>
    <x v="3"/>
    <d v="2023-06-23T00:00:00"/>
    <d v="2023-07-18T00:00:00"/>
    <d v="2023-07-18T00:00:00"/>
    <n v="25"/>
    <x v="2"/>
    <x v="2"/>
    <x v="3"/>
    <s v="Enterprise"/>
    <s v="Online"/>
    <s v="N. Brown"/>
    <s v="Phones"/>
    <s v="PHN-4677"/>
    <n v="807.02"/>
    <s v="Medium"/>
    <x v="3"/>
    <n v="1435.54"/>
    <n v="0"/>
    <n v="23"/>
    <n v="0"/>
    <n v="33017.42"/>
    <n v="33017.42"/>
    <n v="18561.46"/>
    <n v="14455.96"/>
    <n v="14455.96"/>
    <n v="1.7788158905603331"/>
  </r>
  <r>
    <x v="4"/>
    <x v="4"/>
    <d v="2023-08-03T00:00:00"/>
    <d v="2023-08-30T00:00:00"/>
    <d v="2023-08-30T00:00:00"/>
    <n v="27"/>
    <x v="0"/>
    <x v="3"/>
    <x v="4"/>
    <s v="Consumer"/>
    <s v="Distributor"/>
    <s v="N. Brown"/>
    <s v="Monitors"/>
    <s v="MON-3773"/>
    <n v="226.04"/>
    <s v="Low"/>
    <x v="4"/>
    <n v="545.72"/>
    <n v="0.151"/>
    <n v="11"/>
    <n v="82.403720000000007"/>
    <n v="5096.4790800000001"/>
    <n v="5014.0753599999998"/>
    <n v="2486.44"/>
    <n v="2610.03908"/>
    <n v="2527.6353599999998"/>
    <n v="2.0497092549991152"/>
  </r>
  <r>
    <x v="5"/>
    <x v="5"/>
    <d v="2023-12-22T00:00:00"/>
    <d v="2024-01-16T00:00:00"/>
    <d v="2024-01-16T00:00:00"/>
    <n v="25"/>
    <x v="0"/>
    <x v="4"/>
    <x v="5"/>
    <s v="Small Business"/>
    <s v="Retail"/>
    <s v="A. Patel"/>
    <s v="Components"/>
    <s v="CMP-1555"/>
    <n v="1346.81"/>
    <s v="Medium"/>
    <x v="5"/>
    <n v="978.09"/>
    <n v="0.159"/>
    <n v="17"/>
    <n v="155.51631"/>
    <n v="13983.752729999998"/>
    <n v="13828.236419999997"/>
    <n v="22895.77"/>
    <n v="-8912.0172700000021"/>
    <n v="-9067.533580000003"/>
    <n v="0.61075704071101333"/>
  </r>
  <r>
    <x v="6"/>
    <x v="6"/>
    <d v="2023-11-19T00:00:00"/>
    <d v="2023-12-12T00:00:00"/>
    <d v="2023-12-12T00:00:00"/>
    <n v="23"/>
    <x v="0"/>
    <x v="4"/>
    <x v="6"/>
    <s v="Small Business"/>
    <s v="Direct"/>
    <s v="C. Otieno"/>
    <s v="Networking"/>
    <s v="NET-2460"/>
    <n v="1349.04"/>
    <s v="High"/>
    <x v="6"/>
    <n v="2636.6"/>
    <n v="0.114"/>
    <n v="14"/>
    <n v="300.57240000000002"/>
    <n v="32704.386400000003"/>
    <n v="32403.814000000002"/>
    <n v="18886.559999999998"/>
    <n v="13817.826400000005"/>
    <n v="13517.254000000004"/>
    <n v="1.7316221905947937"/>
  </r>
  <r>
    <x v="7"/>
    <x v="7"/>
    <d v="2023-08-03T00:00:00"/>
    <d v="2023-08-03T00:00:00"/>
    <d v="2023-08-02T00:00:00"/>
    <n v="-1"/>
    <x v="0"/>
    <x v="3"/>
    <x v="4"/>
    <s v="Non-Profit"/>
    <s v="Direct"/>
    <s v="J. Njeri"/>
    <s v="Networking"/>
    <s v="NET-4735"/>
    <n v="1021.97"/>
    <s v="High"/>
    <x v="7"/>
    <n v="2296.25"/>
    <n v="0.161"/>
    <n v="26"/>
    <n v="369.69625000000002"/>
    <n v="50090.397499999999"/>
    <n v="49720.701249999998"/>
    <n v="26571.22"/>
    <n v="23519.177499999998"/>
    <n v="23149.481249999997"/>
    <n v="1.8851372838733034"/>
  </r>
  <r>
    <x v="8"/>
    <x v="8"/>
    <d v="2024-07-28T00:00:00"/>
    <d v="2024-08-23T00:00:00"/>
    <d v="2024-08-23T00:00:00"/>
    <n v="26"/>
    <x v="0"/>
    <x v="4"/>
    <x v="5"/>
    <s v="Corporate"/>
    <s v="Retail"/>
    <s v="J. Njeri"/>
    <s v="Networking"/>
    <s v="NET-4675"/>
    <n v="1339.24"/>
    <s v="Medium"/>
    <x v="8"/>
    <n v="1558.89"/>
    <n v="0.192"/>
    <n v="24"/>
    <n v="299.30688000000004"/>
    <n v="30229.994880000002"/>
    <n v="29930.688000000002"/>
    <n v="32141.760000000002"/>
    <n v="-1911.76512"/>
    <n v="-2211.0720000000001"/>
    <n v="0.94052083271108988"/>
  </r>
  <r>
    <x v="9"/>
    <x v="8"/>
    <d v="2025-07-19T00:00:00"/>
    <d v="2025-07-31T00:00:00"/>
    <d v="2025-07-31T00:00:00"/>
    <n v="12"/>
    <x v="3"/>
    <x v="5"/>
    <x v="7"/>
    <s v="Small Business"/>
    <s v="Marketplace"/>
    <s v="O. Wang"/>
    <s v="Accessories"/>
    <s v="ACC-1028"/>
    <n v="619.64"/>
    <s v="Medium"/>
    <x v="9"/>
    <n v="861.16"/>
    <n v="0.113"/>
    <n v="14"/>
    <n v="97.311080000000004"/>
    <n v="10693.88488"/>
    <n v="10596.5738"/>
    <n v="8674.9599999999991"/>
    <n v="2018.9248800000005"/>
    <n v="1921.613800000001"/>
    <n v="1.2327301659027823"/>
  </r>
  <r>
    <x v="10"/>
    <x v="9"/>
    <d v="2025-04-17T00:00:00"/>
    <d v="2025-05-03T00:00:00"/>
    <d v="2025-05-03T00:00:00"/>
    <n v="16"/>
    <x v="2"/>
    <x v="6"/>
    <x v="8"/>
    <s v="Consumer"/>
    <s v="Marketplace"/>
    <s v="J. Njeri"/>
    <s v="Networking"/>
    <s v="NET-8610"/>
    <n v="168.68"/>
    <s v="Low"/>
    <x v="10"/>
    <n v="413.34"/>
    <n v="0.186"/>
    <n v="7"/>
    <n v="76.881239999999991"/>
    <n v="2355.2113199999999"/>
    <n v="2278.3300799999997"/>
    <n v="1180.76"/>
    <n v="1174.4513199999999"/>
    <n v="1097.5700799999997"/>
    <n v="1.9946571022053592"/>
  </r>
  <r>
    <x v="11"/>
    <x v="10"/>
    <d v="2023-09-08T00:00:00"/>
    <d v="2023-09-14T00:00:00"/>
    <d v="2023-09-14T00:00:00"/>
    <n v="6"/>
    <x v="3"/>
    <x v="5"/>
    <x v="9"/>
    <s v="Education"/>
    <s v="Direct"/>
    <s v="I. Johnson"/>
    <s v="Accessories"/>
    <s v="ACC-4766"/>
    <n v="251.03"/>
    <s v="Low"/>
    <x v="11"/>
    <n v="411.48"/>
    <n v="0.16500000000000001"/>
    <n v="3"/>
    <n v="67.894200000000012"/>
    <n v="1030.7574"/>
    <n v="962.86320000000001"/>
    <n v="753.09"/>
    <n v="277.66739999999993"/>
    <n v="209.77319999999997"/>
    <n v="1.3687041389475361"/>
  </r>
  <r>
    <x v="12"/>
    <x v="11"/>
    <d v="2025-07-11T00:00:00"/>
    <d v="2025-07-16T00:00:00"/>
    <d v="2025-07-16T00:00:00"/>
    <n v="5"/>
    <x v="1"/>
    <x v="7"/>
    <x v="10"/>
    <s v="Enterprise"/>
    <s v="Online"/>
    <s v="K. Singh"/>
    <s v="Printers"/>
    <s v="PRN-5753"/>
    <n v="930.03"/>
    <s v="Medium"/>
    <x v="12"/>
    <n v="1086.68"/>
    <n v="0.109"/>
    <n v="26"/>
    <n v="118.44812"/>
    <n v="25174.028880000002"/>
    <n v="25055.580760000001"/>
    <n v="24180.78"/>
    <n v="993.24888000000283"/>
    <n v="874.8007600000019"/>
    <n v="1.0410759652914423"/>
  </r>
  <r>
    <x v="13"/>
    <x v="11"/>
    <d v="2024-10-13T00:00:00"/>
    <d v="2024-10-24T00:00:00"/>
    <d v="2024-10-24T00:00:00"/>
    <n v="11"/>
    <x v="1"/>
    <x v="8"/>
    <x v="11"/>
    <s v="Education"/>
    <s v="Distributor"/>
    <s v="F. Müller"/>
    <s v="Components"/>
    <s v="CMP-5006"/>
    <n v="816.7"/>
    <s v="Medium"/>
    <x v="13"/>
    <n v="1010.75"/>
    <n v="4.7E-2"/>
    <n v="43"/>
    <n v="47.505249999999997"/>
    <n v="41419.524249999995"/>
    <n v="41372.018999999993"/>
    <n v="35118.1"/>
    <n v="6301.4242499999964"/>
    <n v="6253.9189999999944"/>
    <n v="1.1794352271335864"/>
  </r>
  <r>
    <x v="14"/>
    <x v="12"/>
    <d v="2024-12-17T00:00:00"/>
    <d v="2025-01-16T00:00:00"/>
    <d v="2025-01-16T00:00:00"/>
    <n v="30"/>
    <x v="1"/>
    <x v="7"/>
    <x v="12"/>
    <s v="Corporate"/>
    <s v="Retail"/>
    <s v="D. Smith"/>
    <s v="Monitors"/>
    <s v="MON-4215"/>
    <n v="722.87"/>
    <s v="Low"/>
    <x v="14"/>
    <n v="-33.659999999999997"/>
    <n v="0.10199999999999999"/>
    <n v="28"/>
    <n v="3.4333199999999993"/>
    <n v="846.34703999999988"/>
    <n v="842.9137199999999"/>
    <n v="20240.36"/>
    <n v="-19394.01296"/>
    <n v="-19397.44628"/>
    <n v="4.1814821475507344E-2"/>
  </r>
  <r>
    <x v="15"/>
    <x v="13"/>
    <d v="2023-10-09T00:00:00"/>
    <d v="2023-10-11T00:00:00"/>
    <d v="2023-10-11T00:00:00"/>
    <n v="2"/>
    <x v="3"/>
    <x v="9"/>
    <x v="13"/>
    <s v="Education"/>
    <s v="Marketplace"/>
    <s v="K. Singh"/>
    <s v="Networking"/>
    <s v="NET-8856"/>
    <n v="391.16"/>
    <s v="Medium"/>
    <x v="15"/>
    <n v="902.47"/>
    <n v="4.0000000000000001E-3"/>
    <n v="12"/>
    <n v="3.60988"/>
    <n v="10786.32144"/>
    <n v="10782.71156"/>
    <n v="4693.92"/>
    <n v="6092.4014399999996"/>
    <n v="6088.7915599999997"/>
    <n v="2.2979346558952858"/>
  </r>
  <r>
    <x v="16"/>
    <x v="14"/>
    <d v="2025-03-11T00:00:00"/>
    <d v="2025-03-27T00:00:00"/>
    <d v="2025-03-27T00:00:00"/>
    <n v="16"/>
    <x v="0"/>
    <x v="0"/>
    <x v="14"/>
    <s v="Enterprise"/>
    <s v="Distributor"/>
    <s v="B. Chen"/>
    <s v="Printers"/>
    <s v="PRN-5264"/>
    <n v="1317.58"/>
    <s v="Medium"/>
    <x v="16"/>
    <n v="1897.74"/>
    <n v="8.1000000000000003E-2"/>
    <n v="6"/>
    <n v="153.71693999999999"/>
    <n v="10464.138360000001"/>
    <n v="10310.421420000001"/>
    <n v="7905.48"/>
    <n v="2558.6583600000013"/>
    <n v="2404.941420000001"/>
    <n v="1.3236562941149685"/>
  </r>
  <r>
    <x v="17"/>
    <x v="15"/>
    <d v="2023-07-30T00:00:00"/>
    <d v="2023-08-19T00:00:00"/>
    <d v="2023-08-19T00:00:00"/>
    <n v="20"/>
    <x v="1"/>
    <x v="8"/>
    <x v="11"/>
    <s v="Enterprise"/>
    <s v="Marketplace"/>
    <s v="G. Dubois"/>
    <s v="Networking"/>
    <s v="NET-5423"/>
    <n v="1418.51"/>
    <s v="High"/>
    <x v="17"/>
    <n v="2789.61"/>
    <n v="0.17100000000000001"/>
    <n v="8"/>
    <n v="477.02331000000004"/>
    <n v="18500.693520000001"/>
    <n v="18023.67021"/>
    <n v="11348.08"/>
    <n v="7152.6135200000008"/>
    <n v="6675.5902100000003"/>
    <n v="1.6302928354400039"/>
  </r>
  <r>
    <x v="18"/>
    <x v="16"/>
    <d v="2024-06-25T00:00:00"/>
    <d v="2024-06-30T00:00:00"/>
    <d v="2024-06-30T00:00:00"/>
    <n v="5"/>
    <x v="3"/>
    <x v="5"/>
    <x v="15"/>
    <s v="Education"/>
    <s v="Direct"/>
    <s v="M. Rossi"/>
    <s v="Networking"/>
    <s v="NET-5987"/>
    <n v="1323.55"/>
    <s v="High"/>
    <x v="18"/>
    <n v="3230.35"/>
    <n v="2.1999999999999999E-2"/>
    <n v="26"/>
    <n v="71.067699999999988"/>
    <n v="82141.339799999987"/>
    <n v="82070.272099999987"/>
    <n v="34412.299999999996"/>
    <n v="47729.039799999991"/>
    <n v="47657.972099999992"/>
    <n v="2.3869761625930264"/>
  </r>
  <r>
    <x v="19"/>
    <x v="17"/>
    <d v="2024-10-19T00:00:00"/>
    <d v="2024-11-06T00:00:00"/>
    <d v="2024-11-06T00:00:00"/>
    <n v="18"/>
    <x v="2"/>
    <x v="10"/>
    <x v="16"/>
    <s v="Education"/>
    <s v="Online"/>
    <s v="C. Otieno"/>
    <s v="Monitors"/>
    <s v="MON-8129"/>
    <n v="942.02"/>
    <s v="Medium"/>
    <x v="19"/>
    <n v="1028.46"/>
    <n v="0"/>
    <n v="9"/>
    <n v="0"/>
    <n v="9256.14"/>
    <n v="9256.14"/>
    <n v="8478.18"/>
    <n v="777.95999999999913"/>
    <n v="777.95999999999913"/>
    <n v="1.0917602598670939"/>
  </r>
  <r>
    <x v="20"/>
    <x v="18"/>
    <d v="2024-02-01T00:00:00"/>
    <d v="2024-02-01T00:00:00"/>
    <d v="2024-02-01T00:00:00"/>
    <n v="0"/>
    <x v="2"/>
    <x v="10"/>
    <x v="17"/>
    <s v="Consumer"/>
    <s v="Distributor"/>
    <s v="H. Kim"/>
    <s v="Printers"/>
    <s v="PRN-4906"/>
    <n v="714.43"/>
    <s v="Medium"/>
    <x v="20"/>
    <n v="1595.52"/>
    <n v="0.19400000000000001"/>
    <n v="14"/>
    <n v="309.53088000000002"/>
    <n v="18003.847679999999"/>
    <n v="17694.316800000001"/>
    <n v="10002.019999999999"/>
    <n v="8001.8276800000003"/>
    <n v="7692.2968000000019"/>
    <n v="1.8000211637249277"/>
  </r>
  <r>
    <x v="21"/>
    <x v="19"/>
    <d v="2023-04-16T00:00:00"/>
    <d v="2023-04-23T00:00:00"/>
    <d v="2023-04-23T00:00:00"/>
    <n v="7"/>
    <x v="2"/>
    <x v="10"/>
    <x v="17"/>
    <s v="Corporate"/>
    <s v="Distributor"/>
    <s v="O. Wang"/>
    <s v="Printers"/>
    <s v="PRN-9249"/>
    <n v="1099.1500000000001"/>
    <s v="Medium"/>
    <x v="21"/>
    <n v="1431.37"/>
    <n v="0.104"/>
    <n v="8"/>
    <n v="148.86247999999998"/>
    <n v="10260.060159999999"/>
    <n v="10111.197679999999"/>
    <n v="8793.2000000000007"/>
    <n v="1466.8601599999984"/>
    <n v="1317.9976799999986"/>
    <n v="1.1668175590228811"/>
  </r>
  <r>
    <x v="22"/>
    <x v="20"/>
    <d v="2024-01-28T00:00:00"/>
    <d v="2024-01-28T00:00:00"/>
    <d v="2024-01-27T00:00:00"/>
    <n v="-1"/>
    <x v="3"/>
    <x v="11"/>
    <x v="18"/>
    <s v="Enterprise"/>
    <s v="Direct"/>
    <s v="O. Wang"/>
    <s v="Components"/>
    <s v="CMP-1470"/>
    <n v="109.75"/>
    <s v="Low"/>
    <x v="22"/>
    <n v="124.25"/>
    <n v="0.12"/>
    <n v="19"/>
    <n v="14.91"/>
    <n v="2077.46"/>
    <n v="2062.5500000000002"/>
    <n v="2085.25"/>
    <n v="-7.7899999999999636"/>
    <n v="-22.699999999999818"/>
    <n v="0.99626423690205013"/>
  </r>
  <r>
    <x v="23"/>
    <x v="21"/>
    <d v="2023-04-22T00:00:00"/>
    <d v="2023-05-14T00:00:00"/>
    <d v="2023-05-14T00:00:00"/>
    <n v="22"/>
    <x v="0"/>
    <x v="0"/>
    <x v="1"/>
    <s v="Enterprise"/>
    <s v="Retail"/>
    <s v="A. Patel"/>
    <s v="Accessories"/>
    <s v="ACC-7713"/>
    <n v="1209.22"/>
    <s v="Medium"/>
    <x v="23"/>
    <n v="1404.33"/>
    <n v="0.10299999999999999"/>
    <n v="11"/>
    <n v="144.64598999999998"/>
    <n v="13856.52411"/>
    <n v="13711.878120000001"/>
    <n v="13301.42"/>
    <n v="555.10411000000022"/>
    <n v="410.45812000000114"/>
    <n v="1.0417326954565753"/>
  </r>
  <r>
    <x v="24"/>
    <x v="21"/>
    <d v="2025-06-19T00:00:00"/>
    <d v="2025-06-21T00:00:00"/>
    <d v="2025-06-21T00:00:00"/>
    <n v="2"/>
    <x v="3"/>
    <x v="11"/>
    <x v="19"/>
    <s v="Small Business"/>
    <s v="Retail"/>
    <s v="H. Kim"/>
    <s v="Phones"/>
    <s v="PHN-7379"/>
    <n v="1466.27"/>
    <s v="High"/>
    <x v="24"/>
    <n v="3589.89"/>
    <n v="9.7000000000000003E-2"/>
    <n v="9"/>
    <n v="348.21933000000001"/>
    <n v="29175.036029999999"/>
    <n v="28826.816699999999"/>
    <n v="13196.43"/>
    <n v="15978.606029999999"/>
    <n v="15630.386699999999"/>
    <n v="2.2108279307358125"/>
  </r>
  <r>
    <x v="25"/>
    <x v="21"/>
    <d v="2024-11-27T00:00:00"/>
    <d v="2024-12-24T00:00:00"/>
    <d v="2024-12-24T00:00:00"/>
    <n v="27"/>
    <x v="3"/>
    <x v="5"/>
    <x v="20"/>
    <s v="Corporate"/>
    <s v="Distributor"/>
    <s v="B. Chen"/>
    <s v="Printers"/>
    <s v="PRN-5569"/>
    <n v="143.33000000000001"/>
    <s v="Low"/>
    <x v="25"/>
    <n v="233.51"/>
    <n v="0.16300000000000001"/>
    <n v="14"/>
    <n v="38.062130000000003"/>
    <n v="2736.27018"/>
    <n v="2698.2080500000002"/>
    <n v="2006.6200000000001"/>
    <n v="729.65017999999986"/>
    <n v="691.58805000000007"/>
    <n v="1.3636215028256471"/>
  </r>
  <r>
    <x v="26"/>
    <x v="22"/>
    <d v="2023-09-17T00:00:00"/>
    <d v="2023-10-02T00:00:00"/>
    <d v="2023-10-02T00:00:00"/>
    <n v="15"/>
    <x v="2"/>
    <x v="6"/>
    <x v="8"/>
    <s v="Small Business"/>
    <s v="Retail"/>
    <s v="B. Chen"/>
    <s v="Laptops"/>
    <s v="LAP-4932"/>
    <n v="689.33"/>
    <s v="Medium"/>
    <x v="26"/>
    <n v="668.27"/>
    <n v="0.186"/>
    <n v="13"/>
    <n v="124.29822"/>
    <n v="7071.6331400000008"/>
    <n v="6947.3349200000011"/>
    <n v="8961.2900000000009"/>
    <n v="-1889.6568600000001"/>
    <n v="-2013.9550799999997"/>
    <n v="0.78913115634021447"/>
  </r>
  <r>
    <x v="27"/>
    <x v="23"/>
    <d v="2023-04-10T00:00:00"/>
    <d v="2023-04-25T00:00:00"/>
    <d v="2023-04-25T00:00:00"/>
    <n v="15"/>
    <x v="1"/>
    <x v="7"/>
    <x v="10"/>
    <s v="Small Business"/>
    <s v="Retail"/>
    <s v="D. Smith"/>
    <s v="Printers"/>
    <s v="PRN-5067"/>
    <n v="405.66"/>
    <s v="Medium"/>
    <x v="27"/>
    <n v="962.51"/>
    <n v="0.19"/>
    <n v="7"/>
    <n v="182.87690000000001"/>
    <n v="5457.4317000000001"/>
    <n v="5274.5547999999999"/>
    <n v="2839.6200000000003"/>
    <n v="2617.8116999999997"/>
    <n v="2434.9347999999995"/>
    <n v="1.9218880343144504"/>
  </r>
  <r>
    <x v="28"/>
    <x v="24"/>
    <d v="2024-03-09T00:00:00"/>
    <d v="2024-03-22T00:00:00"/>
    <d v="2024-03-22T00:00:00"/>
    <n v="13"/>
    <x v="1"/>
    <x v="7"/>
    <x v="12"/>
    <s v="Consumer"/>
    <s v="Online"/>
    <s v="E. Garcia"/>
    <s v="Laptops"/>
    <s v="LAP-8633"/>
    <n v="985.45"/>
    <s v="Medium"/>
    <x v="28"/>
    <n v="1802.44"/>
    <n v="8.9999999999999993E-3"/>
    <n v="19"/>
    <n v="16.221959999999999"/>
    <n v="33938.142760000002"/>
    <n v="33921.9208"/>
    <n v="18723.55"/>
    <n v="15214.592760000003"/>
    <n v="15198.370800000001"/>
    <n v="1.8125912425795323"/>
  </r>
  <r>
    <x v="29"/>
    <x v="24"/>
    <d v="2024-08-19T00:00:00"/>
    <d v="2024-09-02T00:00:00"/>
    <d v="2024-09-02T00:00:00"/>
    <n v="14"/>
    <x v="2"/>
    <x v="2"/>
    <x v="21"/>
    <s v="Consumer"/>
    <s v="Distributor"/>
    <s v="C. Otieno"/>
    <s v="Printers"/>
    <s v="PRN-9793"/>
    <n v="1337.01"/>
    <s v="Medium"/>
    <x v="29"/>
    <n v="1269.78"/>
    <n v="0.16"/>
    <n v="7"/>
    <n v="203.16480000000001"/>
    <n v="7466.3063999999986"/>
    <n v="7263.141599999999"/>
    <n v="9359.07"/>
    <n v="-1892.7636000000011"/>
    <n v="-2095.9284000000007"/>
    <n v="0.79776157246393054"/>
  </r>
  <r>
    <x v="30"/>
    <x v="24"/>
    <d v="2025-08-11T00:00:00"/>
    <d v="2025-08-28T00:00:00"/>
    <d v="2025-08-28T00:00:00"/>
    <n v="17"/>
    <x v="1"/>
    <x v="8"/>
    <x v="11"/>
    <s v="Education"/>
    <s v="Online"/>
    <s v="F. Müller"/>
    <s v="Networking"/>
    <s v="NET-6218"/>
    <n v="416.16"/>
    <s v="Low"/>
    <x v="30"/>
    <n v="571.9"/>
    <n v="7.0999999999999994E-2"/>
    <n v="2"/>
    <n v="40.604899999999994"/>
    <n v="1062.5902000000001"/>
    <n v="1021.9853000000001"/>
    <n v="832.32"/>
    <n v="230.27020000000005"/>
    <n v="189.6653"/>
    <n v="1.276660659361784"/>
  </r>
  <r>
    <x v="31"/>
    <x v="24"/>
    <d v="2025-05-16T00:00:00"/>
    <d v="2025-05-18T00:00:00"/>
    <d v="2025-05-18T00:00:00"/>
    <n v="2"/>
    <x v="0"/>
    <x v="0"/>
    <x v="14"/>
    <s v="Enterprise"/>
    <s v="Retail"/>
    <s v="J. Njeri"/>
    <s v="Printers"/>
    <s v="PRN-6131"/>
    <n v="1144.3800000000001"/>
    <s v="High"/>
    <x v="31"/>
    <n v="2755.04"/>
    <n v="0.15"/>
    <n v="17"/>
    <n v="413.25599999999997"/>
    <n v="39810.328000000001"/>
    <n v="39397.072"/>
    <n v="19454.460000000003"/>
    <n v="20355.867999999999"/>
    <n v="19942.611999999997"/>
    <n v="2.0463342595990839"/>
  </r>
  <r>
    <x v="32"/>
    <x v="25"/>
    <d v="2024-08-17T00:00:00"/>
    <d v="2024-08-17T00:00:00"/>
    <d v="2024-08-15T00:00:00"/>
    <n v="-2"/>
    <x v="2"/>
    <x v="6"/>
    <x v="8"/>
    <s v="Consumer"/>
    <s v="Direct"/>
    <s v="M. Rossi"/>
    <s v="Monitors"/>
    <s v="MON-2849"/>
    <n v="165.3"/>
    <s v="Low"/>
    <x v="32"/>
    <n v="275.07"/>
    <n v="0.13300000000000001"/>
    <n v="25"/>
    <n v="36.584310000000002"/>
    <n v="5962.1422499999999"/>
    <n v="5925.5579399999997"/>
    <n v="4132.5"/>
    <n v="1829.6422499999999"/>
    <n v="1793.0579399999997"/>
    <n v="1.4427446460980036"/>
  </r>
  <r>
    <x v="33"/>
    <x v="26"/>
    <d v="2025-03-10T00:00:00"/>
    <d v="2025-04-04T00:00:00"/>
    <d v="2025-04-04T00:00:00"/>
    <n v="25"/>
    <x v="0"/>
    <x v="0"/>
    <x v="0"/>
    <s v="Corporate"/>
    <s v="Direct"/>
    <s v="H. Kim"/>
    <s v="Printers"/>
    <s v="PRN-9867"/>
    <n v="783.72"/>
    <s v="Medium"/>
    <x v="33"/>
    <n v="1355.94"/>
    <n v="0.187"/>
    <n v="4"/>
    <n v="253.56078000000002"/>
    <n v="4409.5168800000001"/>
    <n v="4155.9561000000003"/>
    <n v="3134.88"/>
    <n v="1274.63688"/>
    <n v="1021.0761000000002"/>
    <n v="1.406598300413413"/>
  </r>
  <r>
    <x v="34"/>
    <x v="27"/>
    <d v="2023-01-07T00:00:00"/>
    <d v="2023-01-30T00:00:00"/>
    <d v="2023-01-30T00:00:00"/>
    <n v="23"/>
    <x v="3"/>
    <x v="11"/>
    <x v="18"/>
    <s v="Consumer"/>
    <s v="Online"/>
    <s v="A. Patel"/>
    <s v="Printers"/>
    <s v="PRN-4787"/>
    <n v="299.02"/>
    <s v="Medium"/>
    <x v="34"/>
    <n v="724.7"/>
    <n v="0.14000000000000001"/>
    <n v="5"/>
    <n v="101.45800000000001"/>
    <n v="3116.21"/>
    <n v="3014.752"/>
    <n v="1495.1"/>
    <n v="1621.1100000000001"/>
    <n v="1519.652"/>
    <n v="2.0842819878269014"/>
  </r>
  <r>
    <x v="35"/>
    <x v="28"/>
    <d v="2025-02-17T00:00:00"/>
    <d v="2025-02-17T00:00:00"/>
    <d v="2025-02-15T00:00:00"/>
    <n v="-2"/>
    <x v="2"/>
    <x v="2"/>
    <x v="21"/>
    <s v="Small Business"/>
    <s v="Retail"/>
    <s v="D. Smith"/>
    <s v="Components"/>
    <s v="CMP-5065"/>
    <n v="1133.47"/>
    <s v="Medium"/>
    <x v="35"/>
    <n v="1698.75"/>
    <n v="4.2999999999999997E-2"/>
    <n v="5"/>
    <n v="73.046250000000001"/>
    <n v="8128.5187499999993"/>
    <n v="8055.4724999999989"/>
    <n v="5667.35"/>
    <n v="2461.1687499999989"/>
    <n v="2388.1224999999986"/>
    <n v="1.4342715290215002"/>
  </r>
  <r>
    <x v="36"/>
    <x v="29"/>
    <d v="2024-06-30T00:00:00"/>
    <d v="2024-07-21T00:00:00"/>
    <d v="2024-07-21T00:00:00"/>
    <n v="21"/>
    <x v="3"/>
    <x v="5"/>
    <x v="15"/>
    <s v="Small Business"/>
    <s v="Retail"/>
    <s v="K. Singh"/>
    <s v="Laptops"/>
    <s v="LAP-6577"/>
    <n v="753.43"/>
    <s v="Medium"/>
    <x v="36"/>
    <n v="1787.2"/>
    <n v="7.2999999999999995E-2"/>
    <n v="9"/>
    <n v="130.46559999999999"/>
    <n v="14910.609600000002"/>
    <n v="14780.144000000002"/>
    <n v="6780.87"/>
    <n v="8129.7396000000017"/>
    <n v="7999.2740000000022"/>
    <n v="2.198922793092922"/>
  </r>
  <r>
    <x v="37"/>
    <x v="30"/>
    <d v="2025-06-15T00:00:00"/>
    <d v="2025-07-12T00:00:00"/>
    <d v="2025-07-12T00:00:00"/>
    <n v="27"/>
    <x v="1"/>
    <x v="8"/>
    <x v="22"/>
    <s v="Consumer"/>
    <s v="Direct"/>
    <s v="C. Otieno"/>
    <s v="Accessories"/>
    <s v="ACC-7906"/>
    <n v="318.83"/>
    <s v="Medium"/>
    <x v="37"/>
    <n v="699.5"/>
    <n v="0.08"/>
    <n v="13"/>
    <n v="55.96"/>
    <n v="8366.02"/>
    <n v="8310.0600000000013"/>
    <n v="4144.79"/>
    <n v="4221.2300000000005"/>
    <n v="4165.2700000000013"/>
    <n v="2.018442430135182"/>
  </r>
  <r>
    <x v="38"/>
    <x v="31"/>
    <d v="2023-02-27T00:00:00"/>
    <d v="2023-02-27T00:00:00"/>
    <d v="2023-02-26T00:00:00"/>
    <n v="-1"/>
    <x v="2"/>
    <x v="10"/>
    <x v="23"/>
    <s v="Non-Profit"/>
    <s v="Online"/>
    <s v="L. Okafor"/>
    <s v="Networking"/>
    <s v="NET-1282"/>
    <n v="1015.91"/>
    <s v="High"/>
    <x v="38"/>
    <n v="2331.48"/>
    <n v="0.14599999999999999"/>
    <n v="26"/>
    <n v="340.39607999999998"/>
    <n v="51768.181920000003"/>
    <n v="51427.785840000004"/>
    <n v="26413.66"/>
    <n v="25354.521920000003"/>
    <n v="25014.125840000004"/>
    <n v="1.9599018810721422"/>
  </r>
  <r>
    <x v="39"/>
    <x v="31"/>
    <d v="2024-07-31T00:00:00"/>
    <d v="2024-08-15T00:00:00"/>
    <d v="2024-08-15T00:00:00"/>
    <n v="15"/>
    <x v="0"/>
    <x v="0"/>
    <x v="14"/>
    <s v="Corporate"/>
    <s v="Marketplace"/>
    <s v="F. Müller"/>
    <s v="Monitors"/>
    <s v="MON-1564"/>
    <n v="1252.52"/>
    <s v="Medium"/>
    <x v="39"/>
    <n v="1417.24"/>
    <n v="0.192"/>
    <n v="5"/>
    <n v="272.11007999999998"/>
    <n v="5725.6496000000006"/>
    <n v="5453.5395200000003"/>
    <n v="6262.6"/>
    <n v="-536.95039999999972"/>
    <n v="-809.0604800000001"/>
    <n v="0.91426078625491014"/>
  </r>
  <r>
    <x v="40"/>
    <x v="32"/>
    <d v="2025-08-30T00:00:00"/>
    <d v="2025-09-22T00:00:00"/>
    <d v="2025-09-22T00:00:00"/>
    <n v="23"/>
    <x v="1"/>
    <x v="8"/>
    <x v="22"/>
    <s v="Corporate"/>
    <s v="Direct"/>
    <s v="E. Garcia"/>
    <s v="Components"/>
    <s v="CMP-5311"/>
    <n v="663.9"/>
    <s v="Medium"/>
    <x v="40"/>
    <n v="947.77"/>
    <n v="0.17399999999999999"/>
    <n v="15"/>
    <n v="164.91197999999997"/>
    <n v="11742.8703"/>
    <n v="11577.95832"/>
    <n v="9958.5"/>
    <n v="1784.3703000000005"/>
    <n v="1619.4583199999997"/>
    <n v="1.1791806296128935"/>
  </r>
  <r>
    <x v="41"/>
    <x v="33"/>
    <d v="2023-04-03T00:00:00"/>
    <d v="2023-04-16T00:00:00"/>
    <d v="2023-04-16T00:00:00"/>
    <n v="13"/>
    <x v="1"/>
    <x v="8"/>
    <x v="22"/>
    <s v="Non-Profit"/>
    <s v="Marketplace"/>
    <s v="M. Rossi"/>
    <s v="Accessories"/>
    <s v="ACC-4815"/>
    <n v="790.54"/>
    <s v="Low"/>
    <x v="41"/>
    <n v="601.49"/>
    <n v="0"/>
    <n v="15"/>
    <n v="0"/>
    <n v="9022.35"/>
    <n v="9022.35"/>
    <n v="11858.099999999999"/>
    <n v="-2835.7499999999982"/>
    <n v="-2835.7499999999982"/>
    <n v="0.76085966554507056"/>
  </r>
  <r>
    <x v="42"/>
    <x v="34"/>
    <d v="2025-02-15T00:00:00"/>
    <d v="2025-02-27T00:00:00"/>
    <d v="2025-02-27T00:00:00"/>
    <n v="12"/>
    <x v="1"/>
    <x v="8"/>
    <x v="24"/>
    <s v="Non-Profit"/>
    <s v="Direct"/>
    <s v="K. Singh"/>
    <s v="Accessories"/>
    <s v="ACC-1604"/>
    <n v="1027.26"/>
    <s v="High"/>
    <x v="42"/>
    <n v="2200.41"/>
    <n v="8.7999999999999995E-2"/>
    <n v="6"/>
    <n v="193.63607999999996"/>
    <n v="12040.64352"/>
    <n v="11847.007439999999"/>
    <n v="6163.5599999999995"/>
    <n v="5877.0835200000001"/>
    <n v="5683.4474399999999"/>
    <n v="1.9535209391974768"/>
  </r>
  <r>
    <x v="43"/>
    <x v="35"/>
    <d v="2024-06-16T00:00:00"/>
    <d v="2024-06-21T00:00:00"/>
    <d v="2024-06-21T00:00:00"/>
    <n v="5"/>
    <x v="0"/>
    <x v="0"/>
    <x v="14"/>
    <s v="Small Business"/>
    <s v="Distributor"/>
    <s v="F. Müller"/>
    <s v="Phones"/>
    <s v="PHN-9677"/>
    <n v="1367.13"/>
    <s v="High"/>
    <x v="43"/>
    <n v="3062.01"/>
    <n v="0.10299999999999999"/>
    <n v="25"/>
    <n v="315.38702999999998"/>
    <n v="68665.574250000005"/>
    <n v="68350.187220000007"/>
    <n v="34178.25"/>
    <n v="34487.324250000005"/>
    <n v="34171.937220000007"/>
    <n v="2.0090430098088699"/>
  </r>
  <r>
    <x v="44"/>
    <x v="36"/>
    <d v="2024-03-13T00:00:00"/>
    <d v="2024-04-06T00:00:00"/>
    <d v="2024-04-06T00:00:00"/>
    <n v="24"/>
    <x v="3"/>
    <x v="9"/>
    <x v="25"/>
    <s v="Consumer"/>
    <s v="Distributor"/>
    <s v="L. Okafor"/>
    <s v="Components"/>
    <s v="CMP-9001"/>
    <n v="1232.78"/>
    <s v="Medium"/>
    <x v="44"/>
    <n v="1731.75"/>
    <n v="9.2999999999999999E-2"/>
    <n v="16"/>
    <n v="161.05275"/>
    <n v="25131.155999999999"/>
    <n v="24970.10325"/>
    <n v="19724.48"/>
    <n v="5406.6759999999995"/>
    <n v="5245.6232500000006"/>
    <n v="1.2741099385129544"/>
  </r>
  <r>
    <x v="45"/>
    <x v="37"/>
    <d v="2025-04-17T00:00:00"/>
    <d v="2025-04-17T00:00:00"/>
    <d v="2025-04-17T00:00:00"/>
    <n v="0"/>
    <x v="2"/>
    <x v="6"/>
    <x v="26"/>
    <s v="Corporate"/>
    <s v="Distributor"/>
    <s v="L. Okafor"/>
    <s v="Phones"/>
    <s v="PHN-4566"/>
    <n v="719.41"/>
    <s v="Medium"/>
    <x v="45"/>
    <n v="1125.99"/>
    <n v="4.1000000000000002E-2"/>
    <n v="21"/>
    <n v="46.165590000000002"/>
    <n v="22676.312610000001"/>
    <n v="22630.14702"/>
    <n v="15107.609999999999"/>
    <n v="7568.7026100000021"/>
    <n v="7522.5370200000016"/>
    <n v="1.5009860997206046"/>
  </r>
  <r>
    <x v="46"/>
    <x v="37"/>
    <d v="2023-05-03T00:00:00"/>
    <d v="2023-05-16T00:00:00"/>
    <d v="2023-05-16T00:00:00"/>
    <n v="13"/>
    <x v="2"/>
    <x v="10"/>
    <x v="27"/>
    <s v="Corporate"/>
    <s v="Marketplace"/>
    <s v="L. Okafor"/>
    <s v="Phones"/>
    <s v="PHN-5366"/>
    <n v="64.5"/>
    <s v="Low"/>
    <x v="46"/>
    <n v="123.62"/>
    <n v="0"/>
    <n v="3"/>
    <n v="0"/>
    <n v="370.86"/>
    <n v="370.86"/>
    <n v="193.5"/>
    <n v="177.36"/>
    <n v="177.36"/>
    <n v="1.9165891472868217"/>
  </r>
  <r>
    <x v="47"/>
    <x v="38"/>
    <d v="2024-08-03T00:00:00"/>
    <d v="2024-08-09T00:00:00"/>
    <d v="2024-08-09T00:00:00"/>
    <n v="6"/>
    <x v="3"/>
    <x v="5"/>
    <x v="20"/>
    <s v="Consumer"/>
    <s v="Marketplace"/>
    <s v="H. Kim"/>
    <s v="Laptops"/>
    <s v="LAP-1969"/>
    <n v="643.21"/>
    <s v="Medium"/>
    <x v="47"/>
    <n v="1112.81"/>
    <n v="0.14099999999999999"/>
    <n v="4"/>
    <n v="156.90620999999999"/>
    <n v="3823.6151599999998"/>
    <n v="3666.7089499999997"/>
    <n v="2572.84"/>
    <n v="1250.7751599999997"/>
    <n v="1093.8689499999996"/>
    <n v="1.4861457222369054"/>
  </r>
  <r>
    <x v="48"/>
    <x v="39"/>
    <d v="2024-09-06T00:00:00"/>
    <d v="2024-09-06T00:00:00"/>
    <d v="2024-09-04T00:00:00"/>
    <n v="-2"/>
    <x v="0"/>
    <x v="0"/>
    <x v="0"/>
    <s v="Corporate"/>
    <s v="Direct"/>
    <s v="A. Patel"/>
    <s v="Laptops"/>
    <s v="LAP-4483"/>
    <n v="1368.17"/>
    <s v="High"/>
    <x v="48"/>
    <n v="2307.75"/>
    <n v="0.16300000000000001"/>
    <n v="21"/>
    <n v="376.16325000000001"/>
    <n v="40563.321749999996"/>
    <n v="40187.158499999998"/>
    <n v="28731.57"/>
    <n v="11831.751749999996"/>
    <n v="11455.588499999998"/>
    <n v="1.4118031750440367"/>
  </r>
  <r>
    <x v="49"/>
    <x v="40"/>
    <d v="2023-06-03T00:00:00"/>
    <d v="2023-07-01T00:00:00"/>
    <d v="2023-07-01T00:00:00"/>
    <n v="28"/>
    <x v="2"/>
    <x v="6"/>
    <x v="28"/>
    <s v="Small Business"/>
    <s v="Marketplace"/>
    <s v="A. Patel"/>
    <s v="Components"/>
    <s v="CMP-1223"/>
    <n v="860.4"/>
    <s v="High"/>
    <x v="49"/>
    <n v="2066.6"/>
    <n v="0.01"/>
    <n v="3"/>
    <n v="20.666"/>
    <n v="6137.8019999999988"/>
    <n v="6117.1359999999986"/>
    <n v="2581.1999999999998"/>
    <n v="3556.601999999999"/>
    <n v="3535.9359999999988"/>
    <n v="2.3778870292887024"/>
  </r>
  <r>
    <x v="50"/>
    <x v="40"/>
    <d v="2023-01-29T00:00:00"/>
    <d v="2023-02-06T00:00:00"/>
    <d v="2023-02-06T00:00:00"/>
    <n v="8"/>
    <x v="2"/>
    <x v="6"/>
    <x v="28"/>
    <s v="Corporate"/>
    <s v="Marketplace"/>
    <s v="D. Smith"/>
    <s v="Monitors"/>
    <s v="MON-7207"/>
    <n v="41.84"/>
    <s v="Low"/>
    <x v="50"/>
    <n v="86.2"/>
    <n v="0.22600000000000001"/>
    <n v="27"/>
    <n v="19.481200000000001"/>
    <n v="1801.4076000000002"/>
    <n v="1781.9264000000003"/>
    <n v="1129.68"/>
    <n v="671.72760000000017"/>
    <n v="652.24640000000022"/>
    <n v="1.5946175908221798"/>
  </r>
  <r>
    <x v="51"/>
    <x v="41"/>
    <d v="2025-07-11T00:00:00"/>
    <d v="2025-08-03T00:00:00"/>
    <d v="2025-08-03T00:00:00"/>
    <n v="23"/>
    <x v="3"/>
    <x v="5"/>
    <x v="9"/>
    <s v="Small Business"/>
    <s v="Retail"/>
    <s v="C. Otieno"/>
    <s v="Phones"/>
    <s v="PHN-7636"/>
    <n v="389.93"/>
    <s v="Low"/>
    <x v="51"/>
    <n v="486.13"/>
    <n v="0.13200000000000001"/>
    <n v="17"/>
    <n v="64.169160000000005"/>
    <n v="7173.3342799999991"/>
    <n v="7109.1651199999988"/>
    <n v="6628.81"/>
    <n v="544.52427999999873"/>
    <n v="480.35511999999835"/>
    <n v="1.0821451029671991"/>
  </r>
  <r>
    <x v="52"/>
    <x v="42"/>
    <d v="2024-11-11T00:00:00"/>
    <d v="2024-11-24T00:00:00"/>
    <d v="2024-11-24T00:00:00"/>
    <n v="13"/>
    <x v="1"/>
    <x v="7"/>
    <x v="10"/>
    <s v="Corporate"/>
    <s v="Retail"/>
    <s v="E. Garcia"/>
    <s v="Networking"/>
    <s v="NET-2932"/>
    <n v="164.53"/>
    <s v="Low"/>
    <x v="52"/>
    <n v="327.72"/>
    <n v="6.7000000000000004E-2"/>
    <n v="14"/>
    <n v="21.957240000000002"/>
    <n v="4280.6786400000001"/>
    <n v="4258.7214000000004"/>
    <n v="2303.42"/>
    <n v="1977.25864"/>
    <n v="1955.3014000000003"/>
    <n v="1.8584012642071355"/>
  </r>
  <r>
    <x v="53"/>
    <x v="43"/>
    <d v="2025-08-03T00:00:00"/>
    <d v="2025-08-16T00:00:00"/>
    <d v="2025-08-16T00:00:00"/>
    <n v="13"/>
    <x v="2"/>
    <x v="2"/>
    <x v="29"/>
    <s v="Enterprise"/>
    <s v="Distributor"/>
    <s v="O. Wang"/>
    <s v="Networking"/>
    <s v="NET-3785"/>
    <n v="698.66"/>
    <s v="Medium"/>
    <x v="53"/>
    <n v="868.62"/>
    <n v="7.1999999999999995E-2"/>
    <n v="15"/>
    <n v="62.540639999999996"/>
    <n v="12091.190399999999"/>
    <n v="12028.64976"/>
    <n v="10479.9"/>
    <n v="1611.2903999999999"/>
    <n v="1548.7497600000006"/>
    <n v="1.1537505510548764"/>
  </r>
  <r>
    <x v="54"/>
    <x v="43"/>
    <d v="2023-08-02T00:00:00"/>
    <d v="2023-08-19T00:00:00"/>
    <d v="2023-08-19T00:00:00"/>
    <n v="17"/>
    <x v="2"/>
    <x v="2"/>
    <x v="3"/>
    <s v="Corporate"/>
    <s v="Online"/>
    <s v="F. Müller"/>
    <s v="Networking"/>
    <s v="NET-3689"/>
    <n v="175.38"/>
    <s v="Low"/>
    <x v="54"/>
    <n v="347.9"/>
    <n v="7.1999999999999995E-2"/>
    <n v="43"/>
    <n v="25.048799999999996"/>
    <n v="13882.6016"/>
    <n v="13857.552799999999"/>
    <n v="7541.34"/>
    <n v="6341.2615999999998"/>
    <n v="6316.2127999999993"/>
    <n v="1.8408666894742844"/>
  </r>
  <r>
    <x v="55"/>
    <x v="43"/>
    <d v="2023-06-15T00:00:00"/>
    <d v="2023-07-12T00:00:00"/>
    <d v="2023-07-12T00:00:00"/>
    <n v="27"/>
    <x v="1"/>
    <x v="7"/>
    <x v="12"/>
    <s v="Consumer"/>
    <s v="Direct"/>
    <s v="I. Johnson"/>
    <s v="Accessories"/>
    <s v="ACC-3833"/>
    <n v="751.28"/>
    <s v="Medium"/>
    <x v="55"/>
    <n v="1111.8800000000001"/>
    <n v="0.13500000000000001"/>
    <n v="7"/>
    <n v="150.10380000000004"/>
    <n v="6732.4334000000008"/>
    <n v="6582.3296000000009"/>
    <n v="5258.96"/>
    <n v="1473.4734000000008"/>
    <n v="1323.3696000000009"/>
    <n v="1.2801834202960283"/>
  </r>
  <r>
    <x v="56"/>
    <x v="44"/>
    <d v="2023-12-19T00:00:00"/>
    <d v="2024-01-01T00:00:00"/>
    <d v="2024-01-01T00:00:00"/>
    <n v="13"/>
    <x v="2"/>
    <x v="2"/>
    <x v="21"/>
    <s v="Enterprise"/>
    <s v="Retail"/>
    <s v="K. Singh"/>
    <s v="Monitors"/>
    <s v="MON-6065"/>
    <n v="856.1"/>
    <s v="Medium"/>
    <x v="56"/>
    <n v="901.48"/>
    <n v="5.6000000000000001E-2"/>
    <n v="17"/>
    <n v="50.482880000000002"/>
    <n v="14466.95104"/>
    <n v="14416.46816"/>
    <n v="14553.7"/>
    <n v="-86.748960000000807"/>
    <n v="-137.23184000000037"/>
    <n v="0.99403938792197166"/>
  </r>
  <r>
    <x v="57"/>
    <x v="44"/>
    <d v="2023-04-26T00:00:00"/>
    <d v="2023-04-26T00:00:00"/>
    <d v="2023-04-26T00:00:00"/>
    <n v="0"/>
    <x v="1"/>
    <x v="8"/>
    <x v="22"/>
    <s v="Consumer"/>
    <s v="Direct"/>
    <s v="M. Rossi"/>
    <s v="Components"/>
    <s v="CMP-4945"/>
    <n v="81.489999999999995"/>
    <s v="Low"/>
    <x v="57"/>
    <n v="113.08"/>
    <n v="0.121"/>
    <n v="5"/>
    <n v="13.68268"/>
    <n v="496.98660000000001"/>
    <n v="483.30392000000001"/>
    <n v="407.45"/>
    <n v="89.536600000000021"/>
    <n v="75.853920000000016"/>
    <n v="1.2197486808197326"/>
  </r>
  <r>
    <x v="58"/>
    <x v="45"/>
    <d v="2025-03-24T00:00:00"/>
    <d v="2025-04-04T00:00:00"/>
    <d v="2025-04-04T00:00:00"/>
    <n v="11"/>
    <x v="0"/>
    <x v="4"/>
    <x v="30"/>
    <s v="Education"/>
    <s v="Marketplace"/>
    <s v="J. Njeri"/>
    <s v="Phones"/>
    <s v="PHN-4395"/>
    <n v="23.83"/>
    <s v="Low"/>
    <x v="58"/>
    <n v="47.29"/>
    <n v="6.4000000000000001E-2"/>
    <n v="19"/>
    <n v="3.0265599999999999"/>
    <n v="841.00536"/>
    <n v="837.97879999999998"/>
    <n v="452.77"/>
    <n v="388.23536000000001"/>
    <n v="385.2088"/>
    <n v="1.8574670583298365"/>
  </r>
  <r>
    <x v="59"/>
    <x v="45"/>
    <d v="2024-01-02T00:00:00"/>
    <d v="2024-01-02T00:00:00"/>
    <d v="2024-01-02T00:00:00"/>
    <n v="0"/>
    <x v="2"/>
    <x v="2"/>
    <x v="3"/>
    <s v="Education"/>
    <s v="Direct"/>
    <s v="A. Patel"/>
    <s v="Laptops"/>
    <s v="LAP-3581"/>
    <n v="444.41"/>
    <s v="Medium"/>
    <x v="59"/>
    <n v="754.24"/>
    <n v="0.20699999999999999"/>
    <n v="32"/>
    <n v="156.12768"/>
    <n v="19139.594240000002"/>
    <n v="18983.466560000001"/>
    <n v="14221.12"/>
    <n v="4918.4742400000014"/>
    <n v="4762.34656"/>
    <n v="1.3458570239193539"/>
  </r>
  <r>
    <x v="60"/>
    <x v="46"/>
    <d v="2023-06-01T00:00:00"/>
    <d v="2023-06-01T00:00:00"/>
    <d v="2023-06-01T00:00:00"/>
    <n v="0"/>
    <x v="0"/>
    <x v="4"/>
    <x v="31"/>
    <s v="Corporate"/>
    <s v="Retail"/>
    <s v="E. Garcia"/>
    <s v="Accessories"/>
    <s v="ACC-4587"/>
    <n v="669.37"/>
    <s v="Medium"/>
    <x v="60"/>
    <n v="997.2"/>
    <n v="8.2000000000000003E-2"/>
    <n v="5"/>
    <n v="81.770400000000009"/>
    <n v="4577.1480000000001"/>
    <n v="4495.3775999999998"/>
    <n v="3346.85"/>
    <n v="1230.2980000000002"/>
    <n v="1148.5275999999999"/>
    <n v="1.3675987869190434"/>
  </r>
  <r>
    <x v="61"/>
    <x v="47"/>
    <d v="2024-02-08T00:00:00"/>
    <d v="2024-02-09T00:00:00"/>
    <d v="2024-02-09T00:00:00"/>
    <n v="1"/>
    <x v="3"/>
    <x v="5"/>
    <x v="20"/>
    <s v="Corporate"/>
    <s v="Direct"/>
    <s v="F. Müller"/>
    <s v="Components"/>
    <s v="CMP-5911"/>
    <n v="1233.52"/>
    <s v="Medium"/>
    <x v="61"/>
    <n v="1543.76"/>
    <n v="0.126"/>
    <n v="13"/>
    <n v="194.51375999999999"/>
    <n v="17540.201120000002"/>
    <n v="17345.68736"/>
    <n v="16035.76"/>
    <n v="1504.4411200000013"/>
    <n v="1309.9273599999997"/>
    <n v="1.0938178870225048"/>
  </r>
  <r>
    <x v="62"/>
    <x v="47"/>
    <d v="2025-06-26T00:00:00"/>
    <d v="2025-07-11T00:00:00"/>
    <d v="2025-07-11T00:00:00"/>
    <n v="15"/>
    <x v="3"/>
    <x v="9"/>
    <x v="13"/>
    <s v="Small Business"/>
    <s v="Online"/>
    <s v="A. Patel"/>
    <s v="Laptops"/>
    <s v="LAP-7523"/>
    <n v="1170.1500000000001"/>
    <s v="High"/>
    <x v="62"/>
    <n v="2115.19"/>
    <n v="9.1999999999999998E-2"/>
    <n v="23"/>
    <n v="194.59747999999999"/>
    <n v="44173.627960000005"/>
    <n v="43979.030480000009"/>
    <n v="26913.45"/>
    <n v="17260.177960000005"/>
    <n v="17065.580480000008"/>
    <n v="1.6413216425244628"/>
  </r>
  <r>
    <x v="63"/>
    <x v="47"/>
    <d v="2024-11-04T00:00:00"/>
    <d v="2024-11-07T00:00:00"/>
    <d v="2024-11-07T00:00:00"/>
    <n v="3"/>
    <x v="1"/>
    <x v="8"/>
    <x v="24"/>
    <s v="Corporate"/>
    <s v="Online"/>
    <s v="O. Wang"/>
    <s v="Monitors"/>
    <s v="MON-1118"/>
    <n v="740.68"/>
    <s v="Medium"/>
    <x v="63"/>
    <n v="1837.19"/>
    <n v="0.19700000000000001"/>
    <n v="17"/>
    <n v="361.92643000000004"/>
    <n v="25079.480689999997"/>
    <n v="24717.554259999997"/>
    <n v="12591.56"/>
    <n v="12487.920689999997"/>
    <n v="12125.994259999998"/>
    <n v="1.9917691445698547"/>
  </r>
  <r>
    <x v="64"/>
    <x v="47"/>
    <d v="2024-02-20T00:00:00"/>
    <d v="2024-02-20T00:00:00"/>
    <d v="2024-02-20T00:00:00"/>
    <n v="0"/>
    <x v="2"/>
    <x v="10"/>
    <x v="27"/>
    <s v="Enterprise"/>
    <s v="Online"/>
    <s v="C. Otieno"/>
    <s v="Networking"/>
    <s v="NET-9177"/>
    <n v="1407.05"/>
    <s v="High"/>
    <x v="64"/>
    <n v="2858.93"/>
    <n v="0"/>
    <n v="12"/>
    <n v="0"/>
    <n v="34307.159999999996"/>
    <n v="34307.159999999996"/>
    <n v="16884.599999999999"/>
    <n v="17422.559999999998"/>
    <n v="17422.559999999998"/>
    <n v="2.0318609857503285"/>
  </r>
  <r>
    <x v="65"/>
    <x v="47"/>
    <d v="2025-04-13T00:00:00"/>
    <d v="2025-04-14T00:00:00"/>
    <d v="2025-04-14T00:00:00"/>
    <n v="1"/>
    <x v="0"/>
    <x v="0"/>
    <x v="0"/>
    <s v="Enterprise"/>
    <s v="Online"/>
    <s v="G. Dubois"/>
    <s v="Components"/>
    <s v="CMP-6495"/>
    <n v="138.9"/>
    <s v="Low"/>
    <x v="65"/>
    <n v="289.92"/>
    <n v="2.9000000000000001E-2"/>
    <n v="12"/>
    <n v="8.4076800000000009"/>
    <n v="3378.1478400000001"/>
    <n v="3369.7401600000003"/>
    <n v="1666.8000000000002"/>
    <n v="1711.3478399999999"/>
    <n v="1702.9401600000001"/>
    <n v="2.0267265658747298"/>
  </r>
  <r>
    <x v="66"/>
    <x v="48"/>
    <d v="2025-02-04T00:00:00"/>
    <d v="2025-02-08T00:00:00"/>
    <d v="2025-02-08T00:00:00"/>
    <n v="4"/>
    <x v="1"/>
    <x v="7"/>
    <x v="12"/>
    <s v="Enterprise"/>
    <s v="Marketplace"/>
    <s v="L. Okafor"/>
    <s v="Networking"/>
    <s v="NET-2502"/>
    <n v="586.21"/>
    <s v="Medium"/>
    <x v="66"/>
    <n v="727.22"/>
    <n v="6.8000000000000005E-2"/>
    <n v="15"/>
    <n v="49.450960000000002"/>
    <n v="10166.535600000001"/>
    <n v="10117.084640000001"/>
    <n v="8793.1500000000015"/>
    <n v="1373.3855999999996"/>
    <n v="1323.9346399999995"/>
    <n v="1.1561881237099332"/>
  </r>
  <r>
    <x v="67"/>
    <x v="48"/>
    <d v="2024-01-24T00:00:00"/>
    <d v="2024-02-04T00:00:00"/>
    <d v="2024-02-04T00:00:00"/>
    <n v="11"/>
    <x v="1"/>
    <x v="7"/>
    <x v="12"/>
    <s v="Consumer"/>
    <s v="Retail"/>
    <s v="B. Chen"/>
    <s v="Laptops"/>
    <s v="LAP-5689"/>
    <n v="525.34"/>
    <s v="Medium"/>
    <x v="67"/>
    <n v="1233.79"/>
    <n v="0.14299999999999999"/>
    <n v="4"/>
    <n v="176.43196999999998"/>
    <n v="4229.4321199999995"/>
    <n v="4053.0001499999994"/>
    <n v="2101.36"/>
    <n v="2128.0721199999994"/>
    <n v="1951.6401499999993"/>
    <n v="2.012711824723036"/>
  </r>
  <r>
    <x v="68"/>
    <x v="49"/>
    <d v="2023-04-13T00:00:00"/>
    <d v="2023-05-02T00:00:00"/>
    <d v="2023-05-02T00:00:00"/>
    <n v="19"/>
    <x v="2"/>
    <x v="2"/>
    <x v="29"/>
    <s v="Consumer"/>
    <s v="Distributor"/>
    <s v="E. Garcia"/>
    <s v="Monitors"/>
    <s v="MON-6053"/>
    <n v="671.05"/>
    <s v="Medium"/>
    <x v="68"/>
    <n v="1645.48"/>
    <n v="0.13700000000000001"/>
    <n v="6"/>
    <n v="225.43076000000002"/>
    <n v="8520.2954399999999"/>
    <n v="8294.8646800000006"/>
    <n v="4026.2999999999997"/>
    <n v="4493.9954400000006"/>
    <n v="4268.5646800000013"/>
    <n v="2.1161601072945384"/>
  </r>
  <r>
    <x v="69"/>
    <x v="50"/>
    <d v="2024-11-30T00:00:00"/>
    <d v="2024-12-19T00:00:00"/>
    <d v="2024-12-19T00:00:00"/>
    <n v="19"/>
    <x v="3"/>
    <x v="5"/>
    <x v="15"/>
    <s v="Corporate"/>
    <s v="Online"/>
    <s v="L. Okafor"/>
    <s v="Phones"/>
    <s v="PHN-1919"/>
    <n v="1195.98"/>
    <s v="Medium"/>
    <x v="69"/>
    <n v="1841.9"/>
    <n v="5.5E-2"/>
    <n v="19"/>
    <n v="101.3045"/>
    <n v="33071.3145"/>
    <n v="32970.01"/>
    <n v="22723.62"/>
    <n v="10347.694500000001"/>
    <n v="10246.390000000003"/>
    <n v="1.4553717453469122"/>
  </r>
  <r>
    <x v="70"/>
    <x v="51"/>
    <d v="2024-10-25T00:00:00"/>
    <d v="2024-11-05T00:00:00"/>
    <d v="2024-11-05T00:00:00"/>
    <n v="11"/>
    <x v="2"/>
    <x v="10"/>
    <x v="27"/>
    <s v="Corporate"/>
    <s v="Distributor"/>
    <s v="N. Brown"/>
    <s v="Components"/>
    <s v="CMP-9498"/>
    <n v="446.66"/>
    <s v="Low"/>
    <x v="70"/>
    <n v="527.64"/>
    <n v="0.14499999999999999"/>
    <n v="15"/>
    <n v="76.507799999999989"/>
    <n v="6766.9829999999993"/>
    <n v="6690.4751999999989"/>
    <n v="6699.9000000000005"/>
    <n v="67.082999999998719"/>
    <n v="-9.4248000000015963"/>
    <n v="1.0100125375005595"/>
  </r>
  <r>
    <x v="71"/>
    <x v="52"/>
    <d v="2024-01-08T00:00:00"/>
    <d v="2024-01-12T00:00:00"/>
    <d v="2024-01-12T00:00:00"/>
    <n v="4"/>
    <x v="0"/>
    <x v="4"/>
    <x v="31"/>
    <s v="Corporate"/>
    <s v="Direct"/>
    <s v="E. Garcia"/>
    <s v="Printers"/>
    <s v="PRN-6585"/>
    <n v="802.32"/>
    <s v="Low"/>
    <x v="71"/>
    <n v="602.34"/>
    <n v="0.12"/>
    <n v="25"/>
    <n v="72.280799999999999"/>
    <n v="13251.48"/>
    <n v="13179.199199999999"/>
    <n v="20058"/>
    <n v="-6806.52"/>
    <n v="-6878.8008000000009"/>
    <n v="0.6606580915345498"/>
  </r>
  <r>
    <x v="72"/>
    <x v="53"/>
    <d v="2025-05-14T00:00:00"/>
    <d v="2025-05-14T00:00:00"/>
    <d v="2025-05-12T00:00:00"/>
    <n v="-2"/>
    <x v="2"/>
    <x v="2"/>
    <x v="3"/>
    <s v="Non-Profit"/>
    <s v="Distributor"/>
    <s v="F. Müller"/>
    <s v="Printers"/>
    <s v="PRN-2407"/>
    <n v="883.5"/>
    <s v="High"/>
    <x v="72"/>
    <n v="1978.91"/>
    <n v="5.3999999999999999E-2"/>
    <n v="27"/>
    <n v="106.86114000000001"/>
    <n v="50545.319219999998"/>
    <n v="50438.458079999997"/>
    <n v="23854.5"/>
    <n v="26690.819219999998"/>
    <n v="26583.958079999997"/>
    <n v="2.1189008036219579"/>
  </r>
  <r>
    <x v="73"/>
    <x v="53"/>
    <d v="2024-03-11T00:00:00"/>
    <d v="2024-03-29T00:00:00"/>
    <d v="2024-03-29T00:00:00"/>
    <n v="18"/>
    <x v="2"/>
    <x v="10"/>
    <x v="27"/>
    <s v="Corporate"/>
    <s v="Retail"/>
    <s v="M. Rossi"/>
    <s v="Monitors"/>
    <s v="MON-7099"/>
    <n v="710.98"/>
    <s v="Medium"/>
    <x v="73"/>
    <n v="1481.45"/>
    <n v="0.21099999999999999"/>
    <n v="9"/>
    <n v="312.58595000000003"/>
    <n v="10519.776450000001"/>
    <n v="10207.190500000001"/>
    <n v="6398.82"/>
    <n v="4120.9564500000015"/>
    <n v="3808.3705000000009"/>
    <n v="1.6440181861655745"/>
  </r>
  <r>
    <x v="74"/>
    <x v="53"/>
    <d v="2024-05-18T00:00:00"/>
    <d v="2024-05-22T00:00:00"/>
    <d v="2024-05-22T00:00:00"/>
    <n v="4"/>
    <x v="3"/>
    <x v="5"/>
    <x v="7"/>
    <s v="Corporate"/>
    <s v="Direct"/>
    <s v="H. Kim"/>
    <s v="Accessories"/>
    <s v="ACC-7354"/>
    <n v="857.42"/>
    <s v="Medium"/>
    <x v="74"/>
    <n v="1658.92"/>
    <n v="0.122"/>
    <n v="9"/>
    <n v="202.38824"/>
    <n v="13108.78584"/>
    <n v="12906.3976"/>
    <n v="7716.78"/>
    <n v="5392.0058400000007"/>
    <n v="5189.6176000000005"/>
    <n v="1.698737794779688"/>
  </r>
  <r>
    <x v="75"/>
    <x v="54"/>
    <d v="2023-05-07T00:00:00"/>
    <d v="2023-05-20T00:00:00"/>
    <d v="2023-05-20T00:00:00"/>
    <n v="13"/>
    <x v="0"/>
    <x v="4"/>
    <x v="30"/>
    <s v="Enterprise"/>
    <s v="Retail"/>
    <s v="D. Smith"/>
    <s v="Accessories"/>
    <s v="ACC-9283"/>
    <n v="1443.28"/>
    <s v="High"/>
    <x v="75"/>
    <n v="2580.5700000000002"/>
    <n v="0"/>
    <n v="18"/>
    <n v="0"/>
    <n v="46450.26"/>
    <n v="46450.26"/>
    <n v="25979.040000000001"/>
    <n v="20471.22"/>
    <n v="20471.22"/>
    <n v="1.7879898564381131"/>
  </r>
  <r>
    <x v="76"/>
    <x v="55"/>
    <d v="2025-02-15T00:00:00"/>
    <d v="2025-03-01T00:00:00"/>
    <d v="2025-03-01T00:00:00"/>
    <n v="14"/>
    <x v="3"/>
    <x v="5"/>
    <x v="20"/>
    <s v="Education"/>
    <s v="Direct"/>
    <s v="L. Okafor"/>
    <s v="Accessories"/>
    <s v="ACC-5144"/>
    <n v="1162.8599999999999"/>
    <s v="Medium"/>
    <x v="76"/>
    <n v="1447.68"/>
    <n v="8.6999999999999994E-2"/>
    <n v="12"/>
    <n v="125.94816"/>
    <n v="15860.782080000001"/>
    <n v="15734.833920000001"/>
    <n v="13954.32"/>
    <n v="1906.4620800000012"/>
    <n v="1780.5139200000012"/>
    <n v="1.1366216397502709"/>
  </r>
  <r>
    <x v="77"/>
    <x v="55"/>
    <d v="2024-08-31T00:00:00"/>
    <d v="2024-09-26T00:00:00"/>
    <d v="2024-09-26T00:00:00"/>
    <n v="26"/>
    <x v="0"/>
    <x v="0"/>
    <x v="14"/>
    <s v="Education"/>
    <s v="Online"/>
    <s v="I. Johnson"/>
    <s v="Phones"/>
    <s v="PHN-6111"/>
    <n v="1189.03"/>
    <s v="High"/>
    <x v="77"/>
    <n v="2949.62"/>
    <n v="0.125"/>
    <n v="13"/>
    <n v="368.70249999999999"/>
    <n v="33551.927499999998"/>
    <n v="33183.224999999999"/>
    <n v="15457.39"/>
    <n v="18094.537499999999"/>
    <n v="17725.834999999999"/>
    <n v="2.1706075540566681"/>
  </r>
  <r>
    <x v="78"/>
    <x v="56"/>
    <d v="2025-02-16T00:00:00"/>
    <d v="2025-03-17T00:00:00"/>
    <d v="2025-03-17T00:00:00"/>
    <n v="29"/>
    <x v="1"/>
    <x v="1"/>
    <x v="32"/>
    <s v="Consumer"/>
    <s v="Retail"/>
    <s v="L. Okafor"/>
    <s v="Accessories"/>
    <s v="ACC-5150"/>
    <n v="730.42"/>
    <s v="Medium"/>
    <x v="78"/>
    <n v="956.7"/>
    <n v="4.2000000000000003E-2"/>
    <n v="22"/>
    <n v="40.181400000000004"/>
    <n v="20163.409200000002"/>
    <n v="20123.227800000001"/>
    <n v="16069.24"/>
    <n v="4094.1692000000021"/>
    <n v="4053.9878000000008"/>
    <n v="1.254783001560746"/>
  </r>
  <r>
    <x v="79"/>
    <x v="57"/>
    <d v="2024-12-07T00:00:00"/>
    <d v="2024-12-26T00:00:00"/>
    <d v="2024-12-26T00:00:00"/>
    <n v="19"/>
    <x v="1"/>
    <x v="7"/>
    <x v="10"/>
    <s v="Enterprise"/>
    <s v="Online"/>
    <s v="D. Smith"/>
    <s v="Networking"/>
    <s v="NET-4491"/>
    <n v="1035.24"/>
    <s v="High"/>
    <x v="79"/>
    <n v="2383.41"/>
    <n v="0.17"/>
    <n v="15"/>
    <n v="405.17970000000003"/>
    <n v="29673.454499999993"/>
    <n v="29268.274799999992"/>
    <n v="15528.6"/>
    <n v="14144.854499999992"/>
    <n v="13739.674799999992"/>
    <n v="1.9108905181407205"/>
  </r>
  <r>
    <x v="80"/>
    <x v="57"/>
    <d v="2025-08-06T00:00:00"/>
    <d v="2025-08-23T00:00:00"/>
    <d v="2025-08-23T00:00:00"/>
    <n v="17"/>
    <x v="2"/>
    <x v="6"/>
    <x v="28"/>
    <s v="Consumer"/>
    <s v="Distributor"/>
    <s v="A. Patel"/>
    <s v="Monitors"/>
    <s v="MON-4317"/>
    <n v="86.64"/>
    <s v="Low"/>
    <x v="80"/>
    <n v="213.06"/>
    <n v="0.21199999999999999"/>
    <n v="11"/>
    <n v="45.16872"/>
    <n v="1846.8040799999999"/>
    <n v="1801.63536"/>
    <n v="953.04"/>
    <n v="893.76407999999992"/>
    <n v="848.59536000000003"/>
    <n v="1.937803324099723"/>
  </r>
  <r>
    <x v="81"/>
    <x v="57"/>
    <d v="2023-03-03T00:00:00"/>
    <d v="2023-03-20T00:00:00"/>
    <d v="2023-03-20T00:00:00"/>
    <n v="17"/>
    <x v="0"/>
    <x v="0"/>
    <x v="1"/>
    <s v="Small Business"/>
    <s v="Online"/>
    <s v="D. Smith"/>
    <s v="Networking"/>
    <s v="NET-7349"/>
    <n v="1171.17"/>
    <s v="High"/>
    <x v="81"/>
    <n v="2030.64"/>
    <n v="0.157"/>
    <n v="11"/>
    <n v="318.81048000000004"/>
    <n v="18830.12472"/>
    <n v="18511.31424"/>
    <n v="12882.87"/>
    <n v="5947.254719999999"/>
    <n v="5628.4442399999989"/>
    <n v="1.461640513332821"/>
  </r>
  <r>
    <x v="82"/>
    <x v="58"/>
    <d v="2023-02-28T00:00:00"/>
    <d v="2023-03-06T00:00:00"/>
    <d v="2023-03-06T00:00:00"/>
    <n v="6"/>
    <x v="1"/>
    <x v="1"/>
    <x v="2"/>
    <s v="Small Business"/>
    <s v="Marketplace"/>
    <s v="D. Smith"/>
    <s v="Printers"/>
    <s v="PRN-9624"/>
    <n v="880.02"/>
    <s v="Medium"/>
    <x v="82"/>
    <n v="1251.21"/>
    <n v="0.123"/>
    <n v="29"/>
    <n v="153.89883"/>
    <n v="31822.023930000003"/>
    <n v="31668.125100000005"/>
    <n v="25520.579999999998"/>
    <n v="6301.4439300000049"/>
    <n v="6147.5451000000066"/>
    <n v="1.2469161723597193"/>
  </r>
  <r>
    <x v="83"/>
    <x v="58"/>
    <d v="2024-07-13T00:00:00"/>
    <d v="2024-08-03T00:00:00"/>
    <d v="2024-08-03T00:00:00"/>
    <n v="21"/>
    <x v="2"/>
    <x v="6"/>
    <x v="8"/>
    <s v="Corporate"/>
    <s v="Marketplace"/>
    <s v="M. Rossi"/>
    <s v="Monitors"/>
    <s v="MON-6287"/>
    <n v="702.98"/>
    <s v="Medium"/>
    <x v="83"/>
    <n v="1104.8"/>
    <n v="0.17499999999999999"/>
    <n v="12"/>
    <n v="193.33999999999997"/>
    <n v="10937.519999999999"/>
    <n v="10744.179999999998"/>
    <n v="8435.76"/>
    <n v="2501.7599999999984"/>
    <n v="2308.4199999999983"/>
    <n v="1.2965660473982188"/>
  </r>
  <r>
    <x v="84"/>
    <x v="59"/>
    <d v="2024-03-04T00:00:00"/>
    <d v="2024-03-16T00:00:00"/>
    <d v="2024-03-16T00:00:00"/>
    <n v="12"/>
    <x v="3"/>
    <x v="11"/>
    <x v="19"/>
    <s v="Enterprise"/>
    <s v="Distributor"/>
    <s v="M. Rossi"/>
    <s v="Monitors"/>
    <s v="MON-8422"/>
    <n v="441.08"/>
    <s v="Medium"/>
    <x v="84"/>
    <n v="1054.29"/>
    <n v="0.23699999999999999"/>
    <n v="6"/>
    <n v="249.86672999999999"/>
    <n v="4826.5396199999996"/>
    <n v="4576.6728899999998"/>
    <n v="2646.48"/>
    <n v="2180.0596199999995"/>
    <n v="1930.1928899999998"/>
    <n v="1.8237582071279586"/>
  </r>
  <r>
    <x v="85"/>
    <x v="59"/>
    <d v="2023-09-08T00:00:00"/>
    <d v="2023-10-02T00:00:00"/>
    <d v="2023-10-02T00:00:00"/>
    <n v="24"/>
    <x v="2"/>
    <x v="2"/>
    <x v="21"/>
    <s v="Education"/>
    <s v="Direct"/>
    <s v="A. Patel"/>
    <s v="Accessories"/>
    <s v="ACC-3415"/>
    <n v="1299.03"/>
    <s v="High"/>
    <x v="85"/>
    <n v="2451.2199999999998"/>
    <n v="0.20799999999999999"/>
    <n v="8"/>
    <n v="509.85375999999991"/>
    <n v="15530.929919999999"/>
    <n v="15021.076159999999"/>
    <n v="10392.24"/>
    <n v="5138.6899199999989"/>
    <n v="4628.8361599999989"/>
    <n v="1.4944737534929908"/>
  </r>
  <r>
    <x v="86"/>
    <x v="60"/>
    <d v="2025-08-20T00:00:00"/>
    <d v="2025-08-26T00:00:00"/>
    <d v="2025-08-26T00:00:00"/>
    <n v="6"/>
    <x v="2"/>
    <x v="10"/>
    <x v="27"/>
    <s v="Corporate"/>
    <s v="Retail"/>
    <s v="M. Rossi"/>
    <s v="Networking"/>
    <s v="NET-5196"/>
    <n v="1304.95"/>
    <s v="Medium"/>
    <x v="86"/>
    <n v="1712.03"/>
    <n v="0.21199999999999999"/>
    <n v="8"/>
    <n v="362.95035999999999"/>
    <n v="10792.637119999999"/>
    <n v="10429.686759999999"/>
    <n v="10439.6"/>
    <n v="353.03711999999905"/>
    <n v="-9.9132400000016787"/>
    <n v="1.0338171117667343"/>
  </r>
  <r>
    <x v="87"/>
    <x v="61"/>
    <d v="2023-02-11T00:00:00"/>
    <d v="2023-02-12T00:00:00"/>
    <d v="2023-02-12T00:00:00"/>
    <n v="1"/>
    <x v="3"/>
    <x v="9"/>
    <x v="13"/>
    <s v="Non-Profit"/>
    <s v="Direct"/>
    <s v="D. Smith"/>
    <s v="Accessories"/>
    <s v="ACC-8242"/>
    <n v="944.61"/>
    <s v="Medium"/>
    <x v="87"/>
    <n v="839.04"/>
    <n v="5.8999999999999997E-2"/>
    <n v="6"/>
    <n v="49.503359999999994"/>
    <n v="4737.2198399999997"/>
    <n v="4687.71648"/>
    <n v="5667.66"/>
    <n v="-930.44016000000011"/>
    <n v="-979.94351999999981"/>
    <n v="0.83583345507669826"/>
  </r>
  <r>
    <x v="88"/>
    <x v="61"/>
    <d v="2023-07-01T00:00:00"/>
    <d v="2023-07-08T00:00:00"/>
    <d v="2023-07-08T00:00:00"/>
    <n v="7"/>
    <x v="1"/>
    <x v="1"/>
    <x v="2"/>
    <s v="Small Business"/>
    <s v="Distributor"/>
    <s v="N. Brown"/>
    <s v="Laptops"/>
    <s v="LAP-4666"/>
    <n v="460.21"/>
    <s v="Medium"/>
    <x v="88"/>
    <n v="1139.1500000000001"/>
    <n v="0.115"/>
    <n v="14"/>
    <n v="131.00225"/>
    <n v="14114.068500000001"/>
    <n v="13983.066250000002"/>
    <n v="6442.94"/>
    <n v="7671.1285000000016"/>
    <n v="7540.1262500000021"/>
    <n v="2.1906254753264816"/>
  </r>
  <r>
    <x v="89"/>
    <x v="62"/>
    <d v="2023-01-26T00:00:00"/>
    <d v="2023-02-15T00:00:00"/>
    <d v="2023-02-15T00:00:00"/>
    <n v="20"/>
    <x v="1"/>
    <x v="1"/>
    <x v="33"/>
    <s v="Small Business"/>
    <s v="Online"/>
    <s v="O. Wang"/>
    <s v="Networking"/>
    <s v="NET-8787"/>
    <n v="492.62"/>
    <s v="Low"/>
    <x v="89"/>
    <n v="366.7"/>
    <n v="8.8999999999999996E-2"/>
    <n v="10"/>
    <n v="32.636299999999999"/>
    <n v="3340.6370000000002"/>
    <n v="3308.0007000000001"/>
    <n v="4926.2"/>
    <n v="-1585.5629999999996"/>
    <n v="-1618.1992999999998"/>
    <n v="0.67813669765742368"/>
  </r>
  <r>
    <x v="90"/>
    <x v="62"/>
    <d v="2023-07-08T00:00:00"/>
    <d v="2023-07-09T00:00:00"/>
    <d v="2023-07-09T00:00:00"/>
    <n v="1"/>
    <x v="3"/>
    <x v="5"/>
    <x v="7"/>
    <s v="Consumer"/>
    <s v="Online"/>
    <s v="D. Smith"/>
    <s v="Laptops"/>
    <s v="LAP-1989"/>
    <n v="1258.72"/>
    <s v="High"/>
    <x v="90"/>
    <n v="2797.41"/>
    <n v="0"/>
    <n v="7"/>
    <n v="0"/>
    <n v="19581.87"/>
    <n v="19581.87"/>
    <n v="8811.0400000000009"/>
    <n v="10770.829999999998"/>
    <n v="10770.829999999998"/>
    <n v="2.2224243676115414"/>
  </r>
  <r>
    <x v="91"/>
    <x v="62"/>
    <d v="2024-06-07T00:00:00"/>
    <d v="2024-06-09T00:00:00"/>
    <d v="2024-06-09T00:00:00"/>
    <n v="2"/>
    <x v="0"/>
    <x v="3"/>
    <x v="4"/>
    <s v="Corporate"/>
    <s v="Retail"/>
    <s v="O. Wang"/>
    <s v="Monitors"/>
    <s v="MON-8688"/>
    <n v="1370.28"/>
    <s v="High"/>
    <x v="91"/>
    <n v="2209.66"/>
    <n v="0.13300000000000001"/>
    <n v="16"/>
    <n v="293.88477999999998"/>
    <n v="30652.403519999996"/>
    <n v="30358.518739999996"/>
    <n v="21924.48"/>
    <n v="8727.9235199999966"/>
    <n v="8434.0387399999963"/>
    <n v="1.3980903319029685"/>
  </r>
  <r>
    <x v="92"/>
    <x v="63"/>
    <d v="2023-07-07T00:00:00"/>
    <d v="2023-07-13T00:00:00"/>
    <d v="2023-07-13T00:00:00"/>
    <n v="6"/>
    <x v="3"/>
    <x v="11"/>
    <x v="18"/>
    <s v="Small Business"/>
    <s v="Marketplace"/>
    <s v="B. Chen"/>
    <s v="Accessories"/>
    <s v="ACC-9445"/>
    <n v="612.59"/>
    <s v="Medium"/>
    <x v="92"/>
    <n v="1424.74"/>
    <n v="4.3999999999999997E-2"/>
    <n v="15"/>
    <n v="62.688559999999995"/>
    <n v="20430.771599999996"/>
    <n v="20368.083039999998"/>
    <n v="9188.85"/>
    <n v="11241.921599999996"/>
    <n v="11179.233039999997"/>
    <n v="2.2234307448701411"/>
  </r>
  <r>
    <x v="93"/>
    <x v="63"/>
    <d v="2023-12-28T00:00:00"/>
    <d v="2024-01-01T00:00:00"/>
    <d v="2024-01-01T00:00:00"/>
    <n v="4"/>
    <x v="3"/>
    <x v="11"/>
    <x v="18"/>
    <s v="Education"/>
    <s v="Distributor"/>
    <s v="A. Patel"/>
    <s v="Printers"/>
    <s v="PRN-1654"/>
    <n v="1141.8"/>
    <s v="High"/>
    <x v="93"/>
    <n v="2318.7399999999998"/>
    <n v="0.107"/>
    <n v="32"/>
    <n v="248.10517999999996"/>
    <n v="66260.314239999992"/>
    <n v="66012.209059999994"/>
    <n v="36537.599999999999"/>
    <n v="29722.714239999994"/>
    <n v="29474.609059999995"/>
    <n v="1.8134829392187772"/>
  </r>
  <r>
    <x v="94"/>
    <x v="64"/>
    <d v="2024-08-16T00:00:00"/>
    <d v="2024-08-26T00:00:00"/>
    <d v="2024-08-26T00:00:00"/>
    <n v="10"/>
    <x v="2"/>
    <x v="10"/>
    <x v="16"/>
    <s v="Corporate"/>
    <s v="Distributor"/>
    <s v="L. Okafor"/>
    <s v="Laptops"/>
    <s v="LAP-5763"/>
    <n v="1291.7"/>
    <s v="High"/>
    <x v="94"/>
    <n v="2657.84"/>
    <n v="8.6999999999999994E-2"/>
    <n v="21"/>
    <n v="231.23208"/>
    <n v="50958.766320000002"/>
    <n v="50727.534240000001"/>
    <n v="27125.7"/>
    <n v="23833.066320000002"/>
    <n v="23601.83424"/>
    <n v="1.8786157157234653"/>
  </r>
  <r>
    <x v="95"/>
    <x v="65"/>
    <d v="2023-07-01T00:00:00"/>
    <d v="2023-07-11T00:00:00"/>
    <d v="2023-07-11T00:00:00"/>
    <n v="10"/>
    <x v="1"/>
    <x v="8"/>
    <x v="11"/>
    <s v="Corporate"/>
    <s v="Direct"/>
    <s v="F. Müller"/>
    <s v="Networking"/>
    <s v="NET-6533"/>
    <n v="479.5"/>
    <s v="Medium"/>
    <x v="95"/>
    <n v="656.66"/>
    <n v="0.14899999999999999"/>
    <n v="14"/>
    <n v="97.842339999999993"/>
    <n v="7823.4472399999995"/>
    <n v="7725.6048999999994"/>
    <n v="6713"/>
    <n v="1110.4472399999995"/>
    <n v="1012.6048999999994"/>
    <n v="1.1654174348279458"/>
  </r>
  <r>
    <x v="96"/>
    <x v="66"/>
    <d v="2025-01-10T00:00:00"/>
    <d v="2025-02-06T00:00:00"/>
    <d v="2025-02-06T00:00:00"/>
    <n v="27"/>
    <x v="2"/>
    <x v="6"/>
    <x v="28"/>
    <s v="Non-Profit"/>
    <s v="Retail"/>
    <s v="B. Chen"/>
    <s v="Laptops"/>
    <s v="LAP-7353"/>
    <n v="725.62"/>
    <s v="Medium"/>
    <x v="96"/>
    <n v="1559.19"/>
    <n v="0.19"/>
    <n v="12"/>
    <n v="296.24610000000001"/>
    <n v="15155.326800000001"/>
    <n v="14859.0807"/>
    <n v="8707.44"/>
    <n v="6447.8868000000002"/>
    <n v="6151.6406999999999"/>
    <n v="1.7405031559218322"/>
  </r>
  <r>
    <x v="97"/>
    <x v="67"/>
    <d v="2023-08-17T00:00:00"/>
    <d v="2023-09-03T00:00:00"/>
    <d v="2023-09-03T00:00:00"/>
    <n v="17"/>
    <x v="3"/>
    <x v="11"/>
    <x v="34"/>
    <s v="Enterprise"/>
    <s v="Retail"/>
    <s v="A. Patel"/>
    <s v="Phones"/>
    <s v="PHN-8072"/>
    <n v="676.37"/>
    <s v="Medium"/>
    <x v="97"/>
    <n v="1276.67"/>
    <n v="6.6000000000000003E-2"/>
    <n v="10"/>
    <n v="84.260220000000004"/>
    <n v="11924.0978"/>
    <n v="11839.837579999999"/>
    <n v="6763.7"/>
    <n v="5160.3977999999997"/>
    <n v="5076.1375799999996"/>
    <n v="1.7629548619838253"/>
  </r>
  <r>
    <x v="98"/>
    <x v="67"/>
    <d v="2025-06-24T00:00:00"/>
    <d v="2025-07-14T00:00:00"/>
    <d v="2025-07-14T00:00:00"/>
    <n v="20"/>
    <x v="3"/>
    <x v="11"/>
    <x v="19"/>
    <s v="Enterprise"/>
    <s v="Marketplace"/>
    <s v="J. Njeri"/>
    <s v="Laptops"/>
    <s v="LAP-1308"/>
    <n v="1151.06"/>
    <s v="High"/>
    <x v="98"/>
    <n v="2821.36"/>
    <n v="0.248"/>
    <n v="20"/>
    <n v="699.69727999999998"/>
    <n v="42433.254400000005"/>
    <n v="41733.557120000005"/>
    <n v="23021.199999999997"/>
    <n v="19412.054400000008"/>
    <n v="18712.357120000008"/>
    <n v="1.8432251316178137"/>
  </r>
  <r>
    <x v="99"/>
    <x v="68"/>
    <d v="2025-04-22T00:00:00"/>
    <d v="2025-05-12T00:00:00"/>
    <d v="2025-05-12T00:00:00"/>
    <n v="20"/>
    <x v="1"/>
    <x v="8"/>
    <x v="24"/>
    <s v="Enterprise"/>
    <s v="Marketplace"/>
    <s v="K. Singh"/>
    <s v="Monitors"/>
    <s v="MON-9216"/>
    <n v="59.51"/>
    <s v="Low"/>
    <x v="99"/>
    <n v="67.040000000000006"/>
    <n v="0.114"/>
    <n v="9"/>
    <n v="7.6425600000000014"/>
    <n v="534.57695999999999"/>
    <n v="526.93439999999998"/>
    <n v="535.59"/>
    <n v="-1.0130400000000463"/>
    <n v="-8.6556000000000495"/>
    <n v="0.99810855318433866"/>
  </r>
  <r>
    <x v="100"/>
    <x v="69"/>
    <d v="2025-03-11T00:00:00"/>
    <d v="2025-03-26T00:00:00"/>
    <d v="2025-03-26T00:00:00"/>
    <n v="15"/>
    <x v="1"/>
    <x v="1"/>
    <x v="33"/>
    <s v="Small Business"/>
    <s v="Online"/>
    <s v="I. Johnson"/>
    <s v="Phones"/>
    <s v="PHN-3007"/>
    <n v="116.97"/>
    <s v="Low"/>
    <x v="100"/>
    <n v="140.82"/>
    <n v="0.122"/>
    <n v="5"/>
    <n v="17.180039999999998"/>
    <n v="618.19979999999987"/>
    <n v="601.01975999999991"/>
    <n v="584.85"/>
    <n v="33.349799999999846"/>
    <n v="16.169759999999883"/>
    <n v="1.0570228263657346"/>
  </r>
  <r>
    <x v="101"/>
    <x v="70"/>
    <d v="2024-01-25T00:00:00"/>
    <d v="2024-02-08T00:00:00"/>
    <d v="2024-02-08T00:00:00"/>
    <n v="14"/>
    <x v="0"/>
    <x v="0"/>
    <x v="0"/>
    <s v="Consumer"/>
    <s v="Marketplace"/>
    <s v="I. Johnson"/>
    <s v="Networking"/>
    <s v="NET-9569"/>
    <n v="937.16"/>
    <s v="Medium"/>
    <x v="101"/>
    <n v="1069.77"/>
    <n v="3.7999999999999999E-2"/>
    <n v="9"/>
    <n v="40.651260000000001"/>
    <n v="9262.0686600000008"/>
    <n v="9221.4174000000003"/>
    <n v="8434.44"/>
    <n v="827.62866000000031"/>
    <n v="786.97739999999976"/>
    <n v="1.0981249093004397"/>
  </r>
  <r>
    <x v="102"/>
    <x v="71"/>
    <d v="2023-08-24T00:00:00"/>
    <d v="2023-09-20T00:00:00"/>
    <d v="2023-09-20T00:00:00"/>
    <n v="27"/>
    <x v="3"/>
    <x v="11"/>
    <x v="34"/>
    <s v="Small Business"/>
    <s v="Marketplace"/>
    <s v="M. Rossi"/>
    <s v="Printers"/>
    <s v="PRN-4732"/>
    <n v="1399.64"/>
    <s v="High"/>
    <x v="102"/>
    <n v="3342.11"/>
    <n v="0"/>
    <n v="10"/>
    <n v="0"/>
    <n v="33421.1"/>
    <n v="33421.1"/>
    <n v="13996.400000000001"/>
    <n v="19424.699999999997"/>
    <n v="19424.699999999997"/>
    <n v="2.3878354433997311"/>
  </r>
  <r>
    <x v="103"/>
    <x v="72"/>
    <d v="2024-06-05T00:00:00"/>
    <d v="2024-06-23T00:00:00"/>
    <d v="2024-06-23T00:00:00"/>
    <n v="18"/>
    <x v="3"/>
    <x v="5"/>
    <x v="7"/>
    <s v="Consumer"/>
    <s v="Distributor"/>
    <s v="D. Smith"/>
    <s v="Laptops"/>
    <s v="LAP-1739"/>
    <n v="1208.74"/>
    <s v="Medium"/>
    <x v="103"/>
    <n v="1594.78"/>
    <n v="5.8999999999999997E-2"/>
    <n v="39"/>
    <n v="94.092019999999991"/>
    <n v="58526.83122"/>
    <n v="58432.739200000004"/>
    <n v="47140.86"/>
    <n v="11385.971219999999"/>
    <n v="11291.879200000003"/>
    <n v="1.2415308337607758"/>
  </r>
  <r>
    <x v="104"/>
    <x v="73"/>
    <d v="2023-01-12T00:00:00"/>
    <d v="2023-01-26T00:00:00"/>
    <d v="2023-01-26T00:00:00"/>
    <n v="14"/>
    <x v="0"/>
    <x v="3"/>
    <x v="35"/>
    <s v="Non-Profit"/>
    <s v="Retail"/>
    <s v="M. Rossi"/>
    <s v="Printers"/>
    <s v="PRN-1641"/>
    <n v="1083.0899999999999"/>
    <s v="Medium"/>
    <x v="104"/>
    <n v="1425.87"/>
    <n v="0"/>
    <n v="8"/>
    <n v="0"/>
    <n v="11406.96"/>
    <n v="11406.96"/>
    <n v="8664.7199999999993"/>
    <n v="2742.24"/>
    <n v="2742.24"/>
    <n v="1.3164833947317398"/>
  </r>
  <r>
    <x v="105"/>
    <x v="74"/>
    <d v="2024-04-16T00:00:00"/>
    <d v="2024-04-27T00:00:00"/>
    <d v="2024-04-27T00:00:00"/>
    <n v="11"/>
    <x v="3"/>
    <x v="5"/>
    <x v="9"/>
    <s v="Enterprise"/>
    <s v="Online"/>
    <s v="D. Smith"/>
    <s v="Printers"/>
    <s v="PRN-2641"/>
    <n v="401.3"/>
    <s v="Medium"/>
    <x v="105"/>
    <n v="826.47"/>
    <n v="0.22500000000000001"/>
    <n v="13"/>
    <n v="185.95575000000002"/>
    <n v="8326.6852500000005"/>
    <n v="8140.7295000000004"/>
    <n v="5216.9000000000005"/>
    <n v="3109.7852499999999"/>
    <n v="2923.8294999999998"/>
    <n v="1.5960983055071019"/>
  </r>
  <r>
    <x v="106"/>
    <x v="74"/>
    <d v="2025-02-07T00:00:00"/>
    <d v="2025-02-16T00:00:00"/>
    <d v="2025-02-16T00:00:00"/>
    <n v="9"/>
    <x v="3"/>
    <x v="9"/>
    <x v="36"/>
    <s v="Small Business"/>
    <s v="Distributor"/>
    <s v="C. Otieno"/>
    <s v="Printers"/>
    <s v="PRN-1882"/>
    <n v="90.68"/>
    <s v="Low"/>
    <x v="106"/>
    <n v="118.17"/>
    <n v="0.13500000000000001"/>
    <n v="21"/>
    <n v="15.952950000000001"/>
    <n v="2146.5580500000001"/>
    <n v="2130.6051000000002"/>
    <n v="1904.2800000000002"/>
    <n v="242.27804999999989"/>
    <n v="226.32510000000002"/>
    <n v="1.1272281649757387"/>
  </r>
  <r>
    <x v="107"/>
    <x v="75"/>
    <d v="2024-01-13T00:00:00"/>
    <d v="2024-01-15T00:00:00"/>
    <d v="2024-01-15T00:00:00"/>
    <n v="2"/>
    <x v="2"/>
    <x v="10"/>
    <x v="23"/>
    <s v="Non-Profit"/>
    <s v="Direct"/>
    <s v="E. Garcia"/>
    <s v="Components"/>
    <s v="CMP-2410"/>
    <n v="1061.3699999999999"/>
    <s v="High"/>
    <x v="107"/>
    <n v="1938.33"/>
    <n v="0.17"/>
    <n v="4"/>
    <n v="329.51609999999999"/>
    <n v="6435.2555999999995"/>
    <n v="6105.7394999999997"/>
    <n v="4245.4799999999996"/>
    <n v="2189.7755999999999"/>
    <n v="1860.2595000000001"/>
    <n v="1.5157898753497838"/>
  </r>
  <r>
    <x v="108"/>
    <x v="76"/>
    <d v="2023-05-10T00:00:00"/>
    <d v="2023-05-27T00:00:00"/>
    <d v="2023-05-27T00:00:00"/>
    <n v="17"/>
    <x v="0"/>
    <x v="4"/>
    <x v="30"/>
    <s v="Consumer"/>
    <s v="Retail"/>
    <s v="M. Rossi"/>
    <s v="Laptops"/>
    <s v="LAP-6499"/>
    <n v="1286.1600000000001"/>
    <s v="High"/>
    <x v="108"/>
    <n v="3101.11"/>
    <n v="0.1"/>
    <n v="23"/>
    <n v="310.11100000000005"/>
    <n v="64192.976999999999"/>
    <n v="63882.866000000002"/>
    <n v="29581.68"/>
    <n v="34611.296999999999"/>
    <n v="34301.186000000002"/>
    <n v="2.1700247247620825"/>
  </r>
  <r>
    <x v="109"/>
    <x v="76"/>
    <d v="2024-07-09T00:00:00"/>
    <d v="2024-07-12T00:00:00"/>
    <d v="2024-07-12T00:00:00"/>
    <n v="3"/>
    <x v="0"/>
    <x v="3"/>
    <x v="4"/>
    <s v="Small Business"/>
    <s v="Retail"/>
    <s v="D. Smith"/>
    <s v="Accessories"/>
    <s v="ACC-3721"/>
    <n v="748.39"/>
    <s v="Medium"/>
    <x v="109"/>
    <n v="979.42"/>
    <n v="0"/>
    <n v="23"/>
    <n v="0"/>
    <n v="22526.66"/>
    <n v="22526.66"/>
    <n v="17212.97"/>
    <n v="5313.6899999999987"/>
    <n v="5313.6899999999987"/>
    <n v="1.3087026817568379"/>
  </r>
  <r>
    <x v="110"/>
    <x v="76"/>
    <d v="2024-04-24T00:00:00"/>
    <d v="2024-05-10T00:00:00"/>
    <d v="2024-05-10T00:00:00"/>
    <n v="16"/>
    <x v="3"/>
    <x v="5"/>
    <x v="15"/>
    <s v="Non-Profit"/>
    <s v="Online"/>
    <s v="N. Brown"/>
    <s v="Monitors"/>
    <s v="MON-6190"/>
    <n v="513.30999999999995"/>
    <s v="Medium"/>
    <x v="110"/>
    <n v="1186.26"/>
    <n v="9.4E-2"/>
    <n v="15"/>
    <n v="111.50843999999999"/>
    <n v="16121.273400000002"/>
    <n v="16009.764960000002"/>
    <n v="7699.65"/>
    <n v="8421.6234000000022"/>
    <n v="8310.1149600000026"/>
    <n v="2.093767041359023"/>
  </r>
  <r>
    <x v="111"/>
    <x v="77"/>
    <d v="2024-07-09T00:00:00"/>
    <d v="2024-08-08T00:00:00"/>
    <d v="2024-08-08T00:00:00"/>
    <n v="30"/>
    <x v="1"/>
    <x v="8"/>
    <x v="22"/>
    <s v="Corporate"/>
    <s v="Direct"/>
    <s v="J. Njeri"/>
    <s v="Components"/>
    <s v="CMP-5825"/>
    <n v="1062.3800000000001"/>
    <s v="Medium"/>
    <x v="111"/>
    <n v="1503.96"/>
    <n v="0.18"/>
    <n v="6"/>
    <n v="270.71280000000002"/>
    <n v="7399.4832000000006"/>
    <n v="7128.7704000000003"/>
    <n v="6374.2800000000007"/>
    <n v="1025.2031999999999"/>
    <n v="754.49039999999968"/>
    <n v="1.1608343530563452"/>
  </r>
  <r>
    <x v="112"/>
    <x v="78"/>
    <d v="2024-05-01T00:00:00"/>
    <d v="2024-05-26T00:00:00"/>
    <d v="2024-05-26T00:00:00"/>
    <n v="25"/>
    <x v="1"/>
    <x v="1"/>
    <x v="33"/>
    <s v="Non-Profit"/>
    <s v="Retail"/>
    <s v="B. Chen"/>
    <s v="Networking"/>
    <s v="NET-4228"/>
    <n v="930.71"/>
    <s v="Medium"/>
    <x v="112"/>
    <n v="1625.42"/>
    <n v="0.13800000000000001"/>
    <n v="7"/>
    <n v="224.30796000000004"/>
    <n v="9807.7842799999999"/>
    <n v="9583.4763199999998"/>
    <n v="6514.97"/>
    <n v="3292.8142799999996"/>
    <n v="3068.5063199999995"/>
    <n v="1.505422784755724"/>
  </r>
  <r>
    <x v="113"/>
    <x v="78"/>
    <d v="2023-05-01T00:00:00"/>
    <d v="2023-05-18T00:00:00"/>
    <d v="2023-05-18T00:00:00"/>
    <n v="17"/>
    <x v="3"/>
    <x v="9"/>
    <x v="13"/>
    <s v="Corporate"/>
    <s v="Direct"/>
    <s v="F. Müller"/>
    <s v="Components"/>
    <s v="CMP-5633"/>
    <n v="327.97"/>
    <s v="Low"/>
    <x v="113"/>
    <n v="299.94"/>
    <n v="4.9000000000000002E-2"/>
    <n v="3"/>
    <n v="14.69706"/>
    <n v="855.72881999999993"/>
    <n v="841.03175999999996"/>
    <n v="983.91000000000008"/>
    <n v="-128.18118000000015"/>
    <n v="-142.87824000000012"/>
    <n v="0.86972265756014255"/>
  </r>
  <r>
    <x v="114"/>
    <x v="79"/>
    <d v="2025-08-05T00:00:00"/>
    <d v="2025-08-28T00:00:00"/>
    <d v="2025-08-28T00:00:00"/>
    <n v="23"/>
    <x v="0"/>
    <x v="4"/>
    <x v="30"/>
    <s v="Non-Profit"/>
    <s v="Distributor"/>
    <s v="N. Brown"/>
    <s v="Laptops"/>
    <s v="LAP-3905"/>
    <n v="638.54"/>
    <s v="Medium"/>
    <x v="114"/>
    <n v="987.24"/>
    <n v="0"/>
    <n v="11"/>
    <n v="0"/>
    <n v="10859.64"/>
    <n v="10859.64"/>
    <n v="7023.94"/>
    <n v="3835.7"/>
    <n v="3835.7"/>
    <n v="1.5460895167099946"/>
  </r>
  <r>
    <x v="115"/>
    <x v="79"/>
    <d v="2023-09-30T00:00:00"/>
    <d v="2023-10-30T00:00:00"/>
    <d v="2023-10-30T00:00:00"/>
    <n v="30"/>
    <x v="0"/>
    <x v="0"/>
    <x v="14"/>
    <s v="Enterprise"/>
    <s v="Online"/>
    <s v="D. Smith"/>
    <s v="Printers"/>
    <s v="PRN-1786"/>
    <n v="649.13"/>
    <s v="Medium"/>
    <x v="115"/>
    <n v="975.43"/>
    <n v="0.157"/>
    <n v="27"/>
    <n v="153.14250999999999"/>
    <n v="22201.762229999997"/>
    <n v="22048.619719999995"/>
    <n v="17526.509999999998"/>
    <n v="4675.2522299999982"/>
    <n v="4522.1097199999967"/>
    <n v="1.2667531773296565"/>
  </r>
  <r>
    <x v="116"/>
    <x v="79"/>
    <d v="2025-05-17T00:00:00"/>
    <d v="2025-05-30T00:00:00"/>
    <d v="2025-05-30T00:00:00"/>
    <n v="13"/>
    <x v="3"/>
    <x v="9"/>
    <x v="36"/>
    <s v="Consumer"/>
    <s v="Distributor"/>
    <s v="F. Müller"/>
    <s v="Accessories"/>
    <s v="ACC-3349"/>
    <n v="66.400000000000006"/>
    <s v="Low"/>
    <x v="116"/>
    <n v="141.43"/>
    <n v="0.107"/>
    <n v="8"/>
    <n v="15.133010000000001"/>
    <n v="1010.3759200000001"/>
    <n v="995.24291000000005"/>
    <n v="531.20000000000005"/>
    <n v="479.17592000000002"/>
    <n v="464.04291000000001"/>
    <n v="1.9020631024096386"/>
  </r>
  <r>
    <x v="117"/>
    <x v="80"/>
    <d v="2025-01-04T00:00:00"/>
    <d v="2025-01-05T00:00:00"/>
    <d v="2025-01-05T00:00:00"/>
    <n v="1"/>
    <x v="0"/>
    <x v="4"/>
    <x v="6"/>
    <s v="Education"/>
    <s v="Retail"/>
    <s v="I. Johnson"/>
    <s v="Components"/>
    <s v="CMP-1156"/>
    <n v="1428.33"/>
    <s v="High"/>
    <x v="117"/>
    <n v="3028.05"/>
    <n v="0"/>
    <n v="11"/>
    <n v="0"/>
    <n v="33308.550000000003"/>
    <n v="33308.550000000003"/>
    <n v="15711.63"/>
    <n v="17596.920000000006"/>
    <n v="17596.920000000006"/>
    <n v="2.1199932788641282"/>
  </r>
  <r>
    <x v="118"/>
    <x v="81"/>
    <d v="2024-03-02T00:00:00"/>
    <d v="2024-03-23T00:00:00"/>
    <d v="2024-03-23T00:00:00"/>
    <n v="21"/>
    <x v="2"/>
    <x v="10"/>
    <x v="16"/>
    <s v="Small Business"/>
    <s v="Online"/>
    <s v="F. Müller"/>
    <s v="Components"/>
    <s v="CMP-3223"/>
    <n v="225.01"/>
    <s v="Low"/>
    <x v="118"/>
    <n v="333.48"/>
    <n v="0.11899999999999999"/>
    <n v="12"/>
    <n v="39.68412"/>
    <n v="3525.5505600000001"/>
    <n v="3485.8664400000002"/>
    <n v="2700.12"/>
    <n v="825.43056000000024"/>
    <n v="785.74644000000035"/>
    <n v="1.305701435491756"/>
  </r>
  <r>
    <x v="119"/>
    <x v="81"/>
    <d v="2024-10-10T00:00:00"/>
    <d v="2024-10-11T00:00:00"/>
    <d v="2024-10-11T00:00:00"/>
    <n v="1"/>
    <x v="1"/>
    <x v="7"/>
    <x v="12"/>
    <s v="Non-Profit"/>
    <s v="Distributor"/>
    <s v="L. Okafor"/>
    <s v="Components"/>
    <s v="CMP-8127"/>
    <n v="1389.46"/>
    <s v="Medium"/>
    <x v="119"/>
    <n v="1784.7"/>
    <n v="0.14599999999999999"/>
    <n v="33"/>
    <n v="260.56619999999998"/>
    <n v="50296.415399999998"/>
    <n v="50035.849199999997"/>
    <n v="45852.18"/>
    <n v="4444.2353999999978"/>
    <n v="4183.6691999999966"/>
    <n v="1.0969252803247305"/>
  </r>
  <r>
    <x v="120"/>
    <x v="81"/>
    <d v="2023-06-01T00:00:00"/>
    <d v="2023-06-08T00:00:00"/>
    <d v="2023-06-08T00:00:00"/>
    <n v="7"/>
    <x v="1"/>
    <x v="1"/>
    <x v="2"/>
    <s v="Consumer"/>
    <s v="Online"/>
    <s v="A. Patel"/>
    <s v="Phones"/>
    <s v="PHN-1924"/>
    <n v="804.17"/>
    <s v="Medium"/>
    <x v="120"/>
    <n v="1072.29"/>
    <n v="3.2000000000000001E-2"/>
    <n v="5"/>
    <n v="34.313279999999999"/>
    <n v="5189.8836000000001"/>
    <n v="5155.5703199999998"/>
    <n v="4020.85"/>
    <n v="1169.0336000000002"/>
    <n v="1134.7203199999999"/>
    <n v="1.2907429026200927"/>
  </r>
  <r>
    <x v="121"/>
    <x v="82"/>
    <d v="2023-05-10T00:00:00"/>
    <d v="2023-05-14T00:00:00"/>
    <d v="2023-05-14T00:00:00"/>
    <n v="4"/>
    <x v="0"/>
    <x v="4"/>
    <x v="6"/>
    <s v="Non-Profit"/>
    <s v="Distributor"/>
    <s v="C. Otieno"/>
    <s v="Monitors"/>
    <s v="MON-2465"/>
    <n v="622.6"/>
    <s v="Medium"/>
    <x v="121"/>
    <n v="833.69"/>
    <n v="0.20899999999999999"/>
    <n v="14"/>
    <n v="174.24121"/>
    <n v="9232.2830599999998"/>
    <n v="9058.0418499999996"/>
    <n v="8716.4"/>
    <n v="515.88306000000011"/>
    <n v="341.64184999999998"/>
    <n v="1.0591853356890459"/>
  </r>
  <r>
    <x v="122"/>
    <x v="83"/>
    <d v="2024-11-12T00:00:00"/>
    <d v="2024-11-21T00:00:00"/>
    <d v="2024-11-21T00:00:00"/>
    <n v="9"/>
    <x v="0"/>
    <x v="4"/>
    <x v="30"/>
    <s v="Corporate"/>
    <s v="Direct"/>
    <s v="H. Kim"/>
    <s v="Laptops"/>
    <s v="LAP-5078"/>
    <n v="903.41"/>
    <s v="Medium"/>
    <x v="122"/>
    <n v="1860.41"/>
    <n v="0.108"/>
    <n v="5"/>
    <n v="200.92428000000001"/>
    <n v="8297.4286000000011"/>
    <n v="8096.5043200000009"/>
    <n v="4517.05"/>
    <n v="3780.3786000000009"/>
    <n v="3579.4543200000007"/>
    <n v="1.8369131623515349"/>
  </r>
  <r>
    <x v="123"/>
    <x v="84"/>
    <d v="2023-04-13T00:00:00"/>
    <d v="2023-04-20T00:00:00"/>
    <d v="2023-04-20T00:00:00"/>
    <n v="7"/>
    <x v="1"/>
    <x v="8"/>
    <x v="24"/>
    <s v="Small Business"/>
    <s v="Online"/>
    <s v="A. Patel"/>
    <s v="Laptops"/>
    <s v="LAP-3565"/>
    <n v="227.02"/>
    <s v="Low"/>
    <x v="123"/>
    <n v="434.72"/>
    <n v="9.8000000000000004E-2"/>
    <n v="10"/>
    <n v="42.602560000000004"/>
    <n v="3921.1744000000008"/>
    <n v="3878.571840000001"/>
    <n v="2270.2000000000003"/>
    <n v="1650.9744000000005"/>
    <n v="1608.3718400000007"/>
    <n v="1.7272374240155053"/>
  </r>
  <r>
    <x v="124"/>
    <x v="85"/>
    <d v="2024-10-24T00:00:00"/>
    <d v="2024-10-28T00:00:00"/>
    <d v="2024-10-28T00:00:00"/>
    <n v="4"/>
    <x v="0"/>
    <x v="3"/>
    <x v="4"/>
    <s v="Small Business"/>
    <s v="Distributor"/>
    <s v="I. Johnson"/>
    <s v="Networking"/>
    <s v="NET-3728"/>
    <n v="1331.77"/>
    <s v="High"/>
    <x v="124"/>
    <n v="2606.11"/>
    <n v="0.02"/>
    <n v="6"/>
    <n v="52.122200000000007"/>
    <n v="15323.926799999999"/>
    <n v="15271.804599999999"/>
    <n v="7990.62"/>
    <n v="7333.3067999999994"/>
    <n v="7281.1845999999996"/>
    <n v="1.9177393994458503"/>
  </r>
  <r>
    <x v="125"/>
    <x v="86"/>
    <d v="2025-04-27T00:00:00"/>
    <d v="2025-05-17T00:00:00"/>
    <d v="2025-05-17T00:00:00"/>
    <n v="20"/>
    <x v="2"/>
    <x v="10"/>
    <x v="17"/>
    <s v="Corporate"/>
    <s v="Direct"/>
    <s v="N. Brown"/>
    <s v="Phones"/>
    <s v="PHN-8776"/>
    <n v="932.26"/>
    <s v="Medium"/>
    <x v="125"/>
    <n v="1624.67"/>
    <n v="0.23499999999999999"/>
    <n v="28"/>
    <n v="381.79744999999997"/>
    <n v="34800.431400000001"/>
    <n v="34418.633950000003"/>
    <n v="26103.279999999999"/>
    <n v="8697.1514000000025"/>
    <n v="8315.3539500000043"/>
    <n v="1.333182320382726"/>
  </r>
  <r>
    <x v="126"/>
    <x v="87"/>
    <d v="2024-04-05T00:00:00"/>
    <d v="2024-04-09T00:00:00"/>
    <d v="2024-04-09T00:00:00"/>
    <n v="4"/>
    <x v="3"/>
    <x v="9"/>
    <x v="36"/>
    <s v="Non-Profit"/>
    <s v="Direct"/>
    <s v="K. Singh"/>
    <s v="Components"/>
    <s v="CMP-6529"/>
    <n v="395.07"/>
    <s v="Medium"/>
    <x v="126"/>
    <n v="970.27"/>
    <n v="0.123"/>
    <n v="38"/>
    <n v="119.34321"/>
    <n v="32335.21802"/>
    <n v="32215.874810000001"/>
    <n v="15012.66"/>
    <n v="17322.55802"/>
    <n v="17203.214810000001"/>
    <n v="2.1538633406738046"/>
  </r>
  <r>
    <x v="127"/>
    <x v="88"/>
    <d v="2025-03-10T00:00:00"/>
    <d v="2025-03-27T00:00:00"/>
    <d v="2025-03-27T00:00:00"/>
    <n v="17"/>
    <x v="2"/>
    <x v="6"/>
    <x v="8"/>
    <s v="Enterprise"/>
    <s v="Direct"/>
    <s v="F. Müller"/>
    <s v="Networking"/>
    <s v="NET-6269"/>
    <n v="996.73"/>
    <s v="Medium"/>
    <x v="127"/>
    <n v="1217.43"/>
    <n v="7.0000000000000007E-2"/>
    <n v="9"/>
    <n v="85.220100000000016"/>
    <n v="10189.8891"/>
    <n v="10104.669"/>
    <n v="8970.57"/>
    <n v="1219.3191000000006"/>
    <n v="1134.0990000000002"/>
    <n v="1.1359243726987249"/>
  </r>
  <r>
    <x v="128"/>
    <x v="89"/>
    <d v="2023-02-23T00:00:00"/>
    <d v="2023-03-18T00:00:00"/>
    <d v="2023-03-18T00:00:00"/>
    <n v="23"/>
    <x v="0"/>
    <x v="3"/>
    <x v="37"/>
    <s v="Education"/>
    <s v="Distributor"/>
    <s v="K. Singh"/>
    <s v="Printers"/>
    <s v="PRN-1060"/>
    <n v="770.11"/>
    <s v="Medium"/>
    <x v="128"/>
    <n v="1667.82"/>
    <n v="6.9000000000000006E-2"/>
    <n v="7"/>
    <n v="115.07958000000001"/>
    <n v="10869.182940000001"/>
    <n v="10754.103360000001"/>
    <n v="5390.77"/>
    <n v="5478.4129400000002"/>
    <n v="5363.3333600000005"/>
    <n v="2.0162579631481217"/>
  </r>
  <r>
    <x v="129"/>
    <x v="89"/>
    <d v="2025-03-24T00:00:00"/>
    <d v="2025-03-25T00:00:00"/>
    <d v="2025-03-25T00:00:00"/>
    <n v="1"/>
    <x v="0"/>
    <x v="3"/>
    <x v="37"/>
    <s v="Non-Profit"/>
    <s v="Online"/>
    <s v="G. Dubois"/>
    <s v="Networking"/>
    <s v="NET-8329"/>
    <n v="1133.03"/>
    <s v="High"/>
    <x v="129"/>
    <n v="1921.51"/>
    <n v="0.10100000000000001"/>
    <n v="5"/>
    <n v="194.07251000000002"/>
    <n v="8637.1874499999994"/>
    <n v="8443.1149399999995"/>
    <n v="5665.15"/>
    <n v="2972.0374499999998"/>
    <n v="2777.9649399999998"/>
    <n v="1.5246176094189916"/>
  </r>
  <r>
    <x v="130"/>
    <x v="90"/>
    <d v="2024-04-26T00:00:00"/>
    <d v="2024-04-26T00:00:00"/>
    <d v="2024-04-24T00:00:00"/>
    <n v="-2"/>
    <x v="1"/>
    <x v="7"/>
    <x v="10"/>
    <s v="Non-Profit"/>
    <s v="Distributor"/>
    <s v="N. Brown"/>
    <s v="Phones"/>
    <s v="PHN-9107"/>
    <n v="1232.77"/>
    <s v="Medium"/>
    <x v="130"/>
    <n v="891.73"/>
    <n v="0.16700000000000001"/>
    <n v="10"/>
    <n v="148.91891000000001"/>
    <n v="7428.1108999999988"/>
    <n v="7279.1919899999984"/>
    <n v="12327.7"/>
    <n v="-4899.589100000002"/>
    <n v="-5048.5080100000023"/>
    <n v="0.60255448299358338"/>
  </r>
  <r>
    <x v="131"/>
    <x v="91"/>
    <d v="2025-09-08T00:00:00"/>
    <d v="2025-10-05T00:00:00"/>
    <d v="2025-10-05T00:00:00"/>
    <n v="27"/>
    <x v="2"/>
    <x v="6"/>
    <x v="8"/>
    <s v="Education"/>
    <s v="Online"/>
    <s v="C. Otieno"/>
    <s v="Monitors"/>
    <s v="MON-9274"/>
    <n v="660.78"/>
    <s v="Medium"/>
    <x v="131"/>
    <n v="1630.39"/>
    <n v="0.218"/>
    <n v="13"/>
    <n v="355.42502000000002"/>
    <n v="16574.544740000001"/>
    <n v="16219.119720000001"/>
    <n v="8590.14"/>
    <n v="7984.4047400000018"/>
    <n v="7628.9797200000012"/>
    <n v="1.929484820969158"/>
  </r>
  <r>
    <x v="132"/>
    <x v="91"/>
    <d v="2023-05-02T00:00:00"/>
    <d v="2023-05-16T00:00:00"/>
    <d v="2023-05-16T00:00:00"/>
    <n v="14"/>
    <x v="0"/>
    <x v="4"/>
    <x v="31"/>
    <s v="Non-Profit"/>
    <s v="Retail"/>
    <s v="L. Okafor"/>
    <s v="Monitors"/>
    <s v="MON-4830"/>
    <n v="475.37"/>
    <s v="Medium"/>
    <x v="132"/>
    <n v="963.73"/>
    <n v="4.1000000000000002E-2"/>
    <n v="22"/>
    <n v="39.512930000000004"/>
    <n v="20332.775539999999"/>
    <n v="20293.262609999998"/>
    <n v="10458.14"/>
    <n v="9874.6355399999993"/>
    <n v="9835.1226099999985"/>
    <n v="1.9442057134442645"/>
  </r>
  <r>
    <x v="133"/>
    <x v="92"/>
    <d v="2023-10-25T00:00:00"/>
    <d v="2023-10-28T00:00:00"/>
    <d v="2023-10-28T00:00:00"/>
    <n v="3"/>
    <x v="2"/>
    <x v="6"/>
    <x v="28"/>
    <s v="Corporate"/>
    <s v="Distributor"/>
    <s v="L. Okafor"/>
    <s v="Accessories"/>
    <s v="ACC-2867"/>
    <n v="509.31"/>
    <s v="Medium"/>
    <x v="133"/>
    <n v="1145.9000000000001"/>
    <n v="5.7000000000000002E-2"/>
    <n v="8"/>
    <n v="65.316300000000012"/>
    <n v="8644.6696000000011"/>
    <n v="8579.3533000000007"/>
    <n v="4074.48"/>
    <n v="4570.1896000000015"/>
    <n v="4504.8733000000011"/>
    <n v="2.1216620525809433"/>
  </r>
  <r>
    <x v="134"/>
    <x v="93"/>
    <d v="2024-09-09T00:00:00"/>
    <d v="2024-09-13T00:00:00"/>
    <d v="2024-09-13T00:00:00"/>
    <n v="4"/>
    <x v="1"/>
    <x v="7"/>
    <x v="10"/>
    <s v="Consumer"/>
    <s v="Marketplace"/>
    <s v="F. Müller"/>
    <s v="Networking"/>
    <s v="NET-1145"/>
    <n v="1133.08"/>
    <s v="Medium"/>
    <x v="134"/>
    <n v="976.17"/>
    <n v="4.2000000000000003E-2"/>
    <n v="27"/>
    <n v="40.999140000000004"/>
    <n v="25249.613219999999"/>
    <n v="25208.614079999999"/>
    <n v="30593.159999999996"/>
    <n v="-5343.5467799999969"/>
    <n v="-5384.5459199999968"/>
    <n v="0.82533524552547044"/>
  </r>
  <r>
    <x v="135"/>
    <x v="94"/>
    <d v="2024-08-04T00:00:00"/>
    <d v="2024-08-17T00:00:00"/>
    <d v="2024-08-17T00:00:00"/>
    <n v="13"/>
    <x v="2"/>
    <x v="10"/>
    <x v="17"/>
    <s v="Consumer"/>
    <s v="Retail"/>
    <s v="D. Smith"/>
    <s v="Monitors"/>
    <s v="MON-8867"/>
    <n v="352.79"/>
    <s v="Medium"/>
    <x v="135"/>
    <n v="754.22"/>
    <n v="0.113"/>
    <n v="7"/>
    <n v="85.226860000000002"/>
    <n v="4682.9519799999998"/>
    <n v="4597.7251200000001"/>
    <n v="2469.5300000000002"/>
    <n v="2213.4219799999996"/>
    <n v="2128.1951199999999"/>
    <n v="1.8962928087530824"/>
  </r>
  <r>
    <x v="136"/>
    <x v="94"/>
    <d v="2023-06-20T00:00:00"/>
    <d v="2023-07-04T00:00:00"/>
    <d v="2023-07-04T00:00:00"/>
    <n v="14"/>
    <x v="2"/>
    <x v="6"/>
    <x v="28"/>
    <s v="Non-Profit"/>
    <s v="Direct"/>
    <s v="C. Otieno"/>
    <s v="Networking"/>
    <s v="NET-1228"/>
    <n v="1292.8599999999999"/>
    <s v="High"/>
    <x v="136"/>
    <n v="2981.01"/>
    <n v="0.14199999999999999"/>
    <n v="12"/>
    <n v="423.30342000000002"/>
    <n v="30692.47896"/>
    <n v="30269.17554"/>
    <n v="15514.32"/>
    <n v="15178.158960000001"/>
    <n v="14754.85554"/>
    <n v="1.9783322092105875"/>
  </r>
  <r>
    <x v="137"/>
    <x v="95"/>
    <d v="2024-05-27T00:00:00"/>
    <d v="2024-06-17T00:00:00"/>
    <d v="2024-06-17T00:00:00"/>
    <n v="21"/>
    <x v="0"/>
    <x v="4"/>
    <x v="6"/>
    <s v="Small Business"/>
    <s v="Online"/>
    <s v="H. Kim"/>
    <s v="Accessories"/>
    <s v="ACC-7240"/>
    <n v="465.02"/>
    <s v="Medium"/>
    <x v="137"/>
    <n v="651.55999999999995"/>
    <n v="4.2000000000000003E-2"/>
    <n v="19"/>
    <n v="27.36552"/>
    <n v="11859.695119999998"/>
    <n v="11832.329599999999"/>
    <n v="8835.3799999999992"/>
    <n v="3024.3151199999993"/>
    <n v="2996.9495999999999"/>
    <n v="1.3422959872693647"/>
  </r>
  <r>
    <x v="138"/>
    <x v="96"/>
    <d v="2024-03-01T00:00:00"/>
    <d v="2024-03-01T00:00:00"/>
    <d v="2024-02-29T00:00:00"/>
    <n v="-1"/>
    <x v="2"/>
    <x v="6"/>
    <x v="26"/>
    <s v="Non-Profit"/>
    <s v="Direct"/>
    <s v="I. Johnson"/>
    <s v="Phones"/>
    <s v="PHN-7852"/>
    <n v="5.34"/>
    <s v="Low"/>
    <x v="138"/>
    <n v="12.69"/>
    <n v="0.13200000000000001"/>
    <n v="10"/>
    <n v="1.6750799999999999"/>
    <n v="110.14919999999999"/>
    <n v="108.47412"/>
    <n v="53.4"/>
    <n v="56.749199999999995"/>
    <n v="55.074120000000001"/>
    <n v="2.0627191011235952"/>
  </r>
  <r>
    <x v="139"/>
    <x v="97"/>
    <d v="2024-08-19T00:00:00"/>
    <d v="2024-09-07T00:00:00"/>
    <d v="2024-09-07T00:00:00"/>
    <n v="19"/>
    <x v="1"/>
    <x v="8"/>
    <x v="24"/>
    <s v="Corporate"/>
    <s v="Direct"/>
    <s v="J. Njeri"/>
    <s v="Components"/>
    <s v="CMP-5435"/>
    <n v="297.58999999999997"/>
    <s v="Medium"/>
    <x v="139"/>
    <n v="666.41"/>
    <n v="0"/>
    <n v="10"/>
    <n v="0"/>
    <n v="6664.0999999999995"/>
    <n v="6664.0999999999995"/>
    <n v="2975.8999999999996"/>
    <n v="3688.2"/>
    <n v="3688.2"/>
    <n v="2.2393561611613295"/>
  </r>
  <r>
    <x v="140"/>
    <x v="97"/>
    <d v="2025-07-23T00:00:00"/>
    <d v="2025-08-19T00:00:00"/>
    <d v="2025-08-19T00:00:00"/>
    <n v="27"/>
    <x v="0"/>
    <x v="0"/>
    <x v="1"/>
    <s v="Consumer"/>
    <s v="Marketplace"/>
    <s v="B. Chen"/>
    <s v="Accessories"/>
    <s v="ACC-1596"/>
    <n v="896.09"/>
    <s v="Medium"/>
    <x v="140"/>
    <n v="744.27"/>
    <n v="8.3000000000000004E-2"/>
    <n v="11"/>
    <n v="61.774410000000003"/>
    <n v="7507.4514899999995"/>
    <n v="7445.6770799999995"/>
    <n v="9856.99"/>
    <n v="-2349.5385100000003"/>
    <n v="-2411.3129200000003"/>
    <n v="0.7616373243758997"/>
  </r>
  <r>
    <x v="141"/>
    <x v="98"/>
    <d v="2024-04-21T00:00:00"/>
    <d v="2024-05-19T00:00:00"/>
    <d v="2024-05-19T00:00:00"/>
    <n v="28"/>
    <x v="3"/>
    <x v="9"/>
    <x v="36"/>
    <s v="Corporate"/>
    <s v="Distributor"/>
    <s v="A. Patel"/>
    <s v="Accessories"/>
    <s v="ACC-2990"/>
    <n v="187.22"/>
    <s v="Low"/>
    <x v="141"/>
    <n v="309.47000000000003"/>
    <n v="0"/>
    <n v="5"/>
    <n v="0"/>
    <n v="1547.3500000000001"/>
    <n v="1547.3500000000001"/>
    <n v="936.1"/>
    <n v="611.25000000000011"/>
    <n v="611.25000000000011"/>
    <n v="1.6529751094968488"/>
  </r>
  <r>
    <x v="142"/>
    <x v="99"/>
    <d v="2024-11-17T00:00:00"/>
    <d v="2024-11-28T00:00:00"/>
    <d v="2024-11-28T00:00:00"/>
    <n v="11"/>
    <x v="2"/>
    <x v="2"/>
    <x v="29"/>
    <s v="Consumer"/>
    <s v="Distributor"/>
    <s v="A. Patel"/>
    <s v="Printers"/>
    <s v="PRN-1371"/>
    <n v="1008.16"/>
    <s v="High"/>
    <x v="142"/>
    <n v="2077.5"/>
    <n v="7.3999999999999996E-2"/>
    <n v="15"/>
    <n v="153.73499999999999"/>
    <n v="28856.475000000002"/>
    <n v="28702.74"/>
    <n v="15122.4"/>
    <n v="13734.075000000003"/>
    <n v="13580.340000000002"/>
    <n v="1.9081941358514523"/>
  </r>
  <r>
    <x v="143"/>
    <x v="99"/>
    <d v="2024-05-12T00:00:00"/>
    <d v="2024-05-24T00:00:00"/>
    <d v="2024-05-24T00:00:00"/>
    <n v="12"/>
    <x v="1"/>
    <x v="7"/>
    <x v="12"/>
    <s v="Education"/>
    <s v="Marketplace"/>
    <s v="K. Singh"/>
    <s v="Printers"/>
    <s v="PRN-5813"/>
    <n v="111.02"/>
    <s v="Low"/>
    <x v="143"/>
    <n v="172.88"/>
    <n v="0.19700000000000001"/>
    <n v="29"/>
    <n v="34.057360000000003"/>
    <n v="4025.8565599999993"/>
    <n v="3991.7991999999995"/>
    <n v="3219.58"/>
    <n v="806.27655999999934"/>
    <n v="772.21919999999955"/>
    <n v="1.2504291118717346"/>
  </r>
  <r>
    <x v="144"/>
    <x v="99"/>
    <d v="2025-05-15T00:00:00"/>
    <d v="2025-06-05T00:00:00"/>
    <d v="2025-06-05T00:00:00"/>
    <n v="21"/>
    <x v="0"/>
    <x v="0"/>
    <x v="0"/>
    <s v="Enterprise"/>
    <s v="Direct"/>
    <s v="H. Kim"/>
    <s v="Phones"/>
    <s v="PHN-6480"/>
    <n v="1466.5"/>
    <s v="High"/>
    <x v="144"/>
    <n v="2778.74"/>
    <n v="0.13500000000000001"/>
    <n v="4"/>
    <n v="375.12990000000002"/>
    <n v="9614.4403999999995"/>
    <n v="9239.3104999999996"/>
    <n v="5866"/>
    <n v="3748.4403999999995"/>
    <n v="3373.3104999999996"/>
    <n v="1.6390113194681213"/>
  </r>
  <r>
    <x v="145"/>
    <x v="100"/>
    <d v="2023-10-25T00:00:00"/>
    <d v="2023-11-24T00:00:00"/>
    <d v="2023-11-24T00:00:00"/>
    <n v="30"/>
    <x v="1"/>
    <x v="8"/>
    <x v="11"/>
    <s v="Enterprise"/>
    <s v="Distributor"/>
    <s v="C. Otieno"/>
    <s v="Phones"/>
    <s v="PHN-5938"/>
    <n v="287.85000000000002"/>
    <s v="Medium"/>
    <x v="145"/>
    <n v="602.91999999999996"/>
    <n v="0.222"/>
    <n v="11"/>
    <n v="133.84824"/>
    <n v="5159.7893599999998"/>
    <n v="5025.9411199999995"/>
    <n v="3166.3500000000004"/>
    <n v="1993.4393599999994"/>
    <n v="1859.5911199999991"/>
    <n v="1.6295701233281221"/>
  </r>
  <r>
    <x v="146"/>
    <x v="101"/>
    <d v="2024-12-08T00:00:00"/>
    <d v="2024-12-08T00:00:00"/>
    <d v="2024-12-08T00:00:00"/>
    <n v="0"/>
    <x v="1"/>
    <x v="8"/>
    <x v="24"/>
    <s v="Enterprise"/>
    <s v="Retail"/>
    <s v="H. Kim"/>
    <s v="Components"/>
    <s v="CMP-2335"/>
    <n v="257.44"/>
    <s v="Low"/>
    <x v="146"/>
    <n v="290.33"/>
    <n v="9.1999999999999998E-2"/>
    <n v="23"/>
    <n v="26.710359999999998"/>
    <n v="6063.2517199999993"/>
    <n v="6036.5413599999993"/>
    <n v="5921.12"/>
    <n v="142.1317199999994"/>
    <n v="115.42135999999937"/>
    <n v="1.0240041951522685"/>
  </r>
  <r>
    <x v="147"/>
    <x v="102"/>
    <d v="2023-08-10T00:00:00"/>
    <d v="2023-08-15T00:00:00"/>
    <d v="2023-08-15T00:00:00"/>
    <n v="5"/>
    <x v="2"/>
    <x v="6"/>
    <x v="26"/>
    <s v="Education"/>
    <s v="Direct"/>
    <s v="G. Dubois"/>
    <s v="Networking"/>
    <s v="NET-2894"/>
    <n v="1307.52"/>
    <s v="High"/>
    <x v="147"/>
    <n v="1921.65"/>
    <n v="0.123"/>
    <n v="13"/>
    <n v="236.36295000000001"/>
    <n v="21908.731650000002"/>
    <n v="21672.368700000003"/>
    <n v="16997.759999999998"/>
    <n v="4910.9716500000031"/>
    <n v="4674.6087000000043"/>
    <n v="1.2889187545888401"/>
  </r>
  <r>
    <x v="148"/>
    <x v="103"/>
    <d v="2025-04-28T00:00:00"/>
    <d v="2025-05-19T00:00:00"/>
    <d v="2025-05-19T00:00:00"/>
    <n v="21"/>
    <x v="1"/>
    <x v="1"/>
    <x v="33"/>
    <s v="Corporate"/>
    <s v="Distributor"/>
    <s v="B. Chen"/>
    <s v="Phones"/>
    <s v="PHN-2462"/>
    <n v="350.76"/>
    <s v="Low"/>
    <x v="148"/>
    <n v="492.18"/>
    <n v="5.2999999999999999E-2"/>
    <n v="11"/>
    <n v="26.085539999999998"/>
    <n v="5127.0390600000001"/>
    <n v="5100.95352"/>
    <n v="3858.3599999999997"/>
    <n v="1268.6790600000004"/>
    <n v="1242.5935200000004"/>
    <n v="1.3288130345535409"/>
  </r>
  <r>
    <x v="149"/>
    <x v="104"/>
    <d v="2024-09-03T00:00:00"/>
    <d v="2024-09-07T00:00:00"/>
    <d v="2024-09-07T00:00:00"/>
    <n v="4"/>
    <x v="0"/>
    <x v="0"/>
    <x v="14"/>
    <s v="Small Business"/>
    <s v="Distributor"/>
    <s v="N. Brown"/>
    <s v="Printers"/>
    <s v="PRN-3917"/>
    <n v="43.23"/>
    <s v="Low"/>
    <x v="149"/>
    <n v="94.78"/>
    <n v="9.0999999999999998E-2"/>
    <n v="55"/>
    <n v="8.6249800000000008"/>
    <n v="4738.5261"/>
    <n v="4729.9011200000004"/>
    <n v="2377.6499999999996"/>
    <n v="2360.8761000000004"/>
    <n v="2352.2511200000008"/>
    <n v="1.9929451769604445"/>
  </r>
  <r>
    <x v="150"/>
    <x v="104"/>
    <d v="2025-08-30T00:00:00"/>
    <d v="2025-09-03T00:00:00"/>
    <d v="2025-09-03T00:00:00"/>
    <n v="4"/>
    <x v="1"/>
    <x v="8"/>
    <x v="22"/>
    <s v="Small Business"/>
    <s v="Marketplace"/>
    <s v="J. Njeri"/>
    <s v="Laptops"/>
    <s v="LAP-3220"/>
    <n v="1286.56"/>
    <s v="High"/>
    <x v="150"/>
    <n v="2777.35"/>
    <n v="0.13200000000000001"/>
    <n v="15"/>
    <n v="366.61020000000002"/>
    <n v="36161.097000000002"/>
    <n v="35794.486799999999"/>
    <n v="19298.399999999998"/>
    <n v="16862.697000000004"/>
    <n v="16496.086800000001"/>
    <n v="1.873787308792439"/>
  </r>
  <r>
    <x v="151"/>
    <x v="105"/>
    <d v="2024-01-02T00:00:00"/>
    <d v="2024-01-15T00:00:00"/>
    <d v="2024-01-15T00:00:00"/>
    <n v="13"/>
    <x v="0"/>
    <x v="0"/>
    <x v="1"/>
    <s v="Small Business"/>
    <s v="Marketplace"/>
    <s v="G. Dubois"/>
    <s v="Networking"/>
    <s v="NET-1893"/>
    <n v="1219.06"/>
    <s v="High"/>
    <x v="151"/>
    <n v="2738.69"/>
    <n v="7.5999999999999998E-2"/>
    <n v="16"/>
    <n v="208.14044000000001"/>
    <n v="40488.792960000006"/>
    <n v="40280.652520000003"/>
    <n v="19504.96"/>
    <n v="20983.832960000007"/>
    <n v="20775.692520000004"/>
    <n v="2.0758203533870363"/>
  </r>
  <r>
    <x v="152"/>
    <x v="106"/>
    <d v="2023-03-14T00:00:00"/>
    <d v="2023-03-18T00:00:00"/>
    <d v="2023-03-18T00:00:00"/>
    <n v="4"/>
    <x v="1"/>
    <x v="1"/>
    <x v="2"/>
    <s v="Enterprise"/>
    <s v="Direct"/>
    <s v="A. Patel"/>
    <s v="Components"/>
    <s v="CMP-8675"/>
    <n v="472.33"/>
    <s v="Low"/>
    <x v="152"/>
    <n v="360.34"/>
    <n v="0.16500000000000001"/>
    <n v="14"/>
    <n v="59.456099999999999"/>
    <n v="4212.3745999999992"/>
    <n v="4152.9184999999989"/>
    <n v="6612.62"/>
    <n v="-2400.2454000000007"/>
    <n v="-2459.701500000001"/>
    <n v="0.63702051531768034"/>
  </r>
  <r>
    <x v="153"/>
    <x v="106"/>
    <d v="2023-07-16T00:00:00"/>
    <d v="2023-08-13T00:00:00"/>
    <d v="2023-08-13T00:00:00"/>
    <n v="28"/>
    <x v="1"/>
    <x v="7"/>
    <x v="12"/>
    <s v="Non-Profit"/>
    <s v="Online"/>
    <s v="J. Njeri"/>
    <s v="Laptops"/>
    <s v="LAP-1178"/>
    <n v="1039.03"/>
    <s v="High"/>
    <x v="153"/>
    <n v="2545.81"/>
    <n v="0.216"/>
    <n v="21"/>
    <n v="549.89495999999997"/>
    <n v="41914.215840000004"/>
    <n v="41364.320880000007"/>
    <n v="21819.63"/>
    <n v="20094.585840000003"/>
    <n v="19544.690880000006"/>
    <n v="1.9209407235594738"/>
  </r>
  <r>
    <x v="154"/>
    <x v="106"/>
    <d v="2023-04-16T00:00:00"/>
    <d v="2023-04-19T00:00:00"/>
    <d v="2023-04-19T00:00:00"/>
    <n v="3"/>
    <x v="1"/>
    <x v="1"/>
    <x v="32"/>
    <s v="Corporate"/>
    <s v="Direct"/>
    <s v="B. Chen"/>
    <s v="Accessories"/>
    <s v="ACC-1731"/>
    <n v="553.61"/>
    <s v="Medium"/>
    <x v="154"/>
    <n v="699.47"/>
    <n v="0.02"/>
    <n v="33"/>
    <n v="13.989400000000002"/>
    <n v="22620.859800000002"/>
    <n v="22606.870400000003"/>
    <n v="18269.13"/>
    <n v="4351.729800000001"/>
    <n v="4337.7404000000024"/>
    <n v="1.2382012608153754"/>
  </r>
  <r>
    <x v="155"/>
    <x v="107"/>
    <d v="2024-05-10T00:00:00"/>
    <d v="2024-05-16T00:00:00"/>
    <d v="2024-05-16T00:00:00"/>
    <n v="6"/>
    <x v="1"/>
    <x v="7"/>
    <x v="38"/>
    <s v="Non-Profit"/>
    <s v="Direct"/>
    <s v="G. Dubois"/>
    <s v="Laptops"/>
    <s v="LAP-1066"/>
    <n v="210.76"/>
    <s v="Low"/>
    <x v="155"/>
    <n v="221.58"/>
    <n v="8.8999999999999996E-2"/>
    <n v="5"/>
    <n v="19.72062"/>
    <n v="1009.2969000000002"/>
    <n v="989.57628000000011"/>
    <n v="1053.8"/>
    <n v="-44.50309999999979"/>
    <n v="-64.223719999999844"/>
    <n v="0.95776893148605069"/>
  </r>
  <r>
    <x v="156"/>
    <x v="108"/>
    <d v="2023-05-23T00:00:00"/>
    <d v="2023-05-25T00:00:00"/>
    <d v="2023-05-25T00:00:00"/>
    <n v="2"/>
    <x v="2"/>
    <x v="6"/>
    <x v="8"/>
    <s v="Enterprise"/>
    <s v="Retail"/>
    <s v="M. Rossi"/>
    <s v="Printers"/>
    <s v="PRN-1271"/>
    <n v="690.49"/>
    <s v="Medium"/>
    <x v="156"/>
    <n v="1290.29"/>
    <n v="4.2000000000000003E-2"/>
    <n v="22"/>
    <n v="54.19218"/>
    <n v="27194.152039999997"/>
    <n v="27139.959859999999"/>
    <n v="15190.78"/>
    <n v="12003.372039999997"/>
    <n v="11949.179859999998"/>
    <n v="1.7901748323654214"/>
  </r>
  <r>
    <x v="157"/>
    <x v="109"/>
    <d v="2025-08-13T00:00:00"/>
    <d v="2025-09-03T00:00:00"/>
    <d v="2025-09-03T00:00:00"/>
    <n v="21"/>
    <x v="1"/>
    <x v="8"/>
    <x v="11"/>
    <s v="Education"/>
    <s v="Retail"/>
    <s v="I. Johnson"/>
    <s v="Phones"/>
    <s v="PHN-9465"/>
    <n v="603.47"/>
    <s v="Medium"/>
    <x v="157"/>
    <n v="1344.05"/>
    <n v="0.20499999999999999"/>
    <n v="18"/>
    <n v="275.53024999999997"/>
    <n v="19233.355499999998"/>
    <n v="18957.825249999998"/>
    <n v="10862.460000000001"/>
    <n v="8370.8954999999969"/>
    <n v="8095.3652499999971"/>
    <n v="1.770626128887931"/>
  </r>
  <r>
    <x v="158"/>
    <x v="110"/>
    <d v="2024-02-06T00:00:00"/>
    <d v="2024-02-28T00:00:00"/>
    <d v="2024-02-28T00:00:00"/>
    <n v="22"/>
    <x v="3"/>
    <x v="5"/>
    <x v="15"/>
    <s v="Non-Profit"/>
    <s v="Online"/>
    <s v="K. Singh"/>
    <s v="Monitors"/>
    <s v="MON-2462"/>
    <n v="834.93"/>
    <s v="Medium"/>
    <x v="158"/>
    <n v="1588.53"/>
    <n v="0.126"/>
    <n v="6"/>
    <n v="200.15477999999999"/>
    <n v="8330.2513199999994"/>
    <n v="8130.0965399999995"/>
    <n v="5009.58"/>
    <n v="3320.6713199999995"/>
    <n v="3120.5165399999996"/>
    <n v="1.6628642161618339"/>
  </r>
  <r>
    <x v="159"/>
    <x v="111"/>
    <d v="2025-07-03T00:00:00"/>
    <d v="2025-07-23T00:00:00"/>
    <d v="2025-07-23T00:00:00"/>
    <n v="20"/>
    <x v="0"/>
    <x v="3"/>
    <x v="37"/>
    <s v="Small Business"/>
    <s v="Online"/>
    <s v="M. Rossi"/>
    <s v="Components"/>
    <s v="CMP-1220"/>
    <n v="647.36"/>
    <s v="Medium"/>
    <x v="159"/>
    <n v="1383.6"/>
    <n v="7.3999999999999996E-2"/>
    <n v="12"/>
    <n v="102.38639999999999"/>
    <n v="15374.563199999999"/>
    <n v="15272.176799999999"/>
    <n v="7768.32"/>
    <n v="7606.243199999999"/>
    <n v="7503.8567999999996"/>
    <n v="1.9791361838853188"/>
  </r>
  <r>
    <x v="160"/>
    <x v="112"/>
    <d v="2023-08-29T00:00:00"/>
    <d v="2023-09-19T00:00:00"/>
    <d v="2023-09-19T00:00:00"/>
    <n v="21"/>
    <x v="1"/>
    <x v="8"/>
    <x v="24"/>
    <s v="Small Business"/>
    <s v="Direct"/>
    <s v="B. Chen"/>
    <s v="Printers"/>
    <s v="PRN-7079"/>
    <n v="784.46"/>
    <s v="Medium"/>
    <x v="160"/>
    <n v="1843.51"/>
    <n v="0.13800000000000001"/>
    <n v="23"/>
    <n v="254.40438000000003"/>
    <n v="36549.429260000004"/>
    <n v="36295.024880000004"/>
    <n v="18042.580000000002"/>
    <n v="18506.849260000003"/>
    <n v="18252.444880000003"/>
    <n v="2.0257318665068964"/>
  </r>
  <r>
    <x v="161"/>
    <x v="113"/>
    <d v="2025-03-23T00:00:00"/>
    <d v="2025-04-02T00:00:00"/>
    <d v="2025-04-02T00:00:00"/>
    <n v="10"/>
    <x v="1"/>
    <x v="1"/>
    <x v="33"/>
    <s v="Enterprise"/>
    <s v="Online"/>
    <s v="E. Garcia"/>
    <s v="Printers"/>
    <s v="PRN-3159"/>
    <n v="663.61"/>
    <s v="Medium"/>
    <x v="161"/>
    <n v="1002.11"/>
    <n v="4.5999999999999999E-2"/>
    <n v="17"/>
    <n v="46.097059999999999"/>
    <n v="16252.219979999998"/>
    <n v="16206.122919999998"/>
    <n v="11281.37"/>
    <n v="4970.8499799999972"/>
    <n v="4924.7529199999972"/>
    <n v="1.4406246741308899"/>
  </r>
  <r>
    <x v="162"/>
    <x v="113"/>
    <d v="2023-05-14T00:00:00"/>
    <d v="2023-05-22T00:00:00"/>
    <d v="2023-05-22T00:00:00"/>
    <n v="8"/>
    <x v="3"/>
    <x v="5"/>
    <x v="20"/>
    <s v="Small Business"/>
    <s v="Distributor"/>
    <s v="F. Müller"/>
    <s v="Printers"/>
    <s v="PRN-9488"/>
    <n v="432.01"/>
    <s v="Medium"/>
    <x v="162"/>
    <n v="913.78"/>
    <n v="4.9000000000000002E-2"/>
    <n v="12"/>
    <n v="44.775219999999997"/>
    <n v="10428.057360000001"/>
    <n v="10383.282140000001"/>
    <n v="5184.12"/>
    <n v="5243.9373600000008"/>
    <n v="5199.1621400000013"/>
    <n v="2.0115385754959378"/>
  </r>
  <r>
    <x v="163"/>
    <x v="114"/>
    <d v="2023-12-18T00:00:00"/>
    <d v="2024-01-14T00:00:00"/>
    <d v="2024-01-14T00:00:00"/>
    <n v="27"/>
    <x v="0"/>
    <x v="4"/>
    <x v="30"/>
    <s v="Consumer"/>
    <s v="Distributor"/>
    <s v="D. Smith"/>
    <s v="Networking"/>
    <s v="NET-6014"/>
    <n v="1408.3"/>
    <s v="High"/>
    <x v="163"/>
    <n v="2193.13"/>
    <n v="7.0999999999999994E-2"/>
    <n v="7"/>
    <n v="155.71223000000001"/>
    <n v="14261.92439"/>
    <n v="14106.212160000001"/>
    <n v="9858.1"/>
    <n v="4403.8243899999998"/>
    <n v="4248.1121600000006"/>
    <n v="1.4467214158915003"/>
  </r>
  <r>
    <x v="164"/>
    <x v="114"/>
    <d v="2025-06-01T00:00:00"/>
    <d v="2025-06-05T00:00:00"/>
    <d v="2025-06-05T00:00:00"/>
    <n v="4"/>
    <x v="1"/>
    <x v="1"/>
    <x v="32"/>
    <s v="Enterprise"/>
    <s v="Direct"/>
    <s v="M. Rossi"/>
    <s v="Components"/>
    <s v="CMP-4159"/>
    <n v="1171.42"/>
    <s v="High"/>
    <x v="164"/>
    <n v="2187.8000000000002"/>
    <n v="0.23"/>
    <n v="15"/>
    <n v="503.19400000000007"/>
    <n v="25269.09"/>
    <n v="24765.896000000001"/>
    <n v="17571.300000000003"/>
    <n v="7697.7899999999972"/>
    <n v="7194.5959999999977"/>
    <n v="1.4380888152840141"/>
  </r>
  <r>
    <x v="165"/>
    <x v="115"/>
    <d v="2024-11-22T00:00:00"/>
    <d v="2024-12-15T00:00:00"/>
    <d v="2024-12-15T00:00:00"/>
    <n v="23"/>
    <x v="3"/>
    <x v="5"/>
    <x v="20"/>
    <s v="Non-Profit"/>
    <s v="Distributor"/>
    <s v="C. Otieno"/>
    <s v="Components"/>
    <s v="CMP-3938"/>
    <n v="1335.76"/>
    <s v="High"/>
    <x v="165"/>
    <n v="2665.91"/>
    <n v="0.21099999999999999"/>
    <n v="40"/>
    <n v="562.50700999999992"/>
    <n v="84136.119600000005"/>
    <n v="83573.612590000004"/>
    <n v="53430.400000000001"/>
    <n v="30705.719600000004"/>
    <n v="30143.212590000003"/>
    <n v="1.5746863134095945"/>
  </r>
  <r>
    <x v="166"/>
    <x v="115"/>
    <d v="2024-06-23T00:00:00"/>
    <d v="2024-06-28T00:00:00"/>
    <d v="2024-06-28T00:00:00"/>
    <n v="5"/>
    <x v="3"/>
    <x v="9"/>
    <x v="13"/>
    <s v="Non-Profit"/>
    <s v="Direct"/>
    <s v="M. Rossi"/>
    <s v="Accessories"/>
    <s v="ACC-7671"/>
    <n v="242.31"/>
    <s v="Low"/>
    <x v="166"/>
    <n v="587.95000000000005"/>
    <n v="0.22900000000000001"/>
    <n v="6"/>
    <n v="134.64055000000002"/>
    <n v="2719.8567000000003"/>
    <n v="2585.2161500000002"/>
    <n v="1453.8600000000001"/>
    <n v="1265.9967000000001"/>
    <n v="1131.3561500000001"/>
    <n v="1.8707830877801164"/>
  </r>
  <r>
    <x v="167"/>
    <x v="116"/>
    <d v="2025-07-27T00:00:00"/>
    <d v="2025-08-15T00:00:00"/>
    <d v="2025-08-15T00:00:00"/>
    <n v="19"/>
    <x v="0"/>
    <x v="0"/>
    <x v="14"/>
    <s v="Small Business"/>
    <s v="Marketplace"/>
    <s v="J. Njeri"/>
    <s v="Components"/>
    <s v="CMP-5658"/>
    <n v="275.43"/>
    <s v="Medium"/>
    <x v="167"/>
    <n v="608.36"/>
    <n v="0.25700000000000001"/>
    <n v="4"/>
    <n v="156.34852000000001"/>
    <n v="1808.04592"/>
    <n v="1651.6974"/>
    <n v="1101.72"/>
    <n v="706.32592"/>
    <n v="549.97739999999999"/>
    <n v="1.6411120066804632"/>
  </r>
  <r>
    <x v="168"/>
    <x v="117"/>
    <d v="2025-04-10T00:00:00"/>
    <d v="2025-04-19T00:00:00"/>
    <d v="2025-04-19T00:00:00"/>
    <n v="9"/>
    <x v="3"/>
    <x v="11"/>
    <x v="34"/>
    <s v="Enterprise"/>
    <s v="Direct"/>
    <s v="G. Dubois"/>
    <s v="Networking"/>
    <s v="NET-5270"/>
    <n v="113.74"/>
    <s v="Low"/>
    <x v="168"/>
    <n v="165.7"/>
    <n v="0.124"/>
    <n v="13"/>
    <n v="20.546799999999998"/>
    <n v="1886.9915999999998"/>
    <n v="1866.4447999999998"/>
    <n v="1478.62"/>
    <n v="408.37159999999994"/>
    <n v="387.82479999999987"/>
    <n v="1.2761842799366978"/>
  </r>
  <r>
    <x v="169"/>
    <x v="118"/>
    <d v="2024-03-07T00:00:00"/>
    <d v="2024-04-03T00:00:00"/>
    <d v="2024-04-03T00:00:00"/>
    <n v="27"/>
    <x v="1"/>
    <x v="1"/>
    <x v="2"/>
    <s v="Corporate"/>
    <s v="Direct"/>
    <s v="M. Rossi"/>
    <s v="Printers"/>
    <s v="PRN-6911"/>
    <n v="738.16"/>
    <s v="Medium"/>
    <x v="169"/>
    <n v="956.49"/>
    <n v="0.152"/>
    <n v="5"/>
    <n v="145.38648000000001"/>
    <n v="4055.5175999999997"/>
    <n v="3910.1311199999996"/>
    <n v="3690.7999999999997"/>
    <n v="364.71759999999995"/>
    <n v="219.33111999999983"/>
    <n v="1.0988180340305624"/>
  </r>
  <r>
    <x v="170"/>
    <x v="119"/>
    <d v="2023-05-17T00:00:00"/>
    <d v="2023-06-15T00:00:00"/>
    <d v="2023-06-15T00:00:00"/>
    <n v="29"/>
    <x v="3"/>
    <x v="11"/>
    <x v="34"/>
    <s v="Enterprise"/>
    <s v="Retail"/>
    <s v="K. Singh"/>
    <s v="Accessories"/>
    <s v="ACC-5206"/>
    <n v="40.89"/>
    <s v="Low"/>
    <x v="170"/>
    <n v="62.82"/>
    <n v="0.129"/>
    <n v="17"/>
    <n v="8.1037800000000004"/>
    <n v="930.17574000000002"/>
    <n v="922.07195999999999"/>
    <n v="695.13"/>
    <n v="235.04574000000002"/>
    <n v="226.94195999999999"/>
    <n v="1.3381320616287602"/>
  </r>
  <r>
    <x v="171"/>
    <x v="120"/>
    <d v="2023-07-09T00:00:00"/>
    <d v="2023-07-19T00:00:00"/>
    <d v="2023-07-19T00:00:00"/>
    <n v="10"/>
    <x v="0"/>
    <x v="0"/>
    <x v="14"/>
    <s v="Enterprise"/>
    <s v="Distributor"/>
    <s v="N. Brown"/>
    <s v="Components"/>
    <s v="CMP-6649"/>
    <n v="141.26"/>
    <s v="Low"/>
    <x v="171"/>
    <n v="206.88"/>
    <n v="0.107"/>
    <n v="9"/>
    <n v="22.13616"/>
    <n v="1662.6945600000001"/>
    <n v="1640.5584000000001"/>
    <n v="1271.3399999999999"/>
    <n v="391.35456000000022"/>
    <n v="369.2184000000002"/>
    <n v="1.3078284015290955"/>
  </r>
  <r>
    <x v="172"/>
    <x v="121"/>
    <d v="2024-05-05T00:00:00"/>
    <d v="2024-05-18T00:00:00"/>
    <d v="2024-05-18T00:00:00"/>
    <n v="13"/>
    <x v="1"/>
    <x v="8"/>
    <x v="22"/>
    <s v="Corporate"/>
    <s v="Marketplace"/>
    <s v="A. Patel"/>
    <s v="Components"/>
    <s v="CMP-3313"/>
    <n v="1264.04"/>
    <s v="Medium"/>
    <x v="172"/>
    <n v="1870.89"/>
    <n v="0"/>
    <n v="13"/>
    <n v="0"/>
    <n v="24321.57"/>
    <n v="24321.57"/>
    <n v="16432.52"/>
    <n v="7889.0499999999993"/>
    <n v="7889.0499999999993"/>
    <n v="1.4800876554539413"/>
  </r>
  <r>
    <x v="173"/>
    <x v="122"/>
    <d v="2023-05-02T00:00:00"/>
    <d v="2023-05-19T00:00:00"/>
    <d v="2023-05-19T00:00:00"/>
    <n v="17"/>
    <x v="0"/>
    <x v="3"/>
    <x v="4"/>
    <s v="Non-Profit"/>
    <s v="Direct"/>
    <s v="J. Njeri"/>
    <s v="Monitors"/>
    <s v="MON-5086"/>
    <n v="714.28"/>
    <s v="Medium"/>
    <x v="173"/>
    <n v="757.59"/>
    <n v="0.13600000000000001"/>
    <n v="12"/>
    <n v="103.03224000000002"/>
    <n v="7854.6931199999999"/>
    <n v="7751.6608799999995"/>
    <n v="8571.36"/>
    <n v="-716.66688000000067"/>
    <n v="-819.69912000000113"/>
    <n v="0.9163881951055608"/>
  </r>
  <r>
    <x v="174"/>
    <x v="122"/>
    <d v="2023-11-30T00:00:00"/>
    <d v="2023-12-10T00:00:00"/>
    <d v="2023-12-10T00:00:00"/>
    <n v="10"/>
    <x v="1"/>
    <x v="1"/>
    <x v="32"/>
    <s v="Small Business"/>
    <s v="Direct"/>
    <s v="F. Müller"/>
    <s v="Laptops"/>
    <s v="LAP-4899"/>
    <n v="174.74"/>
    <s v="Low"/>
    <x v="174"/>
    <n v="415.96"/>
    <n v="0.125"/>
    <n v="21"/>
    <n v="51.994999999999997"/>
    <n v="7643.2649999999994"/>
    <n v="7591.2699999999995"/>
    <n v="3669.54"/>
    <n v="3973.7249999999995"/>
    <n v="3921.7299999999996"/>
    <n v="2.0828945862424173"/>
  </r>
  <r>
    <x v="175"/>
    <x v="123"/>
    <d v="2024-12-27T00:00:00"/>
    <d v="2024-12-29T00:00:00"/>
    <d v="2024-12-29T00:00:00"/>
    <n v="2"/>
    <x v="2"/>
    <x v="2"/>
    <x v="3"/>
    <s v="Enterprise"/>
    <s v="Marketplace"/>
    <s v="C. Otieno"/>
    <s v="Accessories"/>
    <s v="ACC-8620"/>
    <n v="1146.72"/>
    <s v="High"/>
    <x v="175"/>
    <n v="2074.34"/>
    <n v="0.111"/>
    <n v="8"/>
    <n v="230.25174000000001"/>
    <n v="14752.706080000002"/>
    <n v="14522.454340000002"/>
    <n v="9173.76"/>
    <n v="5578.9460800000015"/>
    <n v="5348.6943400000018"/>
    <n v="1.608141708525185"/>
  </r>
  <r>
    <x v="176"/>
    <x v="123"/>
    <d v="2023-12-05T00:00:00"/>
    <d v="2023-12-12T00:00:00"/>
    <d v="2023-12-12T00:00:00"/>
    <n v="7"/>
    <x v="2"/>
    <x v="6"/>
    <x v="28"/>
    <s v="Corporate"/>
    <s v="Direct"/>
    <s v="F. Müller"/>
    <s v="Phones"/>
    <s v="PHN-6506"/>
    <n v="307.43"/>
    <s v="Low"/>
    <x v="176"/>
    <n v="495.19"/>
    <n v="0"/>
    <n v="42"/>
    <n v="0"/>
    <n v="20797.98"/>
    <n v="20797.98"/>
    <n v="12912.06"/>
    <n v="7885.92"/>
    <n v="7885.92"/>
    <n v="1.6107406564095892"/>
  </r>
  <r>
    <x v="177"/>
    <x v="124"/>
    <d v="2023-05-24T00:00:00"/>
    <d v="2023-06-21T00:00:00"/>
    <d v="2023-06-21T00:00:00"/>
    <n v="28"/>
    <x v="2"/>
    <x v="10"/>
    <x v="17"/>
    <s v="Small Business"/>
    <s v="Marketplace"/>
    <s v="G. Dubois"/>
    <s v="Monitors"/>
    <s v="MON-6882"/>
    <n v="813.97"/>
    <s v="Medium"/>
    <x v="177"/>
    <n v="1568.83"/>
    <n v="1.7000000000000001E-2"/>
    <n v="15"/>
    <n v="26.670110000000001"/>
    <n v="23132.398349999996"/>
    <n v="23105.728239999997"/>
    <n v="12209.550000000001"/>
    <n v="10922.848349999995"/>
    <n v="10896.178239999996"/>
    <n v="1.8946151455213331"/>
  </r>
  <r>
    <x v="178"/>
    <x v="125"/>
    <d v="2024-05-01T00:00:00"/>
    <d v="2024-05-16T00:00:00"/>
    <d v="2024-05-16T00:00:00"/>
    <n v="15"/>
    <x v="0"/>
    <x v="4"/>
    <x v="31"/>
    <s v="Small Business"/>
    <s v="Retail"/>
    <s v="L. Okafor"/>
    <s v="Components"/>
    <s v="CMP-6811"/>
    <n v="901.19"/>
    <s v="High"/>
    <x v="178"/>
    <n v="2125.44"/>
    <n v="7.0999999999999994E-2"/>
    <n v="12"/>
    <n v="150.90624"/>
    <n v="23694.405119999999"/>
    <n v="23543.498879999999"/>
    <n v="10814.28"/>
    <n v="12880.125119999999"/>
    <n v="12729.218879999999"/>
    <n v="2.1910293722744369"/>
  </r>
  <r>
    <x v="179"/>
    <x v="125"/>
    <d v="2025-06-09T00:00:00"/>
    <d v="2025-06-24T00:00:00"/>
    <d v="2025-06-24T00:00:00"/>
    <n v="15"/>
    <x v="0"/>
    <x v="0"/>
    <x v="1"/>
    <s v="Corporate"/>
    <s v="Direct"/>
    <s v="B. Chen"/>
    <s v="Phones"/>
    <s v="PHN-5675"/>
    <n v="400.39"/>
    <s v="Medium"/>
    <x v="179"/>
    <n v="712.75"/>
    <n v="0.115"/>
    <n v="19"/>
    <n v="81.966250000000002"/>
    <n v="11984.891250000001"/>
    <n v="11902.925000000001"/>
    <n v="7607.41"/>
    <n v="4377.4812500000007"/>
    <n v="4295.5150000000012"/>
    <n v="1.575423337246185"/>
  </r>
  <r>
    <x v="180"/>
    <x v="126"/>
    <d v="2023-01-19T00:00:00"/>
    <d v="2023-02-03T00:00:00"/>
    <d v="2023-02-03T00:00:00"/>
    <n v="15"/>
    <x v="1"/>
    <x v="7"/>
    <x v="10"/>
    <s v="Enterprise"/>
    <s v="Distributor"/>
    <s v="G. Dubois"/>
    <s v="Accessories"/>
    <s v="ACC-3645"/>
    <n v="873.06"/>
    <s v="High"/>
    <x v="180"/>
    <n v="2101.5500000000002"/>
    <n v="6.6000000000000003E-2"/>
    <n v="10"/>
    <n v="138.70230000000001"/>
    <n v="19628.476999999999"/>
    <n v="19489.774699999998"/>
    <n v="8730.5999999999985"/>
    <n v="10897.877"/>
    <n v="10759.1747"/>
    <n v="2.2482391817286329"/>
  </r>
  <r>
    <x v="181"/>
    <x v="127"/>
    <d v="2024-06-11T00:00:00"/>
    <d v="2024-07-09T00:00:00"/>
    <d v="2024-07-09T00:00:00"/>
    <n v="28"/>
    <x v="3"/>
    <x v="9"/>
    <x v="13"/>
    <s v="Corporate"/>
    <s v="Marketplace"/>
    <s v="I. Johnson"/>
    <s v="Phones"/>
    <s v="PHN-2436"/>
    <n v="895.54"/>
    <s v="Medium"/>
    <x v="181"/>
    <n v="1045"/>
    <n v="0.216"/>
    <n v="15"/>
    <n v="225.72"/>
    <n v="12289.2"/>
    <n v="12063.480000000001"/>
    <n v="13433.099999999999"/>
    <n v="-1143.8999999999978"/>
    <n v="-1369.6199999999972"/>
    <n v="0.9148446747213973"/>
  </r>
  <r>
    <x v="182"/>
    <x v="127"/>
    <d v="2023-07-22T00:00:00"/>
    <d v="2023-07-22T00:00:00"/>
    <d v="2023-07-21T00:00:00"/>
    <n v="-1"/>
    <x v="0"/>
    <x v="4"/>
    <x v="6"/>
    <s v="Small Business"/>
    <s v="Distributor"/>
    <s v="E. Garcia"/>
    <s v="Printers"/>
    <s v="PRN-2301"/>
    <n v="946.99"/>
    <s v="High"/>
    <x v="182"/>
    <n v="2132.19"/>
    <n v="0.16500000000000001"/>
    <n v="7"/>
    <n v="351.81135"/>
    <n v="12462.65055"/>
    <n v="12110.8392"/>
    <n v="6628.93"/>
    <n v="5833.72055"/>
    <n v="5481.9092000000001"/>
    <n v="1.8800395463521262"/>
  </r>
  <r>
    <x v="183"/>
    <x v="128"/>
    <d v="2024-06-03T00:00:00"/>
    <d v="2024-06-24T00:00:00"/>
    <d v="2024-06-24T00:00:00"/>
    <n v="21"/>
    <x v="2"/>
    <x v="2"/>
    <x v="21"/>
    <s v="Small Business"/>
    <s v="Direct"/>
    <s v="G. Dubois"/>
    <s v="Monitors"/>
    <s v="MON-5386"/>
    <n v="1205.5"/>
    <s v="High"/>
    <x v="183"/>
    <n v="2210.17"/>
    <n v="0.104"/>
    <n v="23"/>
    <n v="229.85767999999999"/>
    <n v="45547.183360000003"/>
    <n v="45317.325680000002"/>
    <n v="27726.5"/>
    <n v="17820.683360000003"/>
    <n v="17590.825680000002"/>
    <n v="1.6427310825383659"/>
  </r>
  <r>
    <x v="184"/>
    <x v="129"/>
    <d v="2025-03-30T00:00:00"/>
    <d v="2025-04-29T00:00:00"/>
    <d v="2025-04-29T00:00:00"/>
    <n v="30"/>
    <x v="3"/>
    <x v="11"/>
    <x v="34"/>
    <s v="Consumer"/>
    <s v="Marketplace"/>
    <s v="J. Njeri"/>
    <s v="Monitors"/>
    <s v="MON-7106"/>
    <n v="194.6"/>
    <s v="Low"/>
    <x v="184"/>
    <n v="314.87"/>
    <n v="0.29299999999999998"/>
    <n v="25"/>
    <n v="92.256909999999991"/>
    <n v="5565.3272500000003"/>
    <n v="5473.0703400000002"/>
    <n v="4865"/>
    <n v="700.32725000000028"/>
    <n v="608.07034000000021"/>
    <n v="1.1439521582733814"/>
  </r>
  <r>
    <x v="185"/>
    <x v="130"/>
    <d v="2023-12-24T00:00:00"/>
    <d v="2024-01-13T00:00:00"/>
    <d v="2024-01-13T00:00:00"/>
    <n v="20"/>
    <x v="0"/>
    <x v="0"/>
    <x v="1"/>
    <s v="Education"/>
    <s v="Direct"/>
    <s v="B. Chen"/>
    <s v="Laptops"/>
    <s v="LAP-1946"/>
    <n v="625.37"/>
    <s v="Medium"/>
    <x v="185"/>
    <n v="1319.04"/>
    <n v="7.3999999999999996E-2"/>
    <n v="8"/>
    <n v="97.608959999999996"/>
    <n v="9771.4483199999995"/>
    <n v="9673.8393599999999"/>
    <n v="5002.96"/>
    <n v="4768.4883199999995"/>
    <n v="4670.8793599999999"/>
    <n v="1.9531334090218591"/>
  </r>
  <r>
    <x v="186"/>
    <x v="131"/>
    <d v="2023-06-13T00:00:00"/>
    <d v="2023-06-24T00:00:00"/>
    <d v="2023-06-24T00:00:00"/>
    <n v="11"/>
    <x v="2"/>
    <x v="2"/>
    <x v="21"/>
    <s v="Corporate"/>
    <s v="Online"/>
    <s v="C. Otieno"/>
    <s v="Printers"/>
    <s v="PRN-8008"/>
    <n v="247.07"/>
    <s v="Low"/>
    <x v="176"/>
    <n v="495.19"/>
    <n v="2.8000000000000001E-2"/>
    <n v="4"/>
    <n v="13.865320000000001"/>
    <n v="1925.29872"/>
    <n v="1911.4333999999999"/>
    <n v="988.28"/>
    <n v="937.01872000000003"/>
    <n v="923.15339999999992"/>
    <n v="1.9481308131298822"/>
  </r>
  <r>
    <x v="187"/>
    <x v="132"/>
    <d v="2024-08-22T00:00:00"/>
    <d v="2024-09-04T00:00:00"/>
    <d v="2024-09-04T00:00:00"/>
    <n v="13"/>
    <x v="1"/>
    <x v="1"/>
    <x v="2"/>
    <s v="Non-Profit"/>
    <s v="Retail"/>
    <s v="L. Okafor"/>
    <s v="Printers"/>
    <s v="PRN-4892"/>
    <n v="90.04"/>
    <s v="Low"/>
    <x v="186"/>
    <n v="194.62"/>
    <n v="4.2999999999999997E-2"/>
    <n v="32"/>
    <n v="8.3686600000000002"/>
    <n v="5960.04288"/>
    <n v="5951.6742199999999"/>
    <n v="2881.28"/>
    <n v="3078.7628799999998"/>
    <n v="3070.3942199999997"/>
    <n v="2.0685399822301198"/>
  </r>
  <r>
    <x v="188"/>
    <x v="132"/>
    <d v="2024-09-25T00:00:00"/>
    <d v="2024-10-03T00:00:00"/>
    <d v="2024-10-03T00:00:00"/>
    <n v="8"/>
    <x v="2"/>
    <x v="2"/>
    <x v="21"/>
    <s v="Consumer"/>
    <s v="Online"/>
    <s v="E. Garcia"/>
    <s v="Printers"/>
    <s v="PRN-9557"/>
    <n v="558.19000000000005"/>
    <s v="Medium"/>
    <x v="187"/>
    <n v="1031.6400000000001"/>
    <n v="0"/>
    <n v="21"/>
    <n v="0"/>
    <n v="21664.440000000002"/>
    <n v="21664.440000000002"/>
    <n v="11721.990000000002"/>
    <n v="9942.4500000000007"/>
    <n v="9942.4500000000007"/>
    <n v="1.8481878930113402"/>
  </r>
  <r>
    <x v="189"/>
    <x v="133"/>
    <d v="2023-09-20T00:00:00"/>
    <d v="2023-09-28T00:00:00"/>
    <d v="2023-09-28T00:00:00"/>
    <n v="8"/>
    <x v="0"/>
    <x v="4"/>
    <x v="31"/>
    <s v="Corporate"/>
    <s v="Marketplace"/>
    <s v="B. Chen"/>
    <s v="Accessories"/>
    <s v="ACC-1375"/>
    <n v="1362.06"/>
    <s v="High"/>
    <x v="188"/>
    <n v="3398.37"/>
    <n v="0.157"/>
    <n v="11"/>
    <n v="533.54408999999998"/>
    <n v="31513.085009999999"/>
    <n v="30979.540919999999"/>
    <n v="14982.66"/>
    <n v="16530.425009999999"/>
    <n v="15996.88092"/>
    <n v="2.1033037531386283"/>
  </r>
  <r>
    <x v="190"/>
    <x v="134"/>
    <d v="2023-05-17T00:00:00"/>
    <d v="2023-06-03T00:00:00"/>
    <d v="2023-06-03T00:00:00"/>
    <n v="17"/>
    <x v="0"/>
    <x v="3"/>
    <x v="37"/>
    <s v="Non-Profit"/>
    <s v="Distributor"/>
    <s v="M. Rossi"/>
    <s v="Printers"/>
    <s v="PRN-1923"/>
    <n v="979.59"/>
    <s v="High"/>
    <x v="189"/>
    <n v="2210.94"/>
    <n v="0.15"/>
    <n v="11"/>
    <n v="331.64100000000002"/>
    <n v="20672.289000000001"/>
    <n v="20340.648000000001"/>
    <n v="10775.49"/>
    <n v="9896.7990000000009"/>
    <n v="9565.1580000000013"/>
    <n v="1.918454659602487"/>
  </r>
  <r>
    <x v="191"/>
    <x v="134"/>
    <d v="2024-03-23T00:00:00"/>
    <d v="2024-03-26T00:00:00"/>
    <d v="2024-03-26T00:00:00"/>
    <n v="3"/>
    <x v="0"/>
    <x v="4"/>
    <x v="31"/>
    <s v="Education"/>
    <s v="Direct"/>
    <s v="G. Dubois"/>
    <s v="Phones"/>
    <s v="PHN-4346"/>
    <n v="382.21"/>
    <s v="Low"/>
    <x v="190"/>
    <n v="571.89"/>
    <n v="0.14799999999999999"/>
    <n v="26"/>
    <n v="84.639719999999997"/>
    <n v="12668.50728"/>
    <n v="12583.867560000001"/>
    <n v="9937.4599999999991"/>
    <n v="2731.0472800000007"/>
    <n v="2646.4075600000015"/>
    <n v="1.2748234740064364"/>
  </r>
  <r>
    <x v="192"/>
    <x v="135"/>
    <d v="2023-02-21T00:00:00"/>
    <d v="2023-03-12T00:00:00"/>
    <d v="2023-03-12T00:00:00"/>
    <n v="19"/>
    <x v="3"/>
    <x v="5"/>
    <x v="9"/>
    <s v="Corporate"/>
    <s v="Online"/>
    <s v="F. Müller"/>
    <s v="Networking"/>
    <s v="NET-2499"/>
    <n v="352.65"/>
    <s v="Low"/>
    <x v="191"/>
    <n v="485.86"/>
    <n v="4.1000000000000002E-2"/>
    <n v="6"/>
    <n v="19.920260000000003"/>
    <n v="2795.6384399999997"/>
    <n v="2775.7181799999998"/>
    <n v="2115.8999999999996"/>
    <n v="679.73844000000008"/>
    <n v="659.81818000000021"/>
    <n v="1.3212526300864882"/>
  </r>
  <r>
    <x v="193"/>
    <x v="136"/>
    <d v="2023-12-30T00:00:00"/>
    <d v="2024-01-08T00:00:00"/>
    <d v="2024-01-08T00:00:00"/>
    <n v="9"/>
    <x v="1"/>
    <x v="8"/>
    <x v="22"/>
    <s v="Consumer"/>
    <s v="Marketplace"/>
    <s v="L. Okafor"/>
    <s v="Accessories"/>
    <s v="ACC-6594"/>
    <n v="861.1"/>
    <s v="Medium"/>
    <x v="192"/>
    <n v="1224.72"/>
    <n v="0.17399999999999999"/>
    <n v="24"/>
    <n v="213.10128"/>
    <n v="24278.849280000002"/>
    <n v="24065.748000000003"/>
    <n v="20666.400000000001"/>
    <n v="3612.4492800000007"/>
    <n v="3399.3480000000018"/>
    <n v="1.1747981883637209"/>
  </r>
  <r>
    <x v="194"/>
    <x v="137"/>
    <d v="2023-04-21T00:00:00"/>
    <d v="2023-04-21T00:00:00"/>
    <d v="2023-04-19T00:00:00"/>
    <n v="-2"/>
    <x v="0"/>
    <x v="0"/>
    <x v="1"/>
    <s v="Small Business"/>
    <s v="Direct"/>
    <s v="M. Rossi"/>
    <s v="Components"/>
    <s v="CMP-8604"/>
    <n v="607.04"/>
    <s v="Medium"/>
    <x v="193"/>
    <n v="1229.3399999999999"/>
    <n v="0.14699999999999999"/>
    <n v="7"/>
    <n v="180.71297999999999"/>
    <n v="7340.3891399999993"/>
    <n v="7159.6761599999991"/>
    <n v="4249.28"/>
    <n v="3091.1091399999996"/>
    <n v="2910.3961599999993"/>
    <n v="1.7274430350553505"/>
  </r>
  <r>
    <x v="195"/>
    <x v="138"/>
    <d v="2024-12-24T00:00:00"/>
    <d v="2025-01-13T00:00:00"/>
    <d v="2025-01-13T00:00:00"/>
    <n v="20"/>
    <x v="0"/>
    <x v="4"/>
    <x v="31"/>
    <s v="Corporate"/>
    <s v="Marketplace"/>
    <s v="D. Smith"/>
    <s v="Networking"/>
    <s v="NET-9832"/>
    <n v="126.15"/>
    <s v="Low"/>
    <x v="194"/>
    <n v="284.23"/>
    <n v="0.113"/>
    <n v="22"/>
    <n v="32.117990000000006"/>
    <n v="5546.4642200000008"/>
    <n v="5514.346230000001"/>
    <n v="2775.3"/>
    <n v="2771.1642200000006"/>
    <n v="2739.0462300000008"/>
    <n v="1.9985097899326201"/>
  </r>
  <r>
    <x v="196"/>
    <x v="139"/>
    <d v="2023-10-18T00:00:00"/>
    <d v="2023-10-20T00:00:00"/>
    <d v="2023-10-20T00:00:00"/>
    <n v="2"/>
    <x v="3"/>
    <x v="5"/>
    <x v="15"/>
    <s v="Consumer"/>
    <s v="Retail"/>
    <s v="J. Njeri"/>
    <s v="Phones"/>
    <s v="PHN-8891"/>
    <n v="774.12"/>
    <s v="Medium"/>
    <x v="195"/>
    <n v="908.3"/>
    <n v="0"/>
    <n v="30"/>
    <n v="0"/>
    <n v="27249"/>
    <n v="27249"/>
    <n v="23223.599999999999"/>
    <n v="4025.4000000000015"/>
    <n v="4025.4000000000015"/>
    <n v="1.1733322999018241"/>
  </r>
  <r>
    <x v="197"/>
    <x v="140"/>
    <d v="2024-09-07T00:00:00"/>
    <d v="2024-09-18T00:00:00"/>
    <d v="2024-09-18T00:00:00"/>
    <n v="11"/>
    <x v="0"/>
    <x v="3"/>
    <x v="37"/>
    <s v="Consumer"/>
    <s v="Distributor"/>
    <s v="O. Wang"/>
    <s v="Networking"/>
    <s v="NET-7998"/>
    <n v="181.74"/>
    <s v="Low"/>
    <x v="196"/>
    <n v="190.84"/>
    <n v="0.214"/>
    <n v="13"/>
    <n v="40.839759999999998"/>
    <n v="1950.0031200000001"/>
    <n v="1909.16336"/>
    <n v="2362.62"/>
    <n v="-412.61687999999981"/>
    <n v="-453.45663999999988"/>
    <n v="0.82535622317596569"/>
  </r>
  <r>
    <x v="198"/>
    <x v="141"/>
    <d v="2024-12-28T00:00:00"/>
    <d v="2025-01-08T00:00:00"/>
    <d v="2025-01-08T00:00:00"/>
    <n v="11"/>
    <x v="0"/>
    <x v="3"/>
    <x v="35"/>
    <s v="Enterprise"/>
    <s v="Online"/>
    <s v="K. Singh"/>
    <s v="Laptops"/>
    <s v="LAP-8825"/>
    <n v="1201.31"/>
    <s v="High"/>
    <x v="197"/>
    <n v="2764.65"/>
    <n v="0"/>
    <n v="21"/>
    <n v="0"/>
    <n v="58057.65"/>
    <n v="58057.65"/>
    <n v="25227.51"/>
    <n v="32830.14"/>
    <n v="32830.14"/>
    <n v="2.3013626790753428"/>
  </r>
  <r>
    <x v="199"/>
    <x v="141"/>
    <d v="2023-10-21T00:00:00"/>
    <d v="2023-10-21T00:00:00"/>
    <d v="2023-10-21T00:00:00"/>
    <n v="0"/>
    <x v="1"/>
    <x v="7"/>
    <x v="12"/>
    <s v="Enterprise"/>
    <s v="Distributor"/>
    <s v="J. Njeri"/>
    <s v="Monitors"/>
    <s v="MON-8697"/>
    <n v="384.19"/>
    <s v="Low"/>
    <x v="198"/>
    <n v="278.35000000000002"/>
    <n v="5.6000000000000001E-2"/>
    <n v="10"/>
    <n v="15.587600000000002"/>
    <n v="2627.6239999999998"/>
    <n v="2612.0364"/>
    <n v="3841.9"/>
    <n v="-1214.2760000000003"/>
    <n v="-1229.8636000000001"/>
    <n v="0.68393867617585047"/>
  </r>
  <r>
    <x v="200"/>
    <x v="141"/>
    <d v="2024-12-10T00:00:00"/>
    <d v="2024-12-19T00:00:00"/>
    <d v="2024-12-19T00:00:00"/>
    <n v="9"/>
    <x v="3"/>
    <x v="9"/>
    <x v="36"/>
    <s v="Corporate"/>
    <s v="Retail"/>
    <s v="O. Wang"/>
    <s v="Monitors"/>
    <s v="MON-4789"/>
    <n v="488.68"/>
    <s v="Medium"/>
    <x v="199"/>
    <n v="984.36"/>
    <n v="5.8999999999999997E-2"/>
    <n v="14"/>
    <n v="58.077239999999996"/>
    <n v="12967.958640000001"/>
    <n v="12909.8814"/>
    <n v="6841.52"/>
    <n v="6126.4386400000003"/>
    <n v="6068.3613999999998"/>
    <n v="1.8954791683719407"/>
  </r>
  <r>
    <x v="201"/>
    <x v="142"/>
    <d v="2024-11-01T00:00:00"/>
    <d v="2024-11-12T00:00:00"/>
    <d v="2024-11-12T00:00:00"/>
    <n v="11"/>
    <x v="1"/>
    <x v="1"/>
    <x v="2"/>
    <s v="Consumer"/>
    <s v="Online"/>
    <s v="B. Chen"/>
    <s v="Printers"/>
    <s v="PRN-2409"/>
    <n v="599.84"/>
    <s v="Medium"/>
    <x v="200"/>
    <n v="1330.85"/>
    <n v="0.115"/>
    <n v="11"/>
    <n v="153.04775000000001"/>
    <n v="12955.824749999998"/>
    <n v="12802.776999999998"/>
    <n v="6598.2400000000007"/>
    <n v="6357.5847499999973"/>
    <n v="6204.5369999999975"/>
    <n v="1.9635273572952783"/>
  </r>
  <r>
    <x v="202"/>
    <x v="143"/>
    <d v="2025-05-07T00:00:00"/>
    <d v="2025-05-13T00:00:00"/>
    <d v="2025-05-13T00:00:00"/>
    <n v="6"/>
    <x v="0"/>
    <x v="4"/>
    <x v="31"/>
    <s v="Enterprise"/>
    <s v="Direct"/>
    <s v="J. Njeri"/>
    <s v="Phones"/>
    <s v="PHN-5683"/>
    <n v="935.98"/>
    <s v="High"/>
    <x v="201"/>
    <n v="2077.69"/>
    <n v="0.17499999999999999"/>
    <n v="24"/>
    <n v="363.59575000000001"/>
    <n v="41138.261999999995"/>
    <n v="40774.666249999995"/>
    <n v="22463.52"/>
    <n v="18674.741999999995"/>
    <n v="18311.146249999994"/>
    <n v="1.831336406760828"/>
  </r>
  <r>
    <x v="203"/>
    <x v="144"/>
    <d v="2024-08-18T00:00:00"/>
    <d v="2024-09-12T00:00:00"/>
    <d v="2024-09-12T00:00:00"/>
    <n v="25"/>
    <x v="0"/>
    <x v="4"/>
    <x v="30"/>
    <s v="Consumer"/>
    <s v="Marketplace"/>
    <s v="C. Otieno"/>
    <s v="Phones"/>
    <s v="PHN-3077"/>
    <n v="1154.03"/>
    <s v="Medium"/>
    <x v="202"/>
    <n v="1590.36"/>
    <n v="0.314"/>
    <n v="18"/>
    <n v="499.37303999999995"/>
    <n v="19637.76528"/>
    <n v="19138.392240000001"/>
    <n v="20772.54"/>
    <n v="-1134.7747200000013"/>
    <n v="-1634.1477599999998"/>
    <n v="0.94537140282315013"/>
  </r>
  <r>
    <x v="204"/>
    <x v="144"/>
    <d v="2024-02-25T00:00:00"/>
    <d v="2024-03-09T00:00:00"/>
    <d v="2024-03-09T00:00:00"/>
    <n v="13"/>
    <x v="1"/>
    <x v="8"/>
    <x v="22"/>
    <s v="Small Business"/>
    <s v="Distributor"/>
    <s v="E. Garcia"/>
    <s v="Monitors"/>
    <s v="MON-3350"/>
    <n v="322.44"/>
    <s v="Low"/>
    <x v="203"/>
    <n v="395.61"/>
    <n v="0"/>
    <n v="34"/>
    <n v="0"/>
    <n v="13450.74"/>
    <n v="13450.74"/>
    <n v="10962.96"/>
    <n v="2487.7800000000007"/>
    <n v="2487.7800000000007"/>
    <n v="1.2269259397097134"/>
  </r>
  <r>
    <x v="205"/>
    <x v="145"/>
    <d v="2025-08-28T00:00:00"/>
    <d v="2025-09-05T00:00:00"/>
    <d v="2025-09-05T00:00:00"/>
    <n v="8"/>
    <x v="3"/>
    <x v="9"/>
    <x v="13"/>
    <s v="Small Business"/>
    <s v="Marketplace"/>
    <s v="E. Garcia"/>
    <s v="Laptops"/>
    <s v="LAP-7553"/>
    <n v="1271.0999999999999"/>
    <s v="High"/>
    <x v="204"/>
    <n v="1932.42"/>
    <n v="0.25"/>
    <n v="21"/>
    <n v="483.10500000000002"/>
    <n v="30435.614999999998"/>
    <n v="29952.51"/>
    <n v="26693.1"/>
    <n v="3742.5149999999994"/>
    <n v="3259.41"/>
    <n v="1.1402053339627094"/>
  </r>
  <r>
    <x v="206"/>
    <x v="146"/>
    <d v="2024-02-27T00:00:00"/>
    <d v="2024-03-26T00:00:00"/>
    <d v="2024-03-26T00:00:00"/>
    <n v="28"/>
    <x v="0"/>
    <x v="4"/>
    <x v="30"/>
    <s v="Education"/>
    <s v="Marketplace"/>
    <s v="G. Dubois"/>
    <s v="Laptops"/>
    <s v="LAP-8469"/>
    <n v="1035.19"/>
    <s v="High"/>
    <x v="205"/>
    <n v="2322.6999999999998"/>
    <n v="0.17299999999999999"/>
    <n v="8"/>
    <n v="401.82709999999992"/>
    <n v="15366.983199999999"/>
    <n v="14965.156099999998"/>
    <n v="8281.52"/>
    <n v="7085.4631999999983"/>
    <n v="6683.6360999999979"/>
    <n v="1.8555752084158461"/>
  </r>
  <r>
    <x v="207"/>
    <x v="147"/>
    <d v="2024-02-19T00:00:00"/>
    <d v="2024-03-06T00:00:00"/>
    <d v="2024-03-06T00:00:00"/>
    <n v="16"/>
    <x v="0"/>
    <x v="3"/>
    <x v="37"/>
    <s v="Education"/>
    <s v="Marketplace"/>
    <s v="O. Wang"/>
    <s v="Printers"/>
    <s v="PRN-6308"/>
    <n v="1477.84"/>
    <s v="High"/>
    <x v="206"/>
    <n v="3197.47"/>
    <n v="0.24299999999999999"/>
    <n v="24"/>
    <n v="776.98520999999994"/>
    <n v="58091.634960000003"/>
    <n v="57314.649750000004"/>
    <n v="35468.159999999996"/>
    <n v="22623.474960000007"/>
    <n v="21846.489750000008"/>
    <n v="1.6378530761110812"/>
  </r>
  <r>
    <x v="208"/>
    <x v="148"/>
    <d v="2025-09-15T00:00:00"/>
    <d v="2025-09-25T00:00:00"/>
    <d v="2025-09-25T00:00:00"/>
    <n v="10"/>
    <x v="0"/>
    <x v="4"/>
    <x v="6"/>
    <s v="Consumer"/>
    <s v="Retail"/>
    <s v="A. Patel"/>
    <s v="Phones"/>
    <s v="PHN-2859"/>
    <n v="1488.91"/>
    <s v="Medium"/>
    <x v="207"/>
    <n v="1483.74"/>
    <n v="0.16800000000000001"/>
    <n v="24"/>
    <n v="249.26832000000002"/>
    <n v="29627.320319999999"/>
    <n v="29378.052"/>
    <n v="35733.840000000004"/>
    <n v="-6106.5196800000049"/>
    <n v="-6355.7880000000041"/>
    <n v="0.82911101409756116"/>
  </r>
  <r>
    <x v="209"/>
    <x v="149"/>
    <d v="2025-07-03T00:00:00"/>
    <d v="2025-07-06T00:00:00"/>
    <d v="2025-07-06T00:00:00"/>
    <n v="3"/>
    <x v="3"/>
    <x v="9"/>
    <x v="36"/>
    <s v="Consumer"/>
    <s v="Online"/>
    <s v="F. Müller"/>
    <s v="Laptops"/>
    <s v="LAP-8910"/>
    <n v="1313.3"/>
    <s v="High"/>
    <x v="208"/>
    <n v="2884.34"/>
    <n v="0.157"/>
    <n v="42"/>
    <n v="452.84138000000002"/>
    <n v="102122.94203999999"/>
    <n v="101670.10066"/>
    <n v="55158.6"/>
    <n v="46964.342039999996"/>
    <n v="46511.500659999998"/>
    <n v="1.8514418792355136"/>
  </r>
  <r>
    <x v="210"/>
    <x v="150"/>
    <d v="2023-10-12T00:00:00"/>
    <d v="2023-10-29T00:00:00"/>
    <d v="2023-10-29T00:00:00"/>
    <n v="17"/>
    <x v="0"/>
    <x v="0"/>
    <x v="1"/>
    <s v="Non-Profit"/>
    <s v="Direct"/>
    <s v="H. Kim"/>
    <s v="Phones"/>
    <s v="PHN-8478"/>
    <n v="1102.19"/>
    <s v="Medium"/>
    <x v="209"/>
    <n v="1711.16"/>
    <n v="0.151"/>
    <n v="10"/>
    <n v="258.38515999999998"/>
    <n v="14527.748400000002"/>
    <n v="14269.363240000002"/>
    <n v="11021.900000000001"/>
    <n v="3505.8484000000008"/>
    <n v="3247.463240000001"/>
    <n v="1.3180802221032673"/>
  </r>
  <r>
    <x v="211"/>
    <x v="150"/>
    <d v="2025-02-25T00:00:00"/>
    <d v="2025-03-17T00:00:00"/>
    <d v="2025-03-17T00:00:00"/>
    <n v="20"/>
    <x v="2"/>
    <x v="10"/>
    <x v="23"/>
    <s v="Non-Profit"/>
    <s v="Marketplace"/>
    <s v="H. Kim"/>
    <s v="Phones"/>
    <s v="PHN-1044"/>
    <n v="1205.26"/>
    <s v="Medium"/>
    <x v="210"/>
    <n v="1696.35"/>
    <n v="1.9E-2"/>
    <n v="6"/>
    <n v="32.230649999999997"/>
    <n v="9984.7160999999978"/>
    <n v="9952.4854499999983"/>
    <n v="7231.5599999999995"/>
    <n v="2753.1560999999983"/>
    <n v="2720.9254499999988"/>
    <n v="1.3807139953205116"/>
  </r>
  <r>
    <x v="212"/>
    <x v="151"/>
    <d v="2024-01-16T00:00:00"/>
    <d v="2024-02-11T00:00:00"/>
    <d v="2024-02-11T00:00:00"/>
    <n v="26"/>
    <x v="1"/>
    <x v="1"/>
    <x v="2"/>
    <s v="Non-Profit"/>
    <s v="Distributor"/>
    <s v="E. Garcia"/>
    <s v="Monitors"/>
    <s v="MON-4195"/>
    <n v="504.93"/>
    <s v="Medium"/>
    <x v="211"/>
    <n v="819.06"/>
    <n v="0.22600000000000001"/>
    <n v="15"/>
    <n v="185.10756000000001"/>
    <n v="9509.2865999999995"/>
    <n v="9324.1790399999991"/>
    <n v="7573.95"/>
    <n v="1935.3365999999996"/>
    <n v="1750.2290399999993"/>
    <n v="1.255525399560335"/>
  </r>
  <r>
    <x v="213"/>
    <x v="152"/>
    <d v="2025-03-14T00:00:00"/>
    <d v="2025-04-08T00:00:00"/>
    <d v="2025-04-08T00:00:00"/>
    <n v="25"/>
    <x v="0"/>
    <x v="3"/>
    <x v="4"/>
    <s v="Corporate"/>
    <s v="Distributor"/>
    <s v="D. Smith"/>
    <s v="Printers"/>
    <s v="PRN-5815"/>
    <n v="80.59"/>
    <s v="Low"/>
    <x v="212"/>
    <n v="157.82"/>
    <n v="0.217"/>
    <n v="6"/>
    <n v="34.246939999999995"/>
    <n v="741.43835999999999"/>
    <n v="707.19141999999999"/>
    <n v="483.54"/>
    <n v="257.89835999999997"/>
    <n v="223.65141999999997"/>
    <n v="1.5333547586549199"/>
  </r>
  <r>
    <x v="214"/>
    <x v="153"/>
    <d v="2024-11-30T00:00:00"/>
    <d v="2024-12-10T00:00:00"/>
    <d v="2024-12-10T00:00:00"/>
    <n v="10"/>
    <x v="0"/>
    <x v="4"/>
    <x v="5"/>
    <s v="Small Business"/>
    <s v="Retail"/>
    <s v="F. Müller"/>
    <s v="Accessories"/>
    <s v="ACC-1075"/>
    <n v="851.49"/>
    <s v="Medium"/>
    <x v="213"/>
    <n v="901.79"/>
    <n v="0.245"/>
    <n v="16"/>
    <n v="220.93854999999999"/>
    <n v="10893.6232"/>
    <n v="10672.684649999999"/>
    <n v="13623.84"/>
    <n v="-2730.2168000000001"/>
    <n v="-2951.1553500000009"/>
    <n v="0.79960005402294798"/>
  </r>
  <r>
    <x v="215"/>
    <x v="153"/>
    <d v="2025-06-05T00:00:00"/>
    <d v="2025-06-14T00:00:00"/>
    <d v="2025-06-14T00:00:00"/>
    <n v="9"/>
    <x v="0"/>
    <x v="4"/>
    <x v="6"/>
    <s v="Non-Profit"/>
    <s v="Retail"/>
    <s v="A. Patel"/>
    <s v="Accessories"/>
    <s v="ACC-2902"/>
    <n v="618.69000000000005"/>
    <s v="Medium"/>
    <x v="214"/>
    <n v="796.15"/>
    <n v="0.09"/>
    <n v="11"/>
    <n v="71.653499999999994"/>
    <n v="7969.4615000000003"/>
    <n v="7897.808"/>
    <n v="6805.59"/>
    <n v="1163.8715000000002"/>
    <n v="1092.2179999999998"/>
    <n v="1.1710169875058591"/>
  </r>
  <r>
    <x v="216"/>
    <x v="154"/>
    <d v="2023-08-29T00:00:00"/>
    <d v="2023-09-13T00:00:00"/>
    <d v="2023-09-13T00:00:00"/>
    <n v="15"/>
    <x v="2"/>
    <x v="2"/>
    <x v="3"/>
    <s v="Small Business"/>
    <s v="Marketplace"/>
    <s v="O. Wang"/>
    <s v="Printers"/>
    <s v="PRN-9975"/>
    <n v="1287.6400000000001"/>
    <s v="High"/>
    <x v="215"/>
    <n v="2717.15"/>
    <n v="3.2000000000000001E-2"/>
    <n v="7"/>
    <n v="86.948800000000006"/>
    <n v="18411.4084"/>
    <n v="18324.459600000002"/>
    <n v="9013.4800000000014"/>
    <n v="9397.9283999999989"/>
    <n v="9310.9796000000006"/>
    <n v="2.0426526047653066"/>
  </r>
  <r>
    <x v="217"/>
    <x v="155"/>
    <d v="2024-06-06T00:00:00"/>
    <d v="2024-06-24T00:00:00"/>
    <d v="2024-06-24T00:00:00"/>
    <n v="18"/>
    <x v="0"/>
    <x v="4"/>
    <x v="31"/>
    <s v="Small Business"/>
    <s v="Direct"/>
    <s v="H. Kim"/>
    <s v="Networking"/>
    <s v="NET-6578"/>
    <n v="1253.25"/>
    <s v="High"/>
    <x v="216"/>
    <n v="3087.13"/>
    <n v="7.1999999999999995E-2"/>
    <n v="11"/>
    <n v="222.27336"/>
    <n v="31513.423040000001"/>
    <n v="31291.149680000002"/>
    <n v="13785.75"/>
    <n v="17727.673040000001"/>
    <n v="17505.399680000002"/>
    <n v="2.2859418631557951"/>
  </r>
  <r>
    <x v="218"/>
    <x v="156"/>
    <d v="2023-03-17T00:00:00"/>
    <d v="2023-04-06T00:00:00"/>
    <d v="2023-04-06T00:00:00"/>
    <n v="20"/>
    <x v="1"/>
    <x v="1"/>
    <x v="32"/>
    <s v="Consumer"/>
    <s v="Retail"/>
    <s v="O. Wang"/>
    <s v="Phones"/>
    <s v="PHN-8483"/>
    <n v="692.18"/>
    <s v="Medium"/>
    <x v="217"/>
    <n v="1159.3499999999999"/>
    <n v="0.112"/>
    <n v="2"/>
    <n v="129.84719999999999"/>
    <n v="2059.0056"/>
    <n v="1929.1584"/>
    <n v="1384.36"/>
    <n v="674.64560000000006"/>
    <n v="544.79840000000013"/>
    <n v="1.4873339304805109"/>
  </r>
  <r>
    <x v="219"/>
    <x v="156"/>
    <d v="2023-08-25T00:00:00"/>
    <d v="2023-09-16T00:00:00"/>
    <d v="2023-09-16T00:00:00"/>
    <n v="22"/>
    <x v="3"/>
    <x v="9"/>
    <x v="25"/>
    <s v="Corporate"/>
    <s v="Marketplace"/>
    <s v="L. Okafor"/>
    <s v="Phones"/>
    <s v="PHN-3971"/>
    <n v="1196.83"/>
    <s v="High"/>
    <x v="218"/>
    <n v="2513.5100000000002"/>
    <n v="8.3000000000000004E-2"/>
    <n v="7"/>
    <n v="208.62133000000003"/>
    <n v="16134.22069"/>
    <n v="15925.59936"/>
    <n v="8377.81"/>
    <n v="7756.4106900000006"/>
    <n v="7547.7893600000007"/>
    <n v="1.92582795384474"/>
  </r>
  <r>
    <x v="220"/>
    <x v="157"/>
    <d v="2024-08-30T00:00:00"/>
    <d v="2024-09-05T00:00:00"/>
    <d v="2024-09-05T00:00:00"/>
    <n v="6"/>
    <x v="0"/>
    <x v="0"/>
    <x v="1"/>
    <s v="Education"/>
    <s v="Online"/>
    <s v="N. Brown"/>
    <s v="Laptops"/>
    <s v="LAP-7009"/>
    <n v="466.16"/>
    <s v="Medium"/>
    <x v="219"/>
    <n v="876.81"/>
    <n v="0.24099999999999999"/>
    <n v="8"/>
    <n v="211.31120999999999"/>
    <n v="5323.9903199999999"/>
    <n v="5112.67911"/>
    <n v="3729.28"/>
    <n v="1594.7103199999997"/>
    <n v="1383.3991099999998"/>
    <n v="1.4276188218637376"/>
  </r>
  <r>
    <x v="221"/>
    <x v="157"/>
    <d v="2024-05-18T00:00:00"/>
    <d v="2024-05-21T00:00:00"/>
    <d v="2024-05-21T00:00:00"/>
    <n v="3"/>
    <x v="1"/>
    <x v="8"/>
    <x v="22"/>
    <s v="Non-Profit"/>
    <s v="Marketplace"/>
    <s v="D. Smith"/>
    <s v="Printers"/>
    <s v="PRN-1725"/>
    <n v="663.66"/>
    <s v="Medium"/>
    <x v="220"/>
    <n v="824.26"/>
    <n v="0.23899999999999999"/>
    <n v="11"/>
    <n v="196.99813999999998"/>
    <n v="6899.8804600000003"/>
    <n v="6702.8823200000006"/>
    <n v="7300.2599999999993"/>
    <n v="-400.379539999999"/>
    <n v="-597.37767999999869"/>
    <n v="0.94515544103908644"/>
  </r>
  <r>
    <x v="222"/>
    <x v="158"/>
    <d v="2023-12-16T00:00:00"/>
    <d v="2023-12-19T00:00:00"/>
    <d v="2023-12-19T00:00:00"/>
    <n v="3"/>
    <x v="0"/>
    <x v="3"/>
    <x v="37"/>
    <s v="Education"/>
    <s v="Retail"/>
    <s v="A. Patel"/>
    <s v="Accessories"/>
    <s v="ACC-9644"/>
    <n v="1415.05"/>
    <s v="High"/>
    <x v="221"/>
    <n v="1972.38"/>
    <n v="0"/>
    <n v="12"/>
    <n v="0"/>
    <n v="23668.560000000001"/>
    <n v="23668.560000000001"/>
    <n v="16980.599999999999"/>
    <n v="6687.9600000000028"/>
    <n v="6687.9600000000028"/>
    <n v="1.3938588742447264"/>
  </r>
  <r>
    <x v="223"/>
    <x v="159"/>
    <d v="2025-03-08T00:00:00"/>
    <d v="2025-03-15T00:00:00"/>
    <d v="2025-03-15T00:00:00"/>
    <n v="7"/>
    <x v="0"/>
    <x v="4"/>
    <x v="31"/>
    <s v="Corporate"/>
    <s v="Distributor"/>
    <s v="K. Singh"/>
    <s v="Laptops"/>
    <s v="LAP-8119"/>
    <n v="475.66"/>
    <s v="Low"/>
    <x v="222"/>
    <n v="529.14"/>
    <n v="0.19600000000000001"/>
    <n v="11"/>
    <n v="103.71144"/>
    <n v="4679.7141600000004"/>
    <n v="4576.0027200000004"/>
    <n v="5232.26"/>
    <n v="-552.54583999999977"/>
    <n v="-656.25727999999981"/>
    <n v="0.89439633351553638"/>
  </r>
  <r>
    <x v="224"/>
    <x v="160"/>
    <d v="2025-02-21T00:00:00"/>
    <d v="2025-03-21T00:00:00"/>
    <d v="2025-03-21T00:00:00"/>
    <n v="28"/>
    <x v="3"/>
    <x v="9"/>
    <x v="25"/>
    <s v="Enterprise"/>
    <s v="Marketplace"/>
    <s v="I. Johnson"/>
    <s v="Phones"/>
    <s v="PHN-5887"/>
    <n v="1437.39"/>
    <s v="Medium"/>
    <x v="223"/>
    <n v="1388.31"/>
    <n v="0.13800000000000001"/>
    <n v="18"/>
    <n v="191.58678"/>
    <n v="21541.017959999997"/>
    <n v="21349.431179999996"/>
    <n v="25873.02"/>
    <n v="-4332.002040000003"/>
    <n v="-4523.5888200000045"/>
    <n v="0.83256681902615148"/>
  </r>
  <r>
    <x v="225"/>
    <x v="161"/>
    <d v="2024-12-20T00:00:00"/>
    <d v="2025-01-14T00:00:00"/>
    <d v="2025-01-14T00:00:00"/>
    <n v="25"/>
    <x v="0"/>
    <x v="4"/>
    <x v="6"/>
    <s v="Small Business"/>
    <s v="Retail"/>
    <s v="M. Rossi"/>
    <s v="Printers"/>
    <s v="PRN-9378"/>
    <n v="1361.34"/>
    <s v="Medium"/>
    <x v="224"/>
    <n v="1737.9"/>
    <n v="7.6999999999999999E-2"/>
    <n v="14"/>
    <n v="133.81829999999999"/>
    <n v="22457.143800000002"/>
    <n v="22323.325500000003"/>
    <n v="19058.759999999998"/>
    <n v="3398.3838000000032"/>
    <n v="3264.5655000000042"/>
    <n v="1.1783108554806296"/>
  </r>
  <r>
    <x v="226"/>
    <x v="162"/>
    <d v="2023-03-06T00:00:00"/>
    <d v="2023-04-04T00:00:00"/>
    <d v="2023-04-04T00:00:00"/>
    <n v="29"/>
    <x v="0"/>
    <x v="3"/>
    <x v="37"/>
    <s v="Small Business"/>
    <s v="Direct"/>
    <s v="C. Otieno"/>
    <s v="Monitors"/>
    <s v="MON-2073"/>
    <n v="1126.29"/>
    <s v="High"/>
    <x v="225"/>
    <n v="2050.87"/>
    <n v="6.4000000000000001E-2"/>
    <n v="7"/>
    <n v="131.25567999999998"/>
    <n v="13437.300239999999"/>
    <n v="13306.044559999998"/>
    <n v="7884.03"/>
    <n v="5553.2702399999989"/>
    <n v="5422.0145599999987"/>
    <n v="1.7043694963108966"/>
  </r>
  <r>
    <x v="227"/>
    <x v="163"/>
    <d v="2024-11-05T00:00:00"/>
    <d v="2024-11-08T00:00:00"/>
    <d v="2024-11-08T00:00:00"/>
    <n v="3"/>
    <x v="2"/>
    <x v="2"/>
    <x v="21"/>
    <s v="Education"/>
    <s v="Marketplace"/>
    <s v="O. Wang"/>
    <s v="Components"/>
    <s v="CMP-2015"/>
    <n v="1020.4"/>
    <s v="Medium"/>
    <x v="226"/>
    <n v="1184.71"/>
    <n v="0.106"/>
    <n v="16"/>
    <n v="125.57926"/>
    <n v="16946.091840000001"/>
    <n v="16820.512580000002"/>
    <n v="16326.4"/>
    <n v="619.69184000000132"/>
    <n v="494.11258000000271"/>
    <n v="1.0379564288514309"/>
  </r>
  <r>
    <x v="228"/>
    <x v="163"/>
    <d v="2024-07-24T00:00:00"/>
    <d v="2024-08-08T00:00:00"/>
    <d v="2024-08-08T00:00:00"/>
    <n v="15"/>
    <x v="1"/>
    <x v="8"/>
    <x v="22"/>
    <s v="Enterprise"/>
    <s v="Marketplace"/>
    <s v="H. Kim"/>
    <s v="Laptops"/>
    <s v="LAP-9901"/>
    <n v="501.5"/>
    <s v="Medium"/>
    <x v="227"/>
    <n v="1201.47"/>
    <n v="0.126"/>
    <n v="5"/>
    <n v="151.38522"/>
    <n v="5250.4239000000007"/>
    <n v="5099.0386800000006"/>
    <n v="2507.5"/>
    <n v="2742.9239000000007"/>
    <n v="2591.5386800000006"/>
    <n v="2.0938878963110672"/>
  </r>
  <r>
    <x v="229"/>
    <x v="163"/>
    <d v="2025-01-20T00:00:00"/>
    <d v="2025-02-03T00:00:00"/>
    <d v="2025-02-03T00:00:00"/>
    <n v="14"/>
    <x v="2"/>
    <x v="6"/>
    <x v="28"/>
    <s v="Enterprise"/>
    <s v="Marketplace"/>
    <s v="F. Müller"/>
    <s v="Components"/>
    <s v="CMP-8658"/>
    <n v="974.11"/>
    <s v="Medium"/>
    <x v="228"/>
    <n v="880.99"/>
    <n v="0.111"/>
    <n v="10"/>
    <n v="97.78989"/>
    <n v="7832.0010999999995"/>
    <n v="7734.2112099999995"/>
    <n v="9741.1"/>
    <n v="-1909.0989000000009"/>
    <n v="-2006.8887900000009"/>
    <n v="0.80401608647893963"/>
  </r>
  <r>
    <x v="230"/>
    <x v="164"/>
    <d v="2024-08-12T00:00:00"/>
    <d v="2024-08-15T00:00:00"/>
    <d v="2024-08-15T00:00:00"/>
    <n v="3"/>
    <x v="2"/>
    <x v="10"/>
    <x v="16"/>
    <s v="Corporate"/>
    <s v="Marketplace"/>
    <s v="D. Smith"/>
    <s v="Printers"/>
    <s v="PRN-5591"/>
    <n v="850.7"/>
    <s v="Medium"/>
    <x v="229"/>
    <n v="1118.56"/>
    <n v="0.18"/>
    <n v="19"/>
    <n v="201.34079999999997"/>
    <n v="17427.164800000002"/>
    <n v="17225.824000000001"/>
    <n v="16163.300000000001"/>
    <n v="1263.8648000000012"/>
    <n v="1062.5239999999994"/>
    <n v="1.0781934877159987"/>
  </r>
  <r>
    <x v="231"/>
    <x v="165"/>
    <d v="2025-04-12T00:00:00"/>
    <d v="2025-04-30T00:00:00"/>
    <d v="2025-04-30T00:00:00"/>
    <n v="18"/>
    <x v="3"/>
    <x v="5"/>
    <x v="15"/>
    <s v="Corporate"/>
    <s v="Marketplace"/>
    <s v="F. Müller"/>
    <s v="Networking"/>
    <s v="NET-3432"/>
    <n v="1119.04"/>
    <s v="Medium"/>
    <x v="230"/>
    <n v="1299.02"/>
    <n v="2.5000000000000001E-2"/>
    <n v="14"/>
    <n v="32.475500000000004"/>
    <n v="17731.623"/>
    <n v="17699.147499999999"/>
    <n v="15666.56"/>
    <n v="2065.0630000000001"/>
    <n v="2032.5874999999996"/>
    <n v="1.1318134293680298"/>
  </r>
  <r>
    <x v="232"/>
    <x v="166"/>
    <d v="2025-09-14T00:00:00"/>
    <d v="2025-09-23T00:00:00"/>
    <d v="2025-09-23T00:00:00"/>
    <n v="9"/>
    <x v="3"/>
    <x v="11"/>
    <x v="34"/>
    <s v="Non-Profit"/>
    <s v="Online"/>
    <s v="D. Smith"/>
    <s v="Components"/>
    <s v="CMP-6898"/>
    <n v="1310.3"/>
    <s v="High"/>
    <x v="231"/>
    <n v="2875.8"/>
    <n v="8.3000000000000004E-2"/>
    <n v="5"/>
    <n v="238.69140000000002"/>
    <n v="13185.543"/>
    <n v="12946.8516"/>
    <n v="6551.5"/>
    <n v="6634.0429999999997"/>
    <n v="6395.3516"/>
    <n v="2.0125990994428755"/>
  </r>
  <r>
    <x v="233"/>
    <x v="166"/>
    <d v="2024-09-06T00:00:00"/>
    <d v="2024-10-04T00:00:00"/>
    <d v="2024-10-04T00:00:00"/>
    <n v="28"/>
    <x v="3"/>
    <x v="11"/>
    <x v="18"/>
    <s v="Corporate"/>
    <s v="Marketplace"/>
    <s v="D. Smith"/>
    <s v="Monitors"/>
    <s v="MON-3504"/>
    <n v="1174.17"/>
    <s v="Medium"/>
    <x v="232"/>
    <n v="1641.61"/>
    <n v="0.122"/>
    <n v="9"/>
    <n v="200.27641999999997"/>
    <n v="12972.00222"/>
    <n v="12771.7258"/>
    <n v="10567.53"/>
    <n v="2404.4722199999997"/>
    <n v="2204.1957999999995"/>
    <n v="1.2275339857090539"/>
  </r>
  <r>
    <x v="234"/>
    <x v="167"/>
    <d v="2025-08-21T00:00:00"/>
    <d v="2025-09-14T00:00:00"/>
    <d v="2025-09-14T00:00:00"/>
    <n v="24"/>
    <x v="1"/>
    <x v="1"/>
    <x v="33"/>
    <s v="Non-Profit"/>
    <s v="Online"/>
    <s v="A. Patel"/>
    <s v="Monitors"/>
    <s v="MON-9662"/>
    <n v="1397.67"/>
    <s v="High"/>
    <x v="233"/>
    <n v="3131.37"/>
    <n v="0.10299999999999999"/>
    <n v="20"/>
    <n v="322.53110999999996"/>
    <n v="56176.777799999996"/>
    <n v="55854.246689999993"/>
    <n v="27953.4"/>
    <n v="28223.377799999995"/>
    <n v="27900.846689999991"/>
    <n v="2.0096581381871257"/>
  </r>
  <r>
    <x v="235"/>
    <x v="167"/>
    <d v="2024-12-12T00:00:00"/>
    <d v="2024-12-20T00:00:00"/>
    <d v="2024-12-20T00:00:00"/>
    <n v="8"/>
    <x v="0"/>
    <x v="0"/>
    <x v="14"/>
    <s v="Corporate"/>
    <s v="Retail"/>
    <s v="B. Chen"/>
    <s v="Laptops"/>
    <s v="LAP-8347"/>
    <n v="1202.47"/>
    <s v="Medium"/>
    <x v="234"/>
    <n v="1444.72"/>
    <n v="0.24099999999999999"/>
    <n v="17"/>
    <n v="348.17752000000002"/>
    <n v="18641.222160000001"/>
    <n v="18293.04464"/>
    <n v="20441.990000000002"/>
    <n v="-1800.7678400000004"/>
    <n v="-2148.9453600000015"/>
    <n v="0.91190838856686651"/>
  </r>
  <r>
    <x v="236"/>
    <x v="168"/>
    <d v="2024-03-09T00:00:00"/>
    <d v="2024-03-26T00:00:00"/>
    <d v="2024-03-26T00:00:00"/>
    <n v="17"/>
    <x v="2"/>
    <x v="10"/>
    <x v="23"/>
    <s v="Education"/>
    <s v="Direct"/>
    <s v="I. Johnson"/>
    <s v="Phones"/>
    <s v="PHN-3398"/>
    <n v="1137.4100000000001"/>
    <s v="Medium"/>
    <x v="235"/>
    <n v="1680.93"/>
    <n v="0.254"/>
    <n v="9"/>
    <n v="426.95622000000003"/>
    <n v="11285.764020000001"/>
    <n v="10858.8078"/>
    <n v="10236.69"/>
    <n v="1049.07402"/>
    <n v="622.11779999999999"/>
    <n v="1.1024817611942923"/>
  </r>
  <r>
    <x v="237"/>
    <x v="168"/>
    <d v="2023-05-29T00:00:00"/>
    <d v="2023-06-20T00:00:00"/>
    <d v="2023-06-20T00:00:00"/>
    <n v="22"/>
    <x v="1"/>
    <x v="7"/>
    <x v="10"/>
    <s v="Small Business"/>
    <s v="Direct"/>
    <s v="K. Singh"/>
    <s v="Components"/>
    <s v="CMP-8545"/>
    <n v="1295.3900000000001"/>
    <s v="High"/>
    <x v="236"/>
    <n v="2905.06"/>
    <n v="0.14799999999999999"/>
    <n v="8"/>
    <n v="429.94887999999997"/>
    <n v="19800.88896"/>
    <n v="19370.94008"/>
    <n v="10363.120000000001"/>
    <n v="9437.7689599999994"/>
    <n v="9007.8200799999995"/>
    <n v="1.9107072927844122"/>
  </r>
  <r>
    <x v="238"/>
    <x v="168"/>
    <d v="2025-05-27T00:00:00"/>
    <d v="2025-06-08T00:00:00"/>
    <d v="2025-06-08T00:00:00"/>
    <n v="12"/>
    <x v="0"/>
    <x v="0"/>
    <x v="0"/>
    <s v="Corporate"/>
    <s v="Retail"/>
    <s v="H. Kim"/>
    <s v="Accessories"/>
    <s v="ACC-1249"/>
    <n v="653.6"/>
    <s v="Medium"/>
    <x v="237"/>
    <n v="842.09"/>
    <n v="9.8000000000000004E-2"/>
    <n v="19"/>
    <n v="82.524820000000005"/>
    <n v="14431.738420000001"/>
    <n v="14349.213600000001"/>
    <n v="12418.4"/>
    <n v="2013.3384200000019"/>
    <n v="1930.8136000000013"/>
    <n v="1.162125428396573"/>
  </r>
  <r>
    <x v="239"/>
    <x v="169"/>
    <d v="2023-10-09T00:00:00"/>
    <d v="2023-10-26T00:00:00"/>
    <d v="2023-10-26T00:00:00"/>
    <n v="17"/>
    <x v="0"/>
    <x v="3"/>
    <x v="4"/>
    <s v="Consumer"/>
    <s v="Marketplace"/>
    <s v="C. Otieno"/>
    <s v="Components"/>
    <s v="CMP-2096"/>
    <n v="1132.03"/>
    <s v="High"/>
    <x v="238"/>
    <n v="2137.21"/>
    <n v="0.35699999999999998"/>
    <n v="35"/>
    <n v="762.98397"/>
    <n v="48097.911050000002"/>
    <n v="47334.927080000001"/>
    <n v="39621.049999999996"/>
    <n v="8476.8610500000068"/>
    <n v="7713.8770800000057"/>
    <n v="1.213948420094874"/>
  </r>
  <r>
    <x v="240"/>
    <x v="170"/>
    <d v="2024-08-10T00:00:00"/>
    <d v="2024-09-07T00:00:00"/>
    <d v="2024-09-07T00:00:00"/>
    <n v="28"/>
    <x v="1"/>
    <x v="8"/>
    <x v="22"/>
    <s v="Non-Profit"/>
    <s v="Direct"/>
    <s v="F. Müller"/>
    <s v="Printers"/>
    <s v="PRN-1183"/>
    <n v="229.96"/>
    <s v="Low"/>
    <x v="239"/>
    <n v="564.26"/>
    <n v="0.105"/>
    <n v="5"/>
    <n v="59.247299999999996"/>
    <n v="2525.0635000000002"/>
    <n v="2465.8162000000002"/>
    <n v="1149.8"/>
    <n v="1375.2635000000002"/>
    <n v="1316.0162000000003"/>
    <n v="2.1960893198817186"/>
  </r>
  <r>
    <x v="241"/>
    <x v="171"/>
    <d v="2025-06-15T00:00:00"/>
    <d v="2025-06-30T00:00:00"/>
    <d v="2025-06-30T00:00:00"/>
    <n v="15"/>
    <x v="3"/>
    <x v="11"/>
    <x v="19"/>
    <s v="Small Business"/>
    <s v="Direct"/>
    <s v="C. Otieno"/>
    <s v="Monitors"/>
    <s v="MON-5891"/>
    <n v="1487.59"/>
    <s v="Medium"/>
    <x v="240"/>
    <n v="1480.83"/>
    <n v="8.9999999999999993E-3"/>
    <n v="11"/>
    <n v="13.327469999999998"/>
    <n v="16142.527829999999"/>
    <n v="16129.200359999999"/>
    <n v="16363.49"/>
    <n v="-220.9621700000007"/>
    <n v="-234.28964000000087"/>
    <n v="0.98649663549768418"/>
  </r>
  <r>
    <x v="242"/>
    <x v="172"/>
    <d v="2023-10-26T00:00:00"/>
    <d v="2023-11-05T00:00:00"/>
    <d v="2023-11-05T00:00:00"/>
    <n v="10"/>
    <x v="3"/>
    <x v="11"/>
    <x v="18"/>
    <s v="Non-Profit"/>
    <s v="Online"/>
    <s v="I. Johnson"/>
    <s v="Laptops"/>
    <s v="LAP-7320"/>
    <n v="20.38"/>
    <s v="Low"/>
    <x v="241"/>
    <n v="42.56"/>
    <n v="7.1999999999999995E-2"/>
    <n v="11"/>
    <n v="3.0643199999999999"/>
    <n v="434.45248000000004"/>
    <n v="431.38816000000003"/>
    <n v="224.17999999999998"/>
    <n v="210.27248000000006"/>
    <n v="207.20816000000005"/>
    <n v="1.9379627085377824"/>
  </r>
  <r>
    <x v="243"/>
    <x v="173"/>
    <d v="2023-09-30T00:00:00"/>
    <d v="2023-10-03T00:00:00"/>
    <d v="2023-10-03T00:00:00"/>
    <n v="3"/>
    <x v="0"/>
    <x v="3"/>
    <x v="37"/>
    <s v="Non-Profit"/>
    <s v="Retail"/>
    <s v="J. Njeri"/>
    <s v="Laptops"/>
    <s v="LAP-5763"/>
    <n v="1019.36"/>
    <s v="Medium"/>
    <x v="242"/>
    <n v="972.91"/>
    <n v="0.14699999999999999"/>
    <n v="17"/>
    <n v="143.01776999999998"/>
    <n v="14108.16791"/>
    <n v="13965.15014"/>
    <n v="17329.12"/>
    <n v="-3220.9520899999989"/>
    <n v="-3363.9698599999992"/>
    <n v="0.81413066041437765"/>
  </r>
  <r>
    <x v="244"/>
    <x v="174"/>
    <d v="2025-05-12T00:00:00"/>
    <d v="2025-05-26T00:00:00"/>
    <d v="2025-05-26T00:00:00"/>
    <n v="14"/>
    <x v="0"/>
    <x v="4"/>
    <x v="5"/>
    <s v="Corporate"/>
    <s v="Marketplace"/>
    <s v="G. Dubois"/>
    <s v="Printers"/>
    <s v="PRN-8850"/>
    <n v="320.12"/>
    <s v="Medium"/>
    <x v="243"/>
    <n v="594.41999999999996"/>
    <n v="0.104"/>
    <n v="18"/>
    <n v="61.819679999999991"/>
    <n v="9586.8057599999993"/>
    <n v="9524.9860799999988"/>
    <n v="5762.16"/>
    <n v="3824.6457599999994"/>
    <n v="3762.8260799999989"/>
    <n v="1.6637520929651379"/>
  </r>
  <r>
    <x v="245"/>
    <x v="174"/>
    <d v="2024-05-07T00:00:00"/>
    <d v="2024-05-12T00:00:00"/>
    <d v="2024-05-12T00:00:00"/>
    <n v="5"/>
    <x v="3"/>
    <x v="9"/>
    <x v="25"/>
    <s v="Non-Profit"/>
    <s v="Distributor"/>
    <s v="L. Okafor"/>
    <s v="Laptops"/>
    <s v="LAP-9100"/>
    <n v="1163.99"/>
    <s v="Medium"/>
    <x v="244"/>
    <n v="1617.85"/>
    <n v="0.127"/>
    <n v="14"/>
    <n v="205.46695"/>
    <n v="19773.362699999998"/>
    <n v="19567.895749999996"/>
    <n v="16295.86"/>
    <n v="3477.5026999999973"/>
    <n v="3272.0357499999955"/>
    <n v="1.2133979243807935"/>
  </r>
  <r>
    <x v="246"/>
    <x v="175"/>
    <d v="2023-06-20T00:00:00"/>
    <d v="2023-07-08T00:00:00"/>
    <d v="2023-07-08T00:00:00"/>
    <n v="18"/>
    <x v="2"/>
    <x v="10"/>
    <x v="27"/>
    <s v="Consumer"/>
    <s v="Marketplace"/>
    <s v="O. Wang"/>
    <s v="Networking"/>
    <s v="NET-3828"/>
    <n v="1145.53"/>
    <s v="Medium"/>
    <x v="245"/>
    <n v="1278.3"/>
    <n v="0.09"/>
    <n v="41"/>
    <n v="115.047"/>
    <n v="47693.373"/>
    <n v="47578.326000000001"/>
    <n v="46966.729999999996"/>
    <n v="726.64300000000367"/>
    <n v="611.59600000000501"/>
    <n v="1.0154714411669707"/>
  </r>
  <r>
    <x v="247"/>
    <x v="175"/>
    <d v="2024-07-18T00:00:00"/>
    <d v="2024-08-07T00:00:00"/>
    <d v="2024-08-07T00:00:00"/>
    <n v="20"/>
    <x v="1"/>
    <x v="8"/>
    <x v="22"/>
    <s v="Corporate"/>
    <s v="Retail"/>
    <s v="F. Müller"/>
    <s v="Monitors"/>
    <s v="MON-7622"/>
    <n v="941.35"/>
    <s v="Medium"/>
    <x v="246"/>
    <n v="899.83"/>
    <n v="5.8000000000000003E-2"/>
    <n v="18"/>
    <n v="52.190140000000007"/>
    <n v="15257.51748"/>
    <n v="15205.32734"/>
    <n v="16944.3"/>
    <n v="-1686.7825199999988"/>
    <n v="-1738.9726599999995"/>
    <n v="0.90045133053593251"/>
  </r>
  <r>
    <x v="248"/>
    <x v="175"/>
    <d v="2023-05-20T00:00:00"/>
    <d v="2023-06-19T00:00:00"/>
    <d v="2023-06-19T00:00:00"/>
    <n v="30"/>
    <x v="0"/>
    <x v="4"/>
    <x v="6"/>
    <s v="Non-Profit"/>
    <s v="Marketplace"/>
    <s v="H. Kim"/>
    <s v="Laptops"/>
    <s v="LAP-2806"/>
    <n v="1161.2"/>
    <s v="Medium"/>
    <x v="247"/>
    <n v="878.73"/>
    <n v="0.19"/>
    <n v="31"/>
    <n v="166.95869999999999"/>
    <n v="22064.910300000003"/>
    <n v="21897.951600000004"/>
    <n v="35997.200000000004"/>
    <n v="-13932.289700000001"/>
    <n v="-14099.2484"/>
    <n v="0.6129618498105408"/>
  </r>
  <r>
    <x v="249"/>
    <x v="176"/>
    <d v="2025-08-07T00:00:00"/>
    <d v="2025-09-06T00:00:00"/>
    <d v="2025-09-06T00:00:00"/>
    <n v="30"/>
    <x v="2"/>
    <x v="2"/>
    <x v="29"/>
    <s v="Education"/>
    <s v="Direct"/>
    <s v="M. Rossi"/>
    <s v="Networking"/>
    <s v="NET-1336"/>
    <n v="833.73"/>
    <s v="Medium"/>
    <x v="248"/>
    <n v="1116.5999999999999"/>
    <n v="0.17599999999999999"/>
    <n v="14"/>
    <n v="196.52159999999998"/>
    <n v="12881.097599999999"/>
    <n v="12684.575999999999"/>
    <n v="11672.220000000001"/>
    <n v="1208.877599999998"/>
    <n v="1012.3559999999979"/>
    <n v="1.10356878126012"/>
  </r>
  <r>
    <x v="250"/>
    <x v="176"/>
    <d v="2025-07-23T00:00:00"/>
    <d v="2025-08-17T00:00:00"/>
    <d v="2025-08-17T00:00:00"/>
    <n v="25"/>
    <x v="1"/>
    <x v="7"/>
    <x v="38"/>
    <s v="Education"/>
    <s v="Online"/>
    <s v="I. Johnson"/>
    <s v="Printers"/>
    <s v="PRN-5876"/>
    <n v="1142.06"/>
    <s v="Medium"/>
    <x v="249"/>
    <n v="1455"/>
    <n v="7.8E-2"/>
    <n v="28"/>
    <n v="113.49"/>
    <n v="37562.28"/>
    <n v="37448.79"/>
    <n v="31977.68"/>
    <n v="5584.5999999999985"/>
    <n v="5471.1100000000006"/>
    <n v="1.1746405617918498"/>
  </r>
  <r>
    <x v="251"/>
    <x v="177"/>
    <d v="2025-02-06T00:00:00"/>
    <d v="2025-02-15T00:00:00"/>
    <d v="2025-02-15T00:00:00"/>
    <n v="9"/>
    <x v="2"/>
    <x v="6"/>
    <x v="26"/>
    <s v="Non-Profit"/>
    <s v="Distributor"/>
    <s v="F. Müller"/>
    <s v="Networking"/>
    <s v="NET-5482"/>
    <n v="837.39"/>
    <s v="Medium"/>
    <x v="250"/>
    <n v="1905.42"/>
    <n v="3.2000000000000001E-2"/>
    <n v="18"/>
    <n v="60.973440000000004"/>
    <n v="33200.038079999998"/>
    <n v="33139.064639999997"/>
    <n v="15073.02"/>
    <n v="18127.018079999998"/>
    <n v="18066.044639999996"/>
    <n v="2.2026135492422885"/>
  </r>
  <r>
    <x v="252"/>
    <x v="177"/>
    <d v="2025-01-31T00:00:00"/>
    <d v="2025-02-17T00:00:00"/>
    <d v="2025-02-17T00:00:00"/>
    <n v="17"/>
    <x v="1"/>
    <x v="7"/>
    <x v="10"/>
    <s v="Enterprise"/>
    <s v="Retail"/>
    <s v="H. Kim"/>
    <s v="Components"/>
    <s v="CMP-5820"/>
    <n v="378.26"/>
    <s v="Low"/>
    <x v="251"/>
    <n v="541.55999999999995"/>
    <n v="0.16300000000000001"/>
    <n v="25"/>
    <n v="88.27427999999999"/>
    <n v="11332.142999999998"/>
    <n v="11243.868719999999"/>
    <n v="9456.5"/>
    <n v="1875.6429999999982"/>
    <n v="1787.3687199999986"/>
    <n v="1.1983443134352032"/>
  </r>
  <r>
    <x v="253"/>
    <x v="178"/>
    <d v="2025-01-07T00:00:00"/>
    <d v="2025-01-20T00:00:00"/>
    <d v="2025-01-20T00:00:00"/>
    <n v="13"/>
    <x v="3"/>
    <x v="11"/>
    <x v="18"/>
    <s v="Corporate"/>
    <s v="Direct"/>
    <s v="K. Singh"/>
    <s v="Networking"/>
    <s v="NET-7901"/>
    <n v="432.13"/>
    <s v="Medium"/>
    <x v="252"/>
    <n v="1034.6600000000001"/>
    <n v="9.1999999999999998E-2"/>
    <n v="7"/>
    <n v="95.188720000000004"/>
    <n v="6576.298960000001"/>
    <n v="6481.1102400000009"/>
    <n v="3024.91"/>
    <n v="3551.3889600000011"/>
    <n v="3456.200240000001"/>
    <n v="2.1740478096869"/>
  </r>
  <r>
    <x v="254"/>
    <x v="179"/>
    <d v="2023-03-13T00:00:00"/>
    <d v="2023-04-04T00:00:00"/>
    <d v="2023-04-04T00:00:00"/>
    <n v="22"/>
    <x v="3"/>
    <x v="11"/>
    <x v="34"/>
    <s v="Small Business"/>
    <s v="Retail"/>
    <s v="A. Patel"/>
    <s v="Components"/>
    <s v="CMP-2574"/>
    <n v="1113.7"/>
    <s v="Medium"/>
    <x v="253"/>
    <n v="1620.6"/>
    <n v="0.13900000000000001"/>
    <n v="11"/>
    <n v="225.26340000000002"/>
    <n v="15348.702599999999"/>
    <n v="15123.439199999999"/>
    <n v="12250.7"/>
    <n v="3098.002599999998"/>
    <n v="2872.7391999999982"/>
    <n v="1.2528837209302324"/>
  </r>
  <r>
    <x v="255"/>
    <x v="180"/>
    <d v="2025-06-27T00:00:00"/>
    <d v="2025-07-11T00:00:00"/>
    <d v="2025-07-11T00:00:00"/>
    <n v="14"/>
    <x v="0"/>
    <x v="3"/>
    <x v="4"/>
    <s v="Small Business"/>
    <s v="Marketplace"/>
    <s v="L. Okafor"/>
    <s v="Networking"/>
    <s v="NET-3535"/>
    <n v="1227.7"/>
    <s v="High"/>
    <x v="254"/>
    <n v="2197.23"/>
    <n v="9.9000000000000005E-2"/>
    <n v="22"/>
    <n v="217.52577000000002"/>
    <n v="43553.493060000001"/>
    <n v="43335.967290000001"/>
    <n v="27009.4"/>
    <n v="16544.093059999999"/>
    <n v="16326.567289999999"/>
    <n v="1.6125309358963915"/>
  </r>
  <r>
    <x v="256"/>
    <x v="181"/>
    <d v="2024-03-03T00:00:00"/>
    <d v="2024-03-19T00:00:00"/>
    <d v="2024-03-19T00:00:00"/>
    <n v="16"/>
    <x v="0"/>
    <x v="3"/>
    <x v="37"/>
    <s v="Consumer"/>
    <s v="Distributor"/>
    <s v="G. Dubois"/>
    <s v="Phones"/>
    <s v="PHN-4915"/>
    <n v="988.83"/>
    <s v="Medium"/>
    <x v="255"/>
    <n v="1206.04"/>
    <n v="6.3E-2"/>
    <n v="34"/>
    <n v="75.980519999999999"/>
    <n v="38422.022320000004"/>
    <n v="38346.041800000006"/>
    <n v="33620.22"/>
    <n v="4801.8023200000025"/>
    <n v="4725.8218000000052"/>
    <n v="1.1428248333889548"/>
  </r>
  <r>
    <x v="257"/>
    <x v="182"/>
    <d v="2024-05-17T00:00:00"/>
    <d v="2024-05-27T00:00:00"/>
    <d v="2024-05-27T00:00:00"/>
    <n v="10"/>
    <x v="2"/>
    <x v="10"/>
    <x v="17"/>
    <s v="Non-Profit"/>
    <s v="Online"/>
    <s v="C. Otieno"/>
    <s v="Phones"/>
    <s v="PHN-7974"/>
    <n v="1484.23"/>
    <s v="High"/>
    <x v="256"/>
    <n v="3472.81"/>
    <n v="0.25600000000000001"/>
    <n v="12"/>
    <n v="889.03935999999999"/>
    <n v="31005.24768"/>
    <n v="30116.208320000002"/>
    <n v="17810.760000000002"/>
    <n v="13194.487679999998"/>
    <n v="12305.44832"/>
    <n v="1.7408155339805824"/>
  </r>
  <r>
    <x v="258"/>
    <x v="183"/>
    <d v="2025-04-04T00:00:00"/>
    <d v="2025-04-10T00:00:00"/>
    <d v="2025-04-10T00:00:00"/>
    <n v="6"/>
    <x v="1"/>
    <x v="7"/>
    <x v="38"/>
    <s v="Non-Profit"/>
    <s v="Direct"/>
    <s v="N. Brown"/>
    <s v="Printers"/>
    <s v="PRN-8657"/>
    <n v="290.14"/>
    <s v="Low"/>
    <x v="257"/>
    <n v="250.73"/>
    <n v="3.4000000000000002E-2"/>
    <n v="17"/>
    <n v="8.5248200000000001"/>
    <n v="4117.4880599999997"/>
    <n v="4108.96324"/>
    <n v="4932.38"/>
    <n v="-814.89194000000043"/>
    <n v="-823.41676000000007"/>
    <n v="0.83478727510856821"/>
  </r>
  <r>
    <x v="259"/>
    <x v="184"/>
    <d v="2023-12-26T00:00:00"/>
    <d v="2024-01-03T00:00:00"/>
    <d v="2024-01-03T00:00:00"/>
    <n v="8"/>
    <x v="1"/>
    <x v="8"/>
    <x v="24"/>
    <s v="Small Business"/>
    <s v="Retail"/>
    <s v="M. Rossi"/>
    <s v="Laptops"/>
    <s v="LAP-2942"/>
    <n v="492.75"/>
    <s v="Medium"/>
    <x v="258"/>
    <n v="731.29"/>
    <n v="5.8000000000000003E-2"/>
    <n v="6"/>
    <n v="42.414819999999999"/>
    <n v="4133.25108"/>
    <n v="4090.83626"/>
    <n v="2956.5"/>
    <n v="1176.75108"/>
    <n v="1134.33626"/>
    <n v="1.3980216742770168"/>
  </r>
  <r>
    <x v="260"/>
    <x v="184"/>
    <d v="2023-02-05T00:00:00"/>
    <d v="2023-02-28T00:00:00"/>
    <d v="2023-02-28T00:00:00"/>
    <n v="23"/>
    <x v="2"/>
    <x v="10"/>
    <x v="17"/>
    <s v="Non-Profit"/>
    <s v="Distributor"/>
    <s v="L. Okafor"/>
    <s v="Phones"/>
    <s v="PHN-2036"/>
    <n v="1214.49"/>
    <s v="Medium"/>
    <x v="259"/>
    <n v="1533.95"/>
    <n v="0"/>
    <n v="11"/>
    <n v="0"/>
    <n v="16873.45"/>
    <n v="16873.45"/>
    <n v="13359.39"/>
    <n v="3514.0600000000013"/>
    <n v="3514.0600000000013"/>
    <n v="1.2630404531943451"/>
  </r>
  <r>
    <x v="261"/>
    <x v="184"/>
    <d v="2023-04-06T00:00:00"/>
    <d v="2023-04-08T00:00:00"/>
    <d v="2023-04-08T00:00:00"/>
    <n v="2"/>
    <x v="3"/>
    <x v="9"/>
    <x v="25"/>
    <s v="Small Business"/>
    <s v="Marketplace"/>
    <s v="K. Singh"/>
    <s v="Monitors"/>
    <s v="MON-4373"/>
    <n v="720.35"/>
    <s v="Medium"/>
    <x v="260"/>
    <n v="1571.66"/>
    <n v="0.107"/>
    <n v="23"/>
    <n v="168.16762"/>
    <n v="32280.32474"/>
    <n v="32112.15712"/>
    <n v="16568.05"/>
    <n v="15712.274740000001"/>
    <n v="15544.107120000001"/>
    <n v="1.9483478586798084"/>
  </r>
  <r>
    <x v="262"/>
    <x v="185"/>
    <d v="2025-06-24T00:00:00"/>
    <d v="2025-07-23T00:00:00"/>
    <d v="2025-07-23T00:00:00"/>
    <n v="29"/>
    <x v="2"/>
    <x v="2"/>
    <x v="3"/>
    <s v="Non-Profit"/>
    <s v="Marketplace"/>
    <s v="I. Johnson"/>
    <s v="Printers"/>
    <s v="PRN-3775"/>
    <n v="255.4"/>
    <s v="Low"/>
    <x v="261"/>
    <n v="322.70999999999998"/>
    <n v="0.115"/>
    <n v="16"/>
    <n v="37.111649999999997"/>
    <n v="4569.5735999999997"/>
    <n v="4532.4619499999999"/>
    <n v="4086.4"/>
    <n v="483.17359999999962"/>
    <n v="446.0619499999998"/>
    <n v="1.1182394283476897"/>
  </r>
  <r>
    <x v="263"/>
    <x v="186"/>
    <d v="2023-09-25T00:00:00"/>
    <d v="2023-10-09T00:00:00"/>
    <d v="2023-10-09T00:00:00"/>
    <n v="14"/>
    <x v="2"/>
    <x v="10"/>
    <x v="27"/>
    <s v="Small Business"/>
    <s v="Marketplace"/>
    <s v="J. Njeri"/>
    <s v="Laptops"/>
    <s v="LAP-6750"/>
    <n v="1279.56"/>
    <s v="High"/>
    <x v="262"/>
    <n v="3083.8"/>
    <n v="0.106"/>
    <n v="5"/>
    <n v="326.88280000000003"/>
    <n v="13784.586000000001"/>
    <n v="13457.703200000002"/>
    <n v="6397.7999999999993"/>
    <n v="7386.7860000000019"/>
    <n v="7059.9032000000025"/>
    <n v="2.1545822001312955"/>
  </r>
  <r>
    <x v="264"/>
    <x v="187"/>
    <d v="2025-03-15T00:00:00"/>
    <d v="2025-03-29T00:00:00"/>
    <d v="2025-03-29T00:00:00"/>
    <n v="14"/>
    <x v="0"/>
    <x v="4"/>
    <x v="30"/>
    <s v="Enterprise"/>
    <s v="Direct"/>
    <s v="C. Otieno"/>
    <s v="Components"/>
    <s v="CMP-3259"/>
    <n v="935.83"/>
    <s v="High"/>
    <x v="263"/>
    <n v="2303.46"/>
    <n v="0.105"/>
    <n v="9"/>
    <n v="241.86329999999998"/>
    <n v="18554.370299999999"/>
    <n v="18312.506999999998"/>
    <n v="8422.4700000000012"/>
    <n v="10131.900299999998"/>
    <n v="9890.0369999999966"/>
    <n v="2.2029606873043175"/>
  </r>
  <r>
    <x v="265"/>
    <x v="188"/>
    <d v="2024-06-02T00:00:00"/>
    <d v="2024-06-15T00:00:00"/>
    <d v="2024-06-15T00:00:00"/>
    <n v="13"/>
    <x v="3"/>
    <x v="5"/>
    <x v="20"/>
    <s v="Education"/>
    <s v="Online"/>
    <s v="O. Wang"/>
    <s v="Phones"/>
    <s v="PHN-6866"/>
    <n v="1295.18"/>
    <s v="High"/>
    <x v="264"/>
    <n v="3024.03"/>
    <n v="0.192"/>
    <n v="8"/>
    <n v="580.61376000000007"/>
    <n v="19547.329920000004"/>
    <n v="18966.716160000004"/>
    <n v="10361.44"/>
    <n v="9185.8899200000033"/>
    <n v="8605.2761600000031"/>
    <n v="1.8865456847696849"/>
  </r>
  <r>
    <x v="266"/>
    <x v="189"/>
    <d v="2025-03-21T00:00:00"/>
    <d v="2025-04-09T00:00:00"/>
    <d v="2025-04-09T00:00:00"/>
    <n v="19"/>
    <x v="0"/>
    <x v="0"/>
    <x v="14"/>
    <s v="Small Business"/>
    <s v="Distributor"/>
    <s v="E. Garcia"/>
    <s v="Components"/>
    <s v="CMP-7055"/>
    <n v="1055.45"/>
    <s v="Medium"/>
    <x v="265"/>
    <n v="1210.04"/>
    <n v="8.9999999999999993E-3"/>
    <n v="18"/>
    <n v="10.890359999999999"/>
    <n v="21584.693520000001"/>
    <n v="21573.803159999999"/>
    <n v="18998.100000000002"/>
    <n v="2586.5935199999985"/>
    <n v="2575.7031599999973"/>
    <n v="1.136150116064238"/>
  </r>
  <r>
    <x v="267"/>
    <x v="190"/>
    <d v="2023-06-05T00:00:00"/>
    <d v="2023-06-28T00:00:00"/>
    <d v="2023-06-28T00:00:00"/>
    <n v="23"/>
    <x v="1"/>
    <x v="7"/>
    <x v="38"/>
    <s v="Corporate"/>
    <s v="Direct"/>
    <s v="K. Singh"/>
    <s v="Printers"/>
    <s v="PRN-3690"/>
    <n v="605.82000000000005"/>
    <s v="Medium"/>
    <x v="266"/>
    <n v="771.12"/>
    <n v="0.13200000000000001"/>
    <n v="19"/>
    <n v="101.78784"/>
    <n v="12717.311040000001"/>
    <n v="12615.5232"/>
    <n v="11510.580000000002"/>
    <n v="1206.7310399999988"/>
    <n v="1104.9431999999979"/>
    <n v="1.1048366841636128"/>
  </r>
  <r>
    <x v="268"/>
    <x v="191"/>
    <d v="2023-07-01T00:00:00"/>
    <d v="2023-07-08T00:00:00"/>
    <d v="2023-07-08T00:00:00"/>
    <n v="7"/>
    <x v="3"/>
    <x v="9"/>
    <x v="13"/>
    <s v="Corporate"/>
    <s v="Retail"/>
    <s v="A. Patel"/>
    <s v="Laptops"/>
    <s v="LAP-3904"/>
    <n v="834.26"/>
    <s v="Medium"/>
    <x v="267"/>
    <n v="1780.56"/>
    <n v="1.4E-2"/>
    <n v="47"/>
    <n v="24.92784"/>
    <n v="82514.711519999997"/>
    <n v="82489.783679999993"/>
    <n v="39210.22"/>
    <n v="43304.491519999996"/>
    <n v="43279.563679999992"/>
    <n v="2.104418478651739"/>
  </r>
  <r>
    <x v="269"/>
    <x v="191"/>
    <d v="2024-03-09T00:00:00"/>
    <d v="2024-03-26T00:00:00"/>
    <d v="2024-03-26T00:00:00"/>
    <n v="17"/>
    <x v="0"/>
    <x v="3"/>
    <x v="35"/>
    <s v="Enterprise"/>
    <s v="Online"/>
    <s v="K. Singh"/>
    <s v="Monitors"/>
    <s v="MON-5749"/>
    <n v="1029.67"/>
    <s v="Medium"/>
    <x v="268"/>
    <n v="1118.43"/>
    <n v="0.27200000000000002"/>
    <n v="9"/>
    <n v="304.21296000000007"/>
    <n v="7327.9533600000004"/>
    <n v="7023.7404000000006"/>
    <n v="9267.0300000000007"/>
    <n v="-1939.0766400000002"/>
    <n v="-2243.2896000000001"/>
    <n v="0.79075532937737336"/>
  </r>
  <r>
    <x v="270"/>
    <x v="192"/>
    <d v="2025-06-25T00:00:00"/>
    <d v="2025-07-10T00:00:00"/>
    <d v="2025-07-10T00:00:00"/>
    <n v="15"/>
    <x v="1"/>
    <x v="7"/>
    <x v="38"/>
    <s v="Non-Profit"/>
    <s v="Marketplace"/>
    <s v="D. Smith"/>
    <s v="Phones"/>
    <s v="PHN-5383"/>
    <n v="546.83000000000004"/>
    <s v="Low"/>
    <x v="269"/>
    <n v="400.84"/>
    <n v="7.8E-2"/>
    <n v="13"/>
    <n v="31.265519999999999"/>
    <n v="4804.4682400000002"/>
    <n v="4773.2027200000002"/>
    <n v="7108.7900000000009"/>
    <n v="-2304.3217600000007"/>
    <n v="-2335.5872800000006"/>
    <n v="0.67584894757054292"/>
  </r>
  <r>
    <x v="271"/>
    <x v="193"/>
    <d v="2024-06-23T00:00:00"/>
    <d v="2024-06-25T00:00:00"/>
    <d v="2024-06-25T00:00:00"/>
    <n v="2"/>
    <x v="1"/>
    <x v="7"/>
    <x v="38"/>
    <s v="Small Business"/>
    <s v="Marketplace"/>
    <s v="L. Okafor"/>
    <s v="Accessories"/>
    <s v="ACC-7838"/>
    <n v="951.44"/>
    <s v="Medium"/>
    <x v="270"/>
    <n v="1646.43"/>
    <n v="0.11"/>
    <n v="24"/>
    <n v="181.10730000000001"/>
    <n v="35167.7448"/>
    <n v="34986.637499999997"/>
    <n v="22834.560000000001"/>
    <n v="12333.184799999999"/>
    <n v="12152.077499999996"/>
    <n v="1.5401104641385688"/>
  </r>
  <r>
    <x v="272"/>
    <x v="194"/>
    <d v="2024-01-18T00:00:00"/>
    <d v="2024-02-03T00:00:00"/>
    <d v="2024-02-03T00:00:00"/>
    <n v="16"/>
    <x v="3"/>
    <x v="11"/>
    <x v="18"/>
    <s v="Non-Profit"/>
    <s v="Distributor"/>
    <s v="L. Okafor"/>
    <s v="Printers"/>
    <s v="PRN-6660"/>
    <n v="666.23"/>
    <s v="Medium"/>
    <x v="271"/>
    <n v="1382.91"/>
    <n v="0.17599999999999999"/>
    <n v="13"/>
    <n v="243.39215999999999"/>
    <n v="14813.731920000002"/>
    <n v="14570.339760000003"/>
    <n v="8660.99"/>
    <n v="6152.7419200000022"/>
    <n v="5909.3497600000028"/>
    <n v="1.7103970700809032"/>
  </r>
  <r>
    <x v="273"/>
    <x v="195"/>
    <d v="2024-04-03T00:00:00"/>
    <d v="2024-04-21T00:00:00"/>
    <d v="2024-04-21T00:00:00"/>
    <n v="18"/>
    <x v="2"/>
    <x v="6"/>
    <x v="28"/>
    <s v="Small Business"/>
    <s v="Distributor"/>
    <s v="B. Chen"/>
    <s v="Networking"/>
    <s v="NET-3850"/>
    <n v="1176.69"/>
    <s v="High"/>
    <x v="272"/>
    <n v="2201.54"/>
    <n v="0.17"/>
    <n v="27"/>
    <n v="374.26179999999999"/>
    <n v="49336.511399999996"/>
    <n v="48962.249599999996"/>
    <n v="31770.63"/>
    <n v="17565.881399999995"/>
    <n v="17191.619599999995"/>
    <n v="1.5528968547365913"/>
  </r>
  <r>
    <x v="274"/>
    <x v="195"/>
    <d v="2024-11-25T00:00:00"/>
    <d v="2024-12-07T00:00:00"/>
    <d v="2024-12-07T00:00:00"/>
    <n v="12"/>
    <x v="0"/>
    <x v="3"/>
    <x v="4"/>
    <s v="Corporate"/>
    <s v="Distributor"/>
    <s v="A. Patel"/>
    <s v="Accessories"/>
    <s v="ACC-7047"/>
    <n v="769.9"/>
    <s v="Medium"/>
    <x v="273"/>
    <n v="814.36"/>
    <n v="0"/>
    <n v="5"/>
    <n v="0"/>
    <n v="4071.8"/>
    <n v="4071.8"/>
    <n v="3849.5"/>
    <n v="222.30000000000018"/>
    <n v="222.30000000000018"/>
    <n v="1.0577477594492792"/>
  </r>
  <r>
    <x v="275"/>
    <x v="196"/>
    <d v="2024-11-07T00:00:00"/>
    <d v="2024-11-26T00:00:00"/>
    <d v="2024-11-26T00:00:00"/>
    <n v="19"/>
    <x v="2"/>
    <x v="6"/>
    <x v="8"/>
    <s v="Non-Profit"/>
    <s v="Distributor"/>
    <s v="J. Njeri"/>
    <s v="Printers"/>
    <s v="PRN-9960"/>
    <n v="55.35"/>
    <s v="Low"/>
    <x v="274"/>
    <n v="128.68"/>
    <n v="0.128"/>
    <n v="10"/>
    <n v="16.471040000000002"/>
    <n v="1122.0896000000002"/>
    <n v="1105.6185600000003"/>
    <n v="553.5"/>
    <n v="568.58960000000025"/>
    <n v="552.11856000000034"/>
    <n v="2.0272621499548333"/>
  </r>
  <r>
    <x v="276"/>
    <x v="196"/>
    <d v="2024-01-01T00:00:00"/>
    <d v="2024-01-27T00:00:00"/>
    <d v="2024-01-27T00:00:00"/>
    <n v="26"/>
    <x v="1"/>
    <x v="7"/>
    <x v="12"/>
    <s v="Education"/>
    <s v="Distributor"/>
    <s v="D. Smith"/>
    <s v="Accessories"/>
    <s v="ACC-3103"/>
    <n v="657.45"/>
    <s v="Medium"/>
    <x v="275"/>
    <n v="1325.96"/>
    <n v="0.16700000000000001"/>
    <n v="21"/>
    <n v="221.43532000000002"/>
    <n v="23195.01828"/>
    <n v="22973.58296"/>
    <n v="13806.45"/>
    <n v="9388.5682799999995"/>
    <n v="9167.132959999999"/>
    <n v="1.6800132025249068"/>
  </r>
  <r>
    <x v="277"/>
    <x v="196"/>
    <d v="2025-08-14T00:00:00"/>
    <d v="2025-09-11T00:00:00"/>
    <d v="2025-09-11T00:00:00"/>
    <n v="28"/>
    <x v="2"/>
    <x v="6"/>
    <x v="26"/>
    <s v="Non-Profit"/>
    <s v="Direct"/>
    <s v="F. Müller"/>
    <s v="Printers"/>
    <s v="PRN-9490"/>
    <n v="1203.02"/>
    <s v="High"/>
    <x v="276"/>
    <n v="2439.33"/>
    <n v="0"/>
    <n v="18"/>
    <n v="0"/>
    <n v="43907.94"/>
    <n v="43907.94"/>
    <n v="21654.36"/>
    <n v="22253.58"/>
    <n v="22253.58"/>
    <n v="2.0276720254027363"/>
  </r>
  <r>
    <x v="278"/>
    <x v="197"/>
    <d v="2024-08-08T00:00:00"/>
    <d v="2024-08-20T00:00:00"/>
    <d v="2024-08-20T00:00:00"/>
    <n v="12"/>
    <x v="0"/>
    <x v="0"/>
    <x v="0"/>
    <s v="Small Business"/>
    <s v="Retail"/>
    <s v="H. Kim"/>
    <s v="Networking"/>
    <s v="NET-8957"/>
    <n v="1233.3599999999999"/>
    <s v="High"/>
    <x v="277"/>
    <n v="2120.4"/>
    <n v="0.17899999999999999"/>
    <n v="20"/>
    <n v="379.55160000000001"/>
    <n v="34816.968000000001"/>
    <n v="34437.416400000002"/>
    <n v="24667.199999999997"/>
    <n v="10149.768000000004"/>
    <n v="9770.2164000000048"/>
    <n v="1.4114681844716872"/>
  </r>
  <r>
    <x v="279"/>
    <x v="198"/>
    <d v="2023-12-02T00:00:00"/>
    <d v="2023-12-16T00:00:00"/>
    <d v="2023-12-16T00:00:00"/>
    <n v="14"/>
    <x v="1"/>
    <x v="1"/>
    <x v="2"/>
    <s v="Education"/>
    <s v="Direct"/>
    <s v="N. Brown"/>
    <s v="Monitors"/>
    <s v="MON-4278"/>
    <n v="879.08"/>
    <s v="Medium"/>
    <x v="278"/>
    <n v="1093.3900000000001"/>
    <n v="0.113"/>
    <n v="17"/>
    <n v="123.55307000000002"/>
    <n v="16487.22781"/>
    <n v="16363.67474"/>
    <n v="14944.36"/>
    <n v="1542.8678099999997"/>
    <n v="1419.3147399999998"/>
    <n v="1.1032408085725987"/>
  </r>
  <r>
    <x v="280"/>
    <x v="198"/>
    <d v="2023-07-14T00:00:00"/>
    <d v="2023-07-14T00:00:00"/>
    <d v="2023-07-14T00:00:00"/>
    <n v="0"/>
    <x v="3"/>
    <x v="9"/>
    <x v="36"/>
    <s v="Education"/>
    <s v="Retail"/>
    <s v="I. Johnson"/>
    <s v="Accessories"/>
    <s v="ACC-5334"/>
    <n v="956.38"/>
    <s v="Medium"/>
    <x v="279"/>
    <n v="1454.22"/>
    <n v="3.9E-2"/>
    <n v="19"/>
    <n v="56.714579999999998"/>
    <n v="26552.60298"/>
    <n v="26495.8884"/>
    <n v="18171.22"/>
    <n v="8381.3829799999985"/>
    <n v="8324.6683999999987"/>
    <n v="1.4612449235659464"/>
  </r>
  <r>
    <x v="281"/>
    <x v="199"/>
    <d v="2023-02-23T00:00:00"/>
    <d v="2023-03-08T00:00:00"/>
    <d v="2023-03-08T00:00:00"/>
    <n v="13"/>
    <x v="1"/>
    <x v="7"/>
    <x v="12"/>
    <s v="Small Business"/>
    <s v="Direct"/>
    <s v="C. Otieno"/>
    <s v="Printers"/>
    <s v="PRN-7410"/>
    <n v="307.37"/>
    <s v="Low"/>
    <x v="280"/>
    <n v="462.61"/>
    <n v="0.188"/>
    <n v="11"/>
    <n v="86.970680000000002"/>
    <n v="4132.0325200000007"/>
    <n v="4045.0618400000008"/>
    <n v="3381.07"/>
    <n v="750.9625200000005"/>
    <n v="663.99184000000059"/>
    <n v="1.2221079480756094"/>
  </r>
  <r>
    <x v="282"/>
    <x v="200"/>
    <d v="2025-06-17T00:00:00"/>
    <d v="2025-07-05T00:00:00"/>
    <d v="2025-07-05T00:00:00"/>
    <n v="18"/>
    <x v="0"/>
    <x v="4"/>
    <x v="6"/>
    <s v="Consumer"/>
    <s v="Marketplace"/>
    <s v="L. Okafor"/>
    <s v="Laptops"/>
    <s v="LAP-1990"/>
    <n v="982.93"/>
    <s v="High"/>
    <x v="281"/>
    <n v="2299.3000000000002"/>
    <n v="0.113"/>
    <n v="6"/>
    <n v="259.82090000000005"/>
    <n v="12236.874600000001"/>
    <n v="11977.0537"/>
    <n v="5897.58"/>
    <n v="6339.2946000000011"/>
    <n v="6079.4737000000005"/>
    <n v="2.0748976020672889"/>
  </r>
  <r>
    <x v="283"/>
    <x v="201"/>
    <d v="2023-12-21T00:00:00"/>
    <d v="2024-01-06T00:00:00"/>
    <d v="2024-01-06T00:00:00"/>
    <n v="16"/>
    <x v="3"/>
    <x v="9"/>
    <x v="13"/>
    <s v="Corporate"/>
    <s v="Marketplace"/>
    <s v="K. Singh"/>
    <s v="Components"/>
    <s v="CMP-4792"/>
    <n v="932.61"/>
    <s v="High"/>
    <x v="282"/>
    <n v="1982.98"/>
    <n v="0.14399999999999999"/>
    <n v="16"/>
    <n v="285.54911999999996"/>
    <n v="27158.894079999998"/>
    <n v="26873.344959999999"/>
    <n v="14921.76"/>
    <n v="12237.134079999998"/>
    <n v="11951.584959999998"/>
    <n v="1.8200865099023169"/>
  </r>
  <r>
    <x v="284"/>
    <x v="202"/>
    <d v="2023-05-04T00:00:00"/>
    <d v="2023-05-16T00:00:00"/>
    <d v="2023-05-16T00:00:00"/>
    <n v="12"/>
    <x v="3"/>
    <x v="9"/>
    <x v="25"/>
    <s v="Small Business"/>
    <s v="Marketplace"/>
    <s v="J. Njeri"/>
    <s v="Phones"/>
    <s v="PHN-1670"/>
    <n v="77.739999999999995"/>
    <s v="Low"/>
    <x v="283"/>
    <n v="147.12"/>
    <n v="0"/>
    <n v="15"/>
    <n v="0"/>
    <n v="2206.8000000000002"/>
    <n v="2206.8000000000002"/>
    <n v="1166.0999999999999"/>
    <n v="1040.7000000000003"/>
    <n v="1040.7000000000003"/>
    <n v="1.8924620529971703"/>
  </r>
  <r>
    <x v="285"/>
    <x v="203"/>
    <d v="2024-07-25T00:00:00"/>
    <d v="2024-08-02T00:00:00"/>
    <d v="2024-08-02T00:00:00"/>
    <n v="8"/>
    <x v="2"/>
    <x v="2"/>
    <x v="29"/>
    <s v="Consumer"/>
    <s v="Direct"/>
    <s v="J. Njeri"/>
    <s v="Accessories"/>
    <s v="ACC-6626"/>
    <n v="986.81"/>
    <s v="High"/>
    <x v="284"/>
    <n v="2050.31"/>
    <n v="0.10299999999999999"/>
    <n v="43"/>
    <n v="211.18192999999999"/>
    <n v="79082.507010000001"/>
    <n v="78871.325079999995"/>
    <n v="42432.829999999994"/>
    <n v="36649.677010000007"/>
    <n v="36438.495080000001"/>
    <n v="1.8637104103120157"/>
  </r>
  <r>
    <x v="286"/>
    <x v="204"/>
    <d v="2023-12-01T00:00:00"/>
    <d v="2023-12-18T00:00:00"/>
    <d v="2023-12-18T00:00:00"/>
    <n v="17"/>
    <x v="0"/>
    <x v="0"/>
    <x v="1"/>
    <s v="Small Business"/>
    <s v="Direct"/>
    <s v="N. Brown"/>
    <s v="Laptops"/>
    <s v="LAP-3604"/>
    <n v="1495.79"/>
    <s v="High"/>
    <x v="285"/>
    <n v="2783.12"/>
    <n v="0.02"/>
    <n v="5"/>
    <n v="55.662399999999998"/>
    <n v="13637.287999999999"/>
    <n v="13581.625599999999"/>
    <n v="7478.95"/>
    <n v="6158.3379999999988"/>
    <n v="6102.6755999999996"/>
    <n v="1.8234228066774079"/>
  </r>
  <r>
    <x v="287"/>
    <x v="205"/>
    <d v="2024-07-13T00:00:00"/>
    <d v="2024-07-13T00:00:00"/>
    <d v="2024-07-12T00:00:00"/>
    <n v="-1"/>
    <x v="0"/>
    <x v="0"/>
    <x v="1"/>
    <s v="Small Business"/>
    <s v="Marketplace"/>
    <s v="F. Müller"/>
    <s v="Networking"/>
    <s v="NET-9575"/>
    <n v="105.13"/>
    <s v="Low"/>
    <x v="286"/>
    <n v="244.13"/>
    <n v="7.0999999999999994E-2"/>
    <n v="14"/>
    <n v="17.333229999999997"/>
    <n v="3175.1547799999998"/>
    <n v="3157.8215499999997"/>
    <n v="1471.82"/>
    <n v="1703.3347799999999"/>
    <n v="1686.0015499999997"/>
    <n v="2.1572982973461428"/>
  </r>
  <r>
    <x v="288"/>
    <x v="206"/>
    <d v="2024-02-17T00:00:00"/>
    <d v="2024-03-04T00:00:00"/>
    <d v="2024-03-04T00:00:00"/>
    <n v="16"/>
    <x v="0"/>
    <x v="4"/>
    <x v="6"/>
    <s v="Small Business"/>
    <s v="Marketplace"/>
    <s v="F. Müller"/>
    <s v="Phones"/>
    <s v="PHN-1717"/>
    <n v="1231.8"/>
    <s v="High"/>
    <x v="287"/>
    <n v="2015.99"/>
    <n v="0.26100000000000001"/>
    <n v="6"/>
    <n v="526.17339000000004"/>
    <n v="8938.8996600000009"/>
    <n v="8412.726270000001"/>
    <n v="7390.7999999999993"/>
    <n v="1548.0996600000017"/>
    <n v="1021.9262700000018"/>
    <n v="1.2094630703036209"/>
  </r>
  <r>
    <x v="289"/>
    <x v="207"/>
    <d v="2024-10-29T00:00:00"/>
    <d v="2024-11-04T00:00:00"/>
    <d v="2024-11-04T00:00:00"/>
    <n v="6"/>
    <x v="3"/>
    <x v="5"/>
    <x v="7"/>
    <s v="Corporate"/>
    <s v="Distributor"/>
    <s v="M. Rossi"/>
    <s v="Printers"/>
    <s v="PRN-4893"/>
    <n v="805.81"/>
    <s v="Medium"/>
    <x v="288"/>
    <n v="1823.04"/>
    <n v="0"/>
    <n v="11"/>
    <n v="0"/>
    <n v="20053.439999999999"/>
    <n v="20053.439999999999"/>
    <n v="8863.91"/>
    <n v="11189.529999999999"/>
    <n v="11189.529999999999"/>
    <n v="2.2623695412069842"/>
  </r>
  <r>
    <x v="290"/>
    <x v="208"/>
    <d v="2023-07-24T00:00:00"/>
    <d v="2023-08-19T00:00:00"/>
    <d v="2023-08-19T00:00:00"/>
    <n v="26"/>
    <x v="3"/>
    <x v="5"/>
    <x v="7"/>
    <s v="Enterprise"/>
    <s v="Distributor"/>
    <s v="M. Rossi"/>
    <s v="Accessories"/>
    <s v="ACC-1238"/>
    <n v="661.45"/>
    <s v="Medium"/>
    <x v="289"/>
    <n v="1634.86"/>
    <n v="0.56499999999999995"/>
    <n v="24"/>
    <n v="923.69589999999982"/>
    <n v="17067.938400000003"/>
    <n v="16144.242500000002"/>
    <n v="15874.800000000001"/>
    <n v="1193.1384000000016"/>
    <n v="269.44250000000102"/>
    <n v="1.0751592712979061"/>
  </r>
  <r>
    <x v="291"/>
    <x v="208"/>
    <d v="2023-04-13T00:00:00"/>
    <d v="2023-04-13T00:00:00"/>
    <d v="2023-04-11T00:00:00"/>
    <n v="-2"/>
    <x v="2"/>
    <x v="10"/>
    <x v="23"/>
    <s v="Education"/>
    <s v="Marketplace"/>
    <s v="G. Dubois"/>
    <s v="Networking"/>
    <s v="NET-1816"/>
    <n v="32.1"/>
    <s v="Low"/>
    <x v="290"/>
    <n v="70.599999999999994"/>
    <n v="0.28199999999999997"/>
    <n v="22"/>
    <n v="19.909199999999995"/>
    <n v="1115.1975999999997"/>
    <n v="1095.2883999999997"/>
    <n v="706.2"/>
    <n v="408.99759999999969"/>
    <n v="389.08839999999964"/>
    <n v="1.5791526479750775"/>
  </r>
  <r>
    <x v="292"/>
    <x v="209"/>
    <d v="2023-07-14T00:00:00"/>
    <d v="2023-07-21T00:00:00"/>
    <d v="2023-07-21T00:00:00"/>
    <n v="7"/>
    <x v="3"/>
    <x v="11"/>
    <x v="34"/>
    <s v="Enterprise"/>
    <s v="Marketplace"/>
    <s v="J. Njeri"/>
    <s v="Monitors"/>
    <s v="MON-1018"/>
    <n v="620.74"/>
    <s v="Medium"/>
    <x v="291"/>
    <n v="1330.07"/>
    <n v="0.29899999999999999"/>
    <n v="28"/>
    <n v="397.69092999999998"/>
    <n v="26106.613960000002"/>
    <n v="25708.923030000002"/>
    <n v="17380.72"/>
    <n v="8725.8939600000012"/>
    <n v="8328.2030300000006"/>
    <n v="1.5020444469504142"/>
  </r>
  <r>
    <x v="293"/>
    <x v="210"/>
    <d v="2023-07-25T00:00:00"/>
    <d v="2023-08-10T00:00:00"/>
    <d v="2023-08-10T00:00:00"/>
    <n v="16"/>
    <x v="3"/>
    <x v="9"/>
    <x v="13"/>
    <s v="Corporate"/>
    <s v="Distributor"/>
    <s v="I. Johnson"/>
    <s v="Accessories"/>
    <s v="ACC-8178"/>
    <n v="506.83"/>
    <s v="Low"/>
    <x v="292"/>
    <n v="441.74"/>
    <n v="0.24"/>
    <n v="9"/>
    <n v="106.0176"/>
    <n v="3021.5016000000001"/>
    <n v="2915.4839999999999"/>
    <n v="4561.47"/>
    <n v="-1539.9684000000002"/>
    <n v="-1645.9860000000003"/>
    <n v="0.6623964642976935"/>
  </r>
  <r>
    <x v="294"/>
    <x v="211"/>
    <d v="2024-02-18T00:00:00"/>
    <d v="2024-03-03T00:00:00"/>
    <d v="2024-03-03T00:00:00"/>
    <n v="14"/>
    <x v="2"/>
    <x v="6"/>
    <x v="28"/>
    <s v="Enterprise"/>
    <s v="Distributor"/>
    <s v="A. Patel"/>
    <s v="Printers"/>
    <s v="PRN-5384"/>
    <n v="624.23"/>
    <s v="Medium"/>
    <x v="293"/>
    <n v="1318.37"/>
    <n v="0.21"/>
    <n v="37"/>
    <n v="276.85769999999997"/>
    <n v="38535.955099999999"/>
    <n v="38259.097399999999"/>
    <n v="23096.510000000002"/>
    <n v="15439.445099999997"/>
    <n v="15162.587399999997"/>
    <n v="1.6684752414975248"/>
  </r>
  <r>
    <x v="295"/>
    <x v="212"/>
    <d v="2024-07-11T00:00:00"/>
    <d v="2024-07-31T00:00:00"/>
    <d v="2024-07-31T00:00:00"/>
    <n v="20"/>
    <x v="0"/>
    <x v="3"/>
    <x v="35"/>
    <s v="Consumer"/>
    <s v="Online"/>
    <s v="G. Dubois"/>
    <s v="Phones"/>
    <s v="PHN-7815"/>
    <n v="647.26"/>
    <s v="Medium"/>
    <x v="294"/>
    <n v="1374.72"/>
    <n v="6.6000000000000003E-2"/>
    <n v="22"/>
    <n v="90.731520000000003"/>
    <n v="28247.74656"/>
    <n v="28157.015039999998"/>
    <n v="14239.72"/>
    <n v="14008.02656"/>
    <n v="13917.295039999999"/>
    <n v="1.9837290733244755"/>
  </r>
  <r>
    <x v="296"/>
    <x v="213"/>
    <d v="2024-04-09T00:00:00"/>
    <d v="2024-04-18T00:00:00"/>
    <d v="2024-04-18T00:00:00"/>
    <n v="9"/>
    <x v="1"/>
    <x v="8"/>
    <x v="24"/>
    <s v="Consumer"/>
    <s v="Online"/>
    <s v="E. Garcia"/>
    <s v="Printers"/>
    <s v="PRN-1086"/>
    <n v="1288.8499999999999"/>
    <s v="High"/>
    <x v="295"/>
    <n v="2751.84"/>
    <n v="0.158"/>
    <n v="7"/>
    <n v="434.79072000000002"/>
    <n v="16219.34496"/>
    <n v="15784.554239999999"/>
    <n v="9021.9499999999989"/>
    <n v="7197.3949600000014"/>
    <n v="6762.6042400000006"/>
    <n v="1.7977648911820618"/>
  </r>
  <r>
    <x v="297"/>
    <x v="214"/>
    <d v="2025-04-27T00:00:00"/>
    <d v="2025-05-27T00:00:00"/>
    <d v="2025-05-27T00:00:00"/>
    <n v="30"/>
    <x v="0"/>
    <x v="4"/>
    <x v="6"/>
    <s v="Enterprise"/>
    <s v="Marketplace"/>
    <s v="H. Kim"/>
    <s v="Phones"/>
    <s v="PHN-3854"/>
    <n v="481.32"/>
    <s v="Medium"/>
    <x v="296"/>
    <n v="1135.99"/>
    <n v="0.14499999999999999"/>
    <n v="5"/>
    <n v="164.71854999999999"/>
    <n v="4856.35725"/>
    <n v="4691.6387000000004"/>
    <n v="2406.6"/>
    <n v="2449.7572500000001"/>
    <n v="2285.0387000000005"/>
    <n v="2.0179328721017202"/>
  </r>
  <r>
    <x v="298"/>
    <x v="215"/>
    <d v="2023-11-15T00:00:00"/>
    <d v="2023-12-06T00:00:00"/>
    <d v="2023-12-06T00:00:00"/>
    <n v="21"/>
    <x v="1"/>
    <x v="7"/>
    <x v="12"/>
    <s v="Education"/>
    <s v="Direct"/>
    <s v="H. Kim"/>
    <s v="Accessories"/>
    <s v="ACC-1060"/>
    <n v="1184.99"/>
    <s v="Medium"/>
    <x v="297"/>
    <n v="1154.3399999999999"/>
    <n v="2.8000000000000001E-2"/>
    <n v="5"/>
    <n v="32.32152"/>
    <n v="5610.0923999999995"/>
    <n v="5577.7708799999991"/>
    <n v="5924.95"/>
    <n v="-314.85760000000028"/>
    <n v="-347.17912000000069"/>
    <n v="0.9468590283462307"/>
  </r>
  <r>
    <x v="299"/>
    <x v="216"/>
    <d v="2023-08-30T00:00:00"/>
    <d v="2023-09-03T00:00:00"/>
    <d v="2023-09-03T00:00:00"/>
    <n v="4"/>
    <x v="0"/>
    <x v="4"/>
    <x v="6"/>
    <s v="Small Business"/>
    <s v="Marketplace"/>
    <s v="L. Okafor"/>
    <s v="Accessories"/>
    <s v="ACC-3068"/>
    <n v="1082.25"/>
    <s v="High"/>
    <x v="298"/>
    <n v="2433.34"/>
    <n v="0.27"/>
    <n v="4"/>
    <n v="657.00180000000012"/>
    <n v="7105.3528000000006"/>
    <n v="6448.3510000000006"/>
    <n v="4329"/>
    <n v="2776.3528000000006"/>
    <n v="2119.3510000000006"/>
    <n v="1.6413381381381382"/>
  </r>
  <r>
    <x v="300"/>
    <x v="217"/>
    <d v="2025-09-14T00:00:00"/>
    <d v="2025-09-26T00:00:00"/>
    <d v="2025-09-26T00:00:00"/>
    <n v="12"/>
    <x v="1"/>
    <x v="7"/>
    <x v="10"/>
    <s v="Small Business"/>
    <s v="Direct"/>
    <s v="N. Brown"/>
    <s v="Networking"/>
    <s v="NET-9003"/>
    <n v="425.15"/>
    <s v="Medium"/>
    <x v="299"/>
    <n v="885.92"/>
    <n v="0.23899999999999999"/>
    <n v="13"/>
    <n v="211.73487999999998"/>
    <n v="8764.4065599999994"/>
    <n v="8552.6716799999995"/>
    <n v="5526.95"/>
    <n v="3237.4565599999996"/>
    <n v="3025.7216799999997"/>
    <n v="1.5857582500294014"/>
  </r>
  <r>
    <x v="301"/>
    <x v="218"/>
    <d v="2025-01-11T00:00:00"/>
    <d v="2025-01-23T00:00:00"/>
    <d v="2025-01-23T00:00:00"/>
    <n v="12"/>
    <x v="2"/>
    <x v="10"/>
    <x v="17"/>
    <s v="Consumer"/>
    <s v="Distributor"/>
    <s v="H. Kim"/>
    <s v="Phones"/>
    <s v="PHN-6307"/>
    <n v="100.69"/>
    <s v="Low"/>
    <x v="300"/>
    <n v="226.14"/>
    <n v="6.5000000000000002E-2"/>
    <n v="12"/>
    <n v="14.6991"/>
    <n v="2537.2908000000002"/>
    <n v="2522.5917000000004"/>
    <n v="1208.28"/>
    <n v="1329.0108000000002"/>
    <n v="1314.3117000000004"/>
    <n v="2.0999195550700169"/>
  </r>
  <r>
    <x v="302"/>
    <x v="219"/>
    <d v="2023-10-22T00:00:00"/>
    <d v="2023-11-16T00:00:00"/>
    <d v="2023-11-16T00:00:00"/>
    <n v="25"/>
    <x v="2"/>
    <x v="2"/>
    <x v="21"/>
    <s v="Small Business"/>
    <s v="Marketplace"/>
    <s v="I. Johnson"/>
    <s v="Laptops"/>
    <s v="LAP-9024"/>
    <n v="1373.31"/>
    <s v="High"/>
    <x v="301"/>
    <n v="3154.14"/>
    <n v="0.2"/>
    <n v="11"/>
    <n v="630.82799999999997"/>
    <n v="27756.432000000001"/>
    <n v="27125.603999999999"/>
    <n v="15106.41"/>
    <n v="12650.022000000001"/>
    <n v="12019.194"/>
    <n v="1.8373943246608559"/>
  </r>
  <r>
    <x v="303"/>
    <x v="220"/>
    <d v="2025-05-19T00:00:00"/>
    <d v="2025-05-19T00:00:00"/>
    <d v="2025-05-17T00:00:00"/>
    <n v="-2"/>
    <x v="2"/>
    <x v="6"/>
    <x v="26"/>
    <s v="Small Business"/>
    <s v="Distributor"/>
    <s v="L. Okafor"/>
    <s v="Monitors"/>
    <s v="MON-2993"/>
    <n v="383.77"/>
    <s v="Medium"/>
    <x v="302"/>
    <n v="952.56"/>
    <n v="0.34599999999999997"/>
    <n v="10"/>
    <n v="329.58575999999994"/>
    <n v="6229.7423999999992"/>
    <n v="5900.1566399999992"/>
    <n v="3837.7"/>
    <n v="2392.0423999999994"/>
    <n v="2062.4566399999994"/>
    <n v="1.6233010396852281"/>
  </r>
  <r>
    <x v="304"/>
    <x v="221"/>
    <d v="2024-01-12T00:00:00"/>
    <d v="2024-01-29T00:00:00"/>
    <d v="2024-01-29T00:00:00"/>
    <n v="17"/>
    <x v="0"/>
    <x v="4"/>
    <x v="5"/>
    <s v="Small Business"/>
    <s v="Direct"/>
    <s v="B. Chen"/>
    <s v="Components"/>
    <s v="CMP-5138"/>
    <n v="310.02"/>
    <s v="Medium"/>
    <x v="303"/>
    <n v="619.51"/>
    <n v="4.2000000000000003E-2"/>
    <n v="4"/>
    <n v="26.01942"/>
    <n v="2373.9623200000001"/>
    <n v="2347.9429"/>
    <n v="1240.08"/>
    <n v="1133.8823200000002"/>
    <n v="1107.8629000000001"/>
    <n v="1.9143622346945359"/>
  </r>
  <r>
    <x v="305"/>
    <x v="221"/>
    <d v="2023-06-10T00:00:00"/>
    <d v="2023-06-18T00:00:00"/>
    <d v="2023-06-18T00:00:00"/>
    <n v="8"/>
    <x v="3"/>
    <x v="5"/>
    <x v="9"/>
    <s v="Enterprise"/>
    <s v="Direct"/>
    <s v="H. Kim"/>
    <s v="Phones"/>
    <s v="PHN-2337"/>
    <n v="894.23"/>
    <s v="Medium"/>
    <x v="304"/>
    <n v="1421.55"/>
    <n v="0.109"/>
    <n v="3"/>
    <n v="154.94895"/>
    <n v="3799.8031499999997"/>
    <n v="3644.8541999999998"/>
    <n v="2682.69"/>
    <n v="1117.1131499999997"/>
    <n v="962.16419999999971"/>
    <n v="1.4164152958411145"/>
  </r>
  <r>
    <x v="306"/>
    <x v="222"/>
    <d v="2023-05-07T00:00:00"/>
    <d v="2023-05-29T00:00:00"/>
    <d v="2023-05-29T00:00:00"/>
    <n v="22"/>
    <x v="3"/>
    <x v="11"/>
    <x v="34"/>
    <s v="Education"/>
    <s v="Distributor"/>
    <s v="K. Singh"/>
    <s v="Accessories"/>
    <s v="ACC-2364"/>
    <n v="653.86"/>
    <s v="Medium"/>
    <x v="305"/>
    <n v="931.84"/>
    <n v="0.121"/>
    <n v="12"/>
    <n v="112.75264"/>
    <n v="9829.0483199999999"/>
    <n v="9716.2956799999993"/>
    <n v="7846.32"/>
    <n v="1982.7283200000002"/>
    <n v="1869.9756799999996"/>
    <n v="1.252695317040345"/>
  </r>
  <r>
    <x v="307"/>
    <x v="223"/>
    <d v="2024-09-09T00:00:00"/>
    <d v="2024-10-08T00:00:00"/>
    <d v="2024-10-08T00:00:00"/>
    <n v="29"/>
    <x v="2"/>
    <x v="6"/>
    <x v="26"/>
    <s v="Education"/>
    <s v="Direct"/>
    <s v="J. Njeri"/>
    <s v="Components"/>
    <s v="CMP-3093"/>
    <n v="1010.33"/>
    <s v="High"/>
    <x v="306"/>
    <n v="2492.14"/>
    <n v="5.0999999999999997E-2"/>
    <n v="11"/>
    <n v="127.09913999999999"/>
    <n v="26015.449459999996"/>
    <n v="25888.350319999998"/>
    <n v="11113.630000000001"/>
    <n v="14901.819459999995"/>
    <n v="14774.720319999997"/>
    <n v="2.3408597784882161"/>
  </r>
  <r>
    <x v="308"/>
    <x v="224"/>
    <d v="2024-02-18T00:00:00"/>
    <d v="2024-03-11T00:00:00"/>
    <d v="2024-03-11T00:00:00"/>
    <n v="22"/>
    <x v="2"/>
    <x v="6"/>
    <x v="26"/>
    <s v="Consumer"/>
    <s v="Online"/>
    <s v="A. Patel"/>
    <s v="Components"/>
    <s v="CMP-9801"/>
    <n v="80.48"/>
    <s v="Low"/>
    <x v="307"/>
    <n v="65.650000000000006"/>
    <n v="0.17599999999999999"/>
    <n v="13"/>
    <n v="11.554400000000001"/>
    <n v="703.2428000000001"/>
    <n v="691.68840000000012"/>
    <n v="1046.24"/>
    <n v="-342.99719999999991"/>
    <n v="-354.55159999999989"/>
    <n v="0.67216202783300205"/>
  </r>
  <r>
    <x v="309"/>
    <x v="225"/>
    <d v="2023-02-28T00:00:00"/>
    <d v="2023-02-28T00:00:00"/>
    <d v="2023-02-27T00:00:00"/>
    <n v="-1"/>
    <x v="1"/>
    <x v="8"/>
    <x v="22"/>
    <s v="Corporate"/>
    <s v="Retail"/>
    <s v="K. Singh"/>
    <s v="Networking"/>
    <s v="NET-5195"/>
    <n v="1299.81"/>
    <s v="High"/>
    <x v="308"/>
    <n v="3149.13"/>
    <n v="0.10299999999999999"/>
    <n v="14"/>
    <n v="324.36039"/>
    <n v="39546.774539999999"/>
    <n v="39222.414149999997"/>
    <n v="18197.34"/>
    <n v="21349.434539999998"/>
    <n v="21025.074149999997"/>
    <n v="2.1732173240704409"/>
  </r>
  <r>
    <x v="310"/>
    <x v="226"/>
    <d v="2024-01-02T00:00:00"/>
    <d v="2024-01-02T00:00:00"/>
    <d v="2024-01-01T00:00:00"/>
    <n v="-1"/>
    <x v="2"/>
    <x v="10"/>
    <x v="16"/>
    <s v="Education"/>
    <s v="Marketplace"/>
    <s v="B. Chen"/>
    <s v="Networking"/>
    <s v="NET-4554"/>
    <n v="404.77"/>
    <s v="Low"/>
    <x v="309"/>
    <n v="433.88"/>
    <n v="0.215"/>
    <n v="22"/>
    <n v="93.284199999999998"/>
    <n v="7493.1076000000012"/>
    <n v="7399.8234000000011"/>
    <n v="8904.9399999999987"/>
    <n v="-1411.8323999999975"/>
    <n v="-1505.1165999999976"/>
    <n v="0.84145514736764115"/>
  </r>
  <r>
    <x v="311"/>
    <x v="227"/>
    <d v="2024-05-28T00:00:00"/>
    <d v="2024-06-18T00:00:00"/>
    <d v="2024-06-18T00:00:00"/>
    <n v="21"/>
    <x v="1"/>
    <x v="1"/>
    <x v="2"/>
    <s v="Small Business"/>
    <s v="Online"/>
    <s v="E. Garcia"/>
    <s v="Phones"/>
    <s v="PHN-9399"/>
    <n v="986.85"/>
    <s v="High"/>
    <x v="310"/>
    <n v="2422.1"/>
    <n v="7.5999999999999998E-2"/>
    <n v="10"/>
    <n v="184.0796"/>
    <n v="22380.204000000002"/>
    <n v="22196.124400000001"/>
    <n v="9868.5"/>
    <n v="12511.704000000002"/>
    <n v="12327.624400000001"/>
    <n v="2.2678425292597661"/>
  </r>
  <r>
    <x v="312"/>
    <x v="228"/>
    <d v="2023-03-23T00:00:00"/>
    <d v="2023-04-15T00:00:00"/>
    <d v="2023-04-15T00:00:00"/>
    <n v="23"/>
    <x v="3"/>
    <x v="5"/>
    <x v="20"/>
    <s v="Small Business"/>
    <s v="Retail"/>
    <s v="C. Otieno"/>
    <s v="Accessories"/>
    <s v="ACC-2988"/>
    <n v="875.36"/>
    <s v="Medium"/>
    <x v="311"/>
    <n v="1178.6199999999999"/>
    <n v="0.151"/>
    <n v="53"/>
    <n v="177.97161999999997"/>
    <n v="53034.364139999991"/>
    <n v="52856.392519999994"/>
    <n v="46394.080000000002"/>
    <n v="6640.2841399999888"/>
    <n v="6462.3125199999922"/>
    <n v="1.1431278331200876"/>
  </r>
  <r>
    <x v="313"/>
    <x v="229"/>
    <d v="2023-05-06T00:00:00"/>
    <d v="2023-05-14T00:00:00"/>
    <d v="2023-05-14T00:00:00"/>
    <n v="8"/>
    <x v="0"/>
    <x v="0"/>
    <x v="0"/>
    <s v="Enterprise"/>
    <s v="Marketplace"/>
    <s v="B. Chen"/>
    <s v="Phones"/>
    <s v="PHN-6131"/>
    <n v="291.18"/>
    <s v="Low"/>
    <x v="312"/>
    <n v="479.54"/>
    <n v="0.14099999999999999"/>
    <n v="22"/>
    <n v="67.615139999999997"/>
    <n v="9062.34692"/>
    <n v="8994.7317800000001"/>
    <n v="6405.96"/>
    <n v="2656.3869199999999"/>
    <n v="2588.77178"/>
    <n v="1.4146742908166769"/>
  </r>
  <r>
    <x v="314"/>
    <x v="229"/>
    <d v="2023-11-14T00:00:00"/>
    <d v="2023-11-30T00:00:00"/>
    <d v="2023-11-30T00:00:00"/>
    <n v="16"/>
    <x v="2"/>
    <x v="6"/>
    <x v="26"/>
    <s v="Enterprise"/>
    <s v="Direct"/>
    <s v="K. Singh"/>
    <s v="Networking"/>
    <s v="NET-4104"/>
    <n v="1017.92"/>
    <s v="Medium"/>
    <x v="313"/>
    <n v="1175.25"/>
    <n v="7.4999999999999997E-2"/>
    <n v="15"/>
    <n v="88.143749999999997"/>
    <n v="16306.59375"/>
    <n v="16218.45"/>
    <n v="15268.8"/>
    <n v="1037.7937500000007"/>
    <n v="949.65000000000146"/>
    <n v="1.0679682588022634"/>
  </r>
  <r>
    <x v="315"/>
    <x v="229"/>
    <d v="2025-04-01T00:00:00"/>
    <d v="2025-04-27T00:00:00"/>
    <d v="2025-04-27T00:00:00"/>
    <n v="26"/>
    <x v="2"/>
    <x v="10"/>
    <x v="23"/>
    <s v="Corporate"/>
    <s v="Direct"/>
    <s v="I. Johnson"/>
    <s v="Monitors"/>
    <s v="MON-9319"/>
    <n v="156.55000000000001"/>
    <s v="Low"/>
    <x v="314"/>
    <n v="227.45"/>
    <n v="1.4E-2"/>
    <n v="13"/>
    <n v="3.1842999999999999"/>
    <n v="2915.4540999999999"/>
    <n v="2912.2698"/>
    <n v="2035.15"/>
    <n v="880.30409999999983"/>
    <n v="877.11979999999994"/>
    <n v="1.432549984030661"/>
  </r>
  <r>
    <x v="316"/>
    <x v="230"/>
    <d v="2025-06-01T00:00:00"/>
    <d v="2025-06-06T00:00:00"/>
    <d v="2025-06-06T00:00:00"/>
    <n v="5"/>
    <x v="1"/>
    <x v="8"/>
    <x v="11"/>
    <s v="Consumer"/>
    <s v="Distributor"/>
    <s v="G. Dubois"/>
    <s v="Components"/>
    <s v="CMP-4093"/>
    <n v="379.45"/>
    <s v="Medium"/>
    <x v="315"/>
    <n v="742.23"/>
    <n v="0.09"/>
    <n v="13"/>
    <n v="66.800700000000006"/>
    <n v="8780.5809000000008"/>
    <n v="8713.7802000000011"/>
    <n v="4932.8499999999995"/>
    <n v="3847.7309000000014"/>
    <n v="3780.9302000000016"/>
    <n v="1.7800218737646598"/>
  </r>
  <r>
    <x v="317"/>
    <x v="231"/>
    <d v="2024-06-08T00:00:00"/>
    <d v="2024-06-24T00:00:00"/>
    <d v="2024-06-24T00:00:00"/>
    <n v="16"/>
    <x v="3"/>
    <x v="11"/>
    <x v="34"/>
    <s v="Education"/>
    <s v="Distributor"/>
    <s v="H. Kim"/>
    <s v="Monitors"/>
    <s v="MON-1389"/>
    <n v="597.85"/>
    <s v="Medium"/>
    <x v="316"/>
    <n v="741.92"/>
    <n v="3.1E-2"/>
    <n v="7"/>
    <n v="22.999519999999997"/>
    <n v="5032.4433599999993"/>
    <n v="5009.443839999999"/>
    <n v="4184.95"/>
    <n v="847.49335999999948"/>
    <n v="824.49383999999918"/>
    <n v="1.2025097934264446"/>
  </r>
  <r>
    <x v="318"/>
    <x v="232"/>
    <d v="2024-11-04T00:00:00"/>
    <d v="2024-11-05T00:00:00"/>
    <d v="2024-11-05T00:00:00"/>
    <n v="1"/>
    <x v="1"/>
    <x v="7"/>
    <x v="10"/>
    <s v="Corporate"/>
    <s v="Retail"/>
    <s v="M. Rossi"/>
    <s v="Printers"/>
    <s v="PRN-2293"/>
    <n v="840.68"/>
    <s v="Medium"/>
    <x v="317"/>
    <n v="1493.53"/>
    <n v="0"/>
    <n v="27"/>
    <n v="0"/>
    <n v="40325.31"/>
    <n v="40325.31"/>
    <n v="22698.359999999997"/>
    <n v="17626.95"/>
    <n v="17626.95"/>
    <n v="1.7765737260313081"/>
  </r>
  <r>
    <x v="319"/>
    <x v="233"/>
    <d v="2023-06-24T00:00:00"/>
    <d v="2023-06-24T00:00:00"/>
    <d v="2023-06-22T00:00:00"/>
    <n v="-2"/>
    <x v="2"/>
    <x v="2"/>
    <x v="21"/>
    <s v="Non-Profit"/>
    <s v="Retail"/>
    <s v="M. Rossi"/>
    <s v="Accessories"/>
    <s v="ACC-2903"/>
    <n v="471.42"/>
    <s v="Medium"/>
    <x v="318"/>
    <n v="824.81"/>
    <n v="8.7999999999999995E-2"/>
    <n v="15"/>
    <n v="72.583279999999988"/>
    <n v="11283.400799999999"/>
    <n v="11210.817519999999"/>
    <n v="7071.3"/>
    <n v="4212.1007999999993"/>
    <n v="4139.5175199999985"/>
    <n v="1.5956614483899707"/>
  </r>
  <r>
    <x v="320"/>
    <x v="234"/>
    <d v="2023-01-10T00:00:00"/>
    <d v="2023-01-29T00:00:00"/>
    <d v="2023-01-29T00:00:00"/>
    <n v="19"/>
    <x v="1"/>
    <x v="8"/>
    <x v="24"/>
    <s v="Non-Profit"/>
    <s v="Direct"/>
    <s v="D. Smith"/>
    <s v="Laptops"/>
    <s v="LAP-4551"/>
    <n v="401.66"/>
    <s v="Medium"/>
    <x v="319"/>
    <n v="772.09"/>
    <n v="8.8999999999999996E-2"/>
    <n v="14"/>
    <n v="68.716009999999997"/>
    <n v="9847.2358600000007"/>
    <n v="9778.5198500000006"/>
    <n v="5623.2400000000007"/>
    <n v="4223.99586"/>
    <n v="4155.2798499999999"/>
    <n v="1.7511676293382461"/>
  </r>
  <r>
    <x v="321"/>
    <x v="234"/>
    <d v="2024-12-29T00:00:00"/>
    <d v="2025-01-12T00:00:00"/>
    <d v="2025-01-12T00:00:00"/>
    <n v="14"/>
    <x v="1"/>
    <x v="7"/>
    <x v="12"/>
    <s v="Corporate"/>
    <s v="Direct"/>
    <s v="B. Chen"/>
    <s v="Monitors"/>
    <s v="MON-6310"/>
    <n v="1399.72"/>
    <s v="High"/>
    <x v="320"/>
    <n v="3149.21"/>
    <n v="0.185"/>
    <n v="12"/>
    <n v="582.60384999999997"/>
    <n v="30799.273800000003"/>
    <n v="30216.669950000003"/>
    <n v="16796.64"/>
    <n v="14002.633800000003"/>
    <n v="13420.029950000004"/>
    <n v="1.8336568385105594"/>
  </r>
  <r>
    <x v="322"/>
    <x v="234"/>
    <d v="2024-05-23T00:00:00"/>
    <d v="2024-06-06T00:00:00"/>
    <d v="2024-06-06T00:00:00"/>
    <n v="14"/>
    <x v="2"/>
    <x v="6"/>
    <x v="8"/>
    <s v="Non-Profit"/>
    <s v="Online"/>
    <s v="I. Johnson"/>
    <s v="Networking"/>
    <s v="NET-1166"/>
    <n v="51.13"/>
    <s v="Low"/>
    <x v="321"/>
    <n v="57.53"/>
    <n v="4.4999999999999998E-2"/>
    <n v="16"/>
    <n v="2.5888499999999999"/>
    <n v="879.05840000000001"/>
    <n v="876.46955000000003"/>
    <n v="818.08"/>
    <n v="60.978399999999965"/>
    <n v="58.389549999999986"/>
    <n v="1.074538431449247"/>
  </r>
  <r>
    <x v="323"/>
    <x v="235"/>
    <d v="2025-01-22T00:00:00"/>
    <d v="2025-02-04T00:00:00"/>
    <d v="2025-02-04T00:00:00"/>
    <n v="13"/>
    <x v="0"/>
    <x v="0"/>
    <x v="14"/>
    <s v="Small Business"/>
    <s v="Distributor"/>
    <s v="L. Okafor"/>
    <s v="Printers"/>
    <s v="PRN-2991"/>
    <n v="122.29"/>
    <s v="Low"/>
    <x v="322"/>
    <n v="224.95"/>
    <n v="0.153"/>
    <n v="28"/>
    <n v="34.417349999999999"/>
    <n v="5334.9141999999993"/>
    <n v="5300.4968499999995"/>
    <n v="3424.1200000000003"/>
    <n v="1910.7941999999989"/>
    <n v="1876.3768499999992"/>
    <n v="1.5580394962793356"/>
  </r>
  <r>
    <x v="324"/>
    <x v="236"/>
    <d v="2025-03-25T00:00:00"/>
    <d v="2025-03-26T00:00:00"/>
    <d v="2025-03-26T00:00:00"/>
    <n v="1"/>
    <x v="3"/>
    <x v="9"/>
    <x v="36"/>
    <s v="Education"/>
    <s v="Distributor"/>
    <s v="G. Dubois"/>
    <s v="Accessories"/>
    <s v="ACC-9533"/>
    <n v="1450.43"/>
    <s v="High"/>
    <x v="323"/>
    <n v="1994.67"/>
    <n v="0.1"/>
    <n v="24"/>
    <n v="199.46700000000001"/>
    <n v="43084.872000000003"/>
    <n v="42885.405000000006"/>
    <n v="34810.32"/>
    <n v="8274.5520000000033"/>
    <n v="8075.0850000000064"/>
    <n v="1.237703991230187"/>
  </r>
  <r>
    <x v="325"/>
    <x v="236"/>
    <d v="2025-05-18T00:00:00"/>
    <d v="2025-06-09T00:00:00"/>
    <d v="2025-06-09T00:00:00"/>
    <n v="22"/>
    <x v="2"/>
    <x v="10"/>
    <x v="27"/>
    <s v="Consumer"/>
    <s v="Retail"/>
    <s v="H. Kim"/>
    <s v="Networking"/>
    <s v="NET-3749"/>
    <n v="382.96"/>
    <s v="Medium"/>
    <x v="324"/>
    <n v="552.84"/>
    <n v="0.17599999999999999"/>
    <n v="8"/>
    <n v="97.299840000000003"/>
    <n v="3644.3212800000006"/>
    <n v="3547.0214400000004"/>
    <n v="3063.68"/>
    <n v="580.64128000000073"/>
    <n v="483.3414400000006"/>
    <n v="1.1895241278462505"/>
  </r>
  <r>
    <x v="326"/>
    <x v="237"/>
    <d v="2025-04-09T00:00:00"/>
    <d v="2025-04-12T00:00:00"/>
    <d v="2025-04-12T00:00:00"/>
    <n v="3"/>
    <x v="1"/>
    <x v="8"/>
    <x v="24"/>
    <s v="Small Business"/>
    <s v="Distributor"/>
    <s v="H. Kim"/>
    <s v="Monitors"/>
    <s v="MON-5276"/>
    <n v="86.68"/>
    <s v="Low"/>
    <x v="325"/>
    <n v="213.32"/>
    <n v="3.7999999999999999E-2"/>
    <n v="8"/>
    <n v="8.1061599999999991"/>
    <n v="1641.7107199999998"/>
    <n v="1633.6045599999998"/>
    <n v="693.44"/>
    <n v="948.27071999999976"/>
    <n v="940.16455999999971"/>
    <n v="2.367487771112136"/>
  </r>
  <r>
    <x v="327"/>
    <x v="238"/>
    <d v="2025-06-22T00:00:00"/>
    <d v="2025-07-08T00:00:00"/>
    <d v="2025-07-08T00:00:00"/>
    <n v="16"/>
    <x v="1"/>
    <x v="7"/>
    <x v="10"/>
    <s v="Education"/>
    <s v="Direct"/>
    <s v="A. Patel"/>
    <s v="Phones"/>
    <s v="PHN-5316"/>
    <n v="892.73"/>
    <s v="Medium"/>
    <x v="326"/>
    <n v="979.84"/>
    <n v="0.17399999999999999"/>
    <n v="10"/>
    <n v="170.49215999999998"/>
    <n v="8093.4784"/>
    <n v="7922.9862400000002"/>
    <n v="8927.2999999999993"/>
    <n v="-833.82159999999931"/>
    <n v="-1004.3137599999991"/>
    <n v="0.90659868045209646"/>
  </r>
  <r>
    <x v="328"/>
    <x v="238"/>
    <d v="2024-06-19T00:00:00"/>
    <d v="2024-06-20T00:00:00"/>
    <d v="2024-06-20T00:00:00"/>
    <n v="1"/>
    <x v="3"/>
    <x v="5"/>
    <x v="15"/>
    <s v="Small Business"/>
    <s v="Direct"/>
    <s v="J. Njeri"/>
    <s v="Laptops"/>
    <s v="LAP-4607"/>
    <n v="231.63"/>
    <s v="Low"/>
    <x v="327"/>
    <n v="537.39"/>
    <n v="0.08"/>
    <n v="12"/>
    <n v="42.991199999999999"/>
    <n v="5932.7856000000002"/>
    <n v="5889.7943999999998"/>
    <n v="2779.56"/>
    <n v="3153.2256000000002"/>
    <n v="3110.2343999999998"/>
    <n v="2.1344333635539439"/>
  </r>
  <r>
    <x v="329"/>
    <x v="239"/>
    <d v="2023-07-18T00:00:00"/>
    <d v="2023-07-22T00:00:00"/>
    <d v="2023-07-22T00:00:00"/>
    <n v="4"/>
    <x v="2"/>
    <x v="6"/>
    <x v="26"/>
    <s v="Consumer"/>
    <s v="Direct"/>
    <s v="F. Müller"/>
    <s v="Networking"/>
    <s v="NET-1699"/>
    <n v="1269.55"/>
    <s v="High"/>
    <x v="328"/>
    <n v="2071.1"/>
    <n v="0.129"/>
    <n v="22"/>
    <n v="267.17189999999999"/>
    <n v="39686.4182"/>
    <n v="39419.246299999999"/>
    <n v="27930.1"/>
    <n v="11756.318200000002"/>
    <n v="11489.1463"/>
    <n v="1.4209193021149227"/>
  </r>
  <r>
    <x v="330"/>
    <x v="240"/>
    <d v="2023-10-05T00:00:00"/>
    <d v="2023-10-31T00:00:00"/>
    <d v="2023-10-31T00:00:00"/>
    <n v="26"/>
    <x v="0"/>
    <x v="3"/>
    <x v="4"/>
    <s v="Consumer"/>
    <s v="Marketplace"/>
    <s v="J. Njeri"/>
    <s v="Printers"/>
    <s v="PRN-6520"/>
    <n v="649.91"/>
    <s v="Medium"/>
    <x v="329"/>
    <n v="1360.12"/>
    <n v="0.19400000000000001"/>
    <n v="9"/>
    <n v="263.86327999999997"/>
    <n v="9866.3104799999983"/>
    <n v="9602.4471999999987"/>
    <n v="5849.19"/>
    <n v="4017.1204799999987"/>
    <n v="3753.2571999999991"/>
    <n v="1.6867823544798508"/>
  </r>
  <r>
    <x v="331"/>
    <x v="241"/>
    <d v="2025-05-10T00:00:00"/>
    <d v="2025-05-27T00:00:00"/>
    <d v="2025-05-27T00:00:00"/>
    <n v="17"/>
    <x v="2"/>
    <x v="2"/>
    <x v="3"/>
    <s v="Education"/>
    <s v="Direct"/>
    <s v="C. Otieno"/>
    <s v="Components"/>
    <s v="CMP-9307"/>
    <n v="862.89"/>
    <s v="Medium"/>
    <x v="330"/>
    <n v="1426.03"/>
    <n v="5.6000000000000001E-2"/>
    <n v="19"/>
    <n v="79.857680000000002"/>
    <n v="25577.274079999999"/>
    <n v="25497.416399999998"/>
    <n v="16394.91"/>
    <n v="9182.3640799999994"/>
    <n v="9102.5063999999984"/>
    <n v="1.560074076649399"/>
  </r>
  <r>
    <x v="332"/>
    <x v="242"/>
    <d v="2025-01-22T00:00:00"/>
    <d v="2025-01-22T00:00:00"/>
    <d v="2025-01-22T00:00:00"/>
    <n v="0"/>
    <x v="1"/>
    <x v="8"/>
    <x v="24"/>
    <s v="Small Business"/>
    <s v="Online"/>
    <s v="B. Chen"/>
    <s v="Accessories"/>
    <s v="ACC-5422"/>
    <n v="591.72"/>
    <s v="Medium"/>
    <x v="331"/>
    <n v="577.24"/>
    <n v="0"/>
    <n v="22"/>
    <n v="0"/>
    <n v="12699.28"/>
    <n v="12699.28"/>
    <n v="13017.84"/>
    <n v="-318.55999999999949"/>
    <n v="-318.55999999999949"/>
    <n v="0.97552896640302855"/>
  </r>
  <r>
    <x v="333"/>
    <x v="243"/>
    <d v="2023-06-20T00:00:00"/>
    <d v="2023-07-08T00:00:00"/>
    <d v="2023-07-08T00:00:00"/>
    <n v="18"/>
    <x v="2"/>
    <x v="10"/>
    <x v="17"/>
    <s v="Non-Profit"/>
    <s v="Direct"/>
    <s v="F. Müller"/>
    <s v="Monitors"/>
    <s v="MON-4326"/>
    <n v="337"/>
    <s v="Low"/>
    <x v="332"/>
    <n v="511.03"/>
    <n v="0.108"/>
    <n v="7"/>
    <n v="55.191239999999993"/>
    <n v="3190.8713200000002"/>
    <n v="3135.6800800000001"/>
    <n v="2359"/>
    <n v="831.8713200000002"/>
    <n v="776.68008000000009"/>
    <n v="1.3526372700296736"/>
  </r>
  <r>
    <x v="334"/>
    <x v="243"/>
    <d v="2024-03-26T00:00:00"/>
    <d v="2024-04-05T00:00:00"/>
    <d v="2024-04-05T00:00:00"/>
    <n v="10"/>
    <x v="2"/>
    <x v="10"/>
    <x v="17"/>
    <s v="Consumer"/>
    <s v="Direct"/>
    <s v="J. Njeri"/>
    <s v="Monitors"/>
    <s v="MON-5444"/>
    <n v="5.66"/>
    <s v="Low"/>
    <x v="333"/>
    <n v="4.22"/>
    <n v="0.11899999999999999"/>
    <n v="18"/>
    <n v="0.50217999999999996"/>
    <n v="66.920760000000001"/>
    <n v="66.418580000000006"/>
    <n v="101.88"/>
    <n v="-34.959239999999994"/>
    <n v="-35.46141999999999"/>
    <n v="0.65685865724381631"/>
  </r>
  <r>
    <x v="335"/>
    <x v="244"/>
    <d v="2024-03-02T00:00:00"/>
    <d v="2024-03-16T00:00:00"/>
    <d v="2024-03-16T00:00:00"/>
    <n v="14"/>
    <x v="2"/>
    <x v="2"/>
    <x v="3"/>
    <s v="Non-Profit"/>
    <s v="Direct"/>
    <s v="O. Wang"/>
    <s v="Printers"/>
    <s v="PRN-7976"/>
    <n v="248.24"/>
    <s v="Low"/>
    <x v="334"/>
    <n v="464.05"/>
    <n v="0.16900000000000001"/>
    <n v="11"/>
    <n v="78.424450000000007"/>
    <n v="4241.88105"/>
    <n v="4163.4565999999995"/>
    <n v="2730.6400000000003"/>
    <n v="1511.2410499999996"/>
    <n v="1432.8165999999992"/>
    <n v="1.5534384063809215"/>
  </r>
  <r>
    <x v="336"/>
    <x v="245"/>
    <d v="2025-06-01T00:00:00"/>
    <d v="2025-06-27T00:00:00"/>
    <d v="2025-06-27T00:00:00"/>
    <n v="26"/>
    <x v="1"/>
    <x v="1"/>
    <x v="32"/>
    <s v="Consumer"/>
    <s v="Distributor"/>
    <s v="E. Garcia"/>
    <s v="Laptops"/>
    <s v="LAP-1619"/>
    <n v="1362.31"/>
    <s v="High"/>
    <x v="335"/>
    <n v="3294.57"/>
    <n v="0.113"/>
    <n v="7"/>
    <n v="372.28641000000005"/>
    <n v="20455.985130000001"/>
    <n v="20083.69872"/>
    <n v="9536.17"/>
    <n v="10919.815130000001"/>
    <n v="10547.52872"/>
    <n v="2.1450944278468191"/>
  </r>
  <r>
    <x v="337"/>
    <x v="246"/>
    <d v="2025-04-11T00:00:00"/>
    <d v="2025-05-04T00:00:00"/>
    <d v="2025-05-04T00:00:00"/>
    <n v="23"/>
    <x v="0"/>
    <x v="0"/>
    <x v="0"/>
    <s v="Small Business"/>
    <s v="Online"/>
    <s v="M. Rossi"/>
    <s v="Components"/>
    <s v="CMP-3743"/>
    <n v="786.2"/>
    <s v="Medium"/>
    <x v="336"/>
    <n v="1075.3"/>
    <n v="0.08"/>
    <n v="9"/>
    <n v="86.024000000000001"/>
    <n v="8903.4839999999986"/>
    <n v="8817.4599999999991"/>
    <n v="7075.8"/>
    <n v="1827.6839999999984"/>
    <n v="1741.6599999999989"/>
    <n v="1.2583006868481299"/>
  </r>
  <r>
    <x v="338"/>
    <x v="247"/>
    <d v="2023-08-23T00:00:00"/>
    <d v="2023-09-22T00:00:00"/>
    <d v="2023-09-22T00:00:00"/>
    <n v="30"/>
    <x v="1"/>
    <x v="7"/>
    <x v="10"/>
    <s v="Consumer"/>
    <s v="Distributor"/>
    <s v="O. Wang"/>
    <s v="Accessories"/>
    <s v="ACC-1492"/>
    <n v="209.81"/>
    <s v="Low"/>
    <x v="337"/>
    <n v="523"/>
    <n v="5.8999999999999997E-2"/>
    <n v="15"/>
    <n v="30.856999999999999"/>
    <n v="7382.1450000000004"/>
    <n v="7351.2880000000005"/>
    <n v="3147.15"/>
    <n v="4234.9950000000008"/>
    <n v="4204.1380000000008"/>
    <n v="2.3456603593727658"/>
  </r>
  <r>
    <x v="339"/>
    <x v="248"/>
    <d v="2023-10-21T00:00:00"/>
    <d v="2023-11-09T00:00:00"/>
    <d v="2023-11-09T00:00:00"/>
    <n v="19"/>
    <x v="1"/>
    <x v="7"/>
    <x v="10"/>
    <s v="Non-Profit"/>
    <s v="Direct"/>
    <s v="A. Patel"/>
    <s v="Accessories"/>
    <s v="ACC-8557"/>
    <n v="1142.48"/>
    <s v="High"/>
    <x v="338"/>
    <n v="2105.5300000000002"/>
    <n v="0.20699999999999999"/>
    <n v="14"/>
    <n v="435.84471000000002"/>
    <n v="23375.594060000003"/>
    <n v="22939.749350000002"/>
    <n v="15994.720000000001"/>
    <n v="7380.8740600000019"/>
    <n v="6945.0293500000007"/>
    <n v="1.4614569095301451"/>
  </r>
  <r>
    <x v="340"/>
    <x v="249"/>
    <d v="2025-08-28T00:00:00"/>
    <d v="2025-08-28T00:00:00"/>
    <d v="2025-08-26T00:00:00"/>
    <n v="-2"/>
    <x v="3"/>
    <x v="9"/>
    <x v="13"/>
    <s v="Small Business"/>
    <s v="Retail"/>
    <s v="A. Patel"/>
    <s v="Accessories"/>
    <s v="ACC-4483"/>
    <n v="521.05999999999995"/>
    <s v="Medium"/>
    <x v="339"/>
    <n v="1240.31"/>
    <n v="0.14599999999999999"/>
    <n v="18"/>
    <n v="181.08525999999998"/>
    <n v="19066.045319999997"/>
    <n v="18884.960059999998"/>
    <n v="9379.0799999999981"/>
    <n v="9686.9653199999993"/>
    <n v="9505.8800599999995"/>
    <n v="2.0328268145702992"/>
  </r>
  <r>
    <x v="341"/>
    <x v="249"/>
    <d v="2025-03-30T00:00:00"/>
    <d v="2025-04-07T00:00:00"/>
    <d v="2025-04-07T00:00:00"/>
    <n v="8"/>
    <x v="2"/>
    <x v="6"/>
    <x v="26"/>
    <s v="Non-Profit"/>
    <s v="Direct"/>
    <s v="L. Okafor"/>
    <s v="Printers"/>
    <s v="PRN-8763"/>
    <n v="71.62"/>
    <s v="Low"/>
    <x v="340"/>
    <n v="118.37"/>
    <n v="0.156"/>
    <n v="11"/>
    <n v="18.465720000000001"/>
    <n v="1098.9470800000001"/>
    <n v="1080.4813600000002"/>
    <n v="787.82"/>
    <n v="311.12708000000009"/>
    <n v="292.66136000000017"/>
    <n v="1.3949215302987994"/>
  </r>
  <r>
    <x v="342"/>
    <x v="250"/>
    <d v="2023-07-18T00:00:00"/>
    <d v="2023-08-10T00:00:00"/>
    <d v="2023-08-10T00:00:00"/>
    <n v="23"/>
    <x v="3"/>
    <x v="11"/>
    <x v="19"/>
    <s v="Small Business"/>
    <s v="Retail"/>
    <s v="L. Okafor"/>
    <s v="Components"/>
    <s v="CMP-8659"/>
    <n v="1271.56"/>
    <s v="Medium"/>
    <x v="341"/>
    <n v="995.47"/>
    <n v="0.192"/>
    <n v="13"/>
    <n v="191.13024000000001"/>
    <n v="10456.416880000001"/>
    <n v="10265.28664"/>
    <n v="16530.28"/>
    <n v="-6073.8631199999982"/>
    <n v="-6264.9933599999986"/>
    <n v="0.63256138915977234"/>
  </r>
  <r>
    <x v="343"/>
    <x v="251"/>
    <d v="2024-09-07T00:00:00"/>
    <d v="2024-09-07T00:00:00"/>
    <d v="2024-09-07T00:00:00"/>
    <n v="0"/>
    <x v="0"/>
    <x v="4"/>
    <x v="30"/>
    <s v="Education"/>
    <s v="Distributor"/>
    <s v="B. Chen"/>
    <s v="Networking"/>
    <s v="NET-9835"/>
    <n v="1066.6500000000001"/>
    <s v="High"/>
    <x v="342"/>
    <n v="2569.77"/>
    <n v="0.13400000000000001"/>
    <n v="9"/>
    <n v="344.34917999999999"/>
    <n v="20028.787380000002"/>
    <n v="19684.438200000001"/>
    <n v="9599.85"/>
    <n v="10428.937380000001"/>
    <n v="10084.5882"/>
    <n v="2.0863646181971593"/>
  </r>
  <r>
    <x v="344"/>
    <x v="251"/>
    <d v="2024-01-28T00:00:00"/>
    <d v="2024-01-30T00:00:00"/>
    <d v="2024-01-30T00:00:00"/>
    <n v="2"/>
    <x v="3"/>
    <x v="11"/>
    <x v="18"/>
    <s v="Consumer"/>
    <s v="Direct"/>
    <s v="F. Müller"/>
    <s v="Accessories"/>
    <s v="ACC-6223"/>
    <n v="798.45"/>
    <s v="Medium"/>
    <x v="343"/>
    <n v="1592.02"/>
    <n v="6.6000000000000003E-2"/>
    <n v="18"/>
    <n v="105.07332000000001"/>
    <n v="26765.040239999998"/>
    <n v="26659.966919999999"/>
    <n v="14372.1"/>
    <n v="12392.940239999998"/>
    <n v="12287.866919999999"/>
    <n v="1.8622915398584756"/>
  </r>
  <r>
    <x v="345"/>
    <x v="252"/>
    <d v="2025-04-04T00:00:00"/>
    <d v="2025-04-13T00:00:00"/>
    <d v="2025-04-13T00:00:00"/>
    <n v="9"/>
    <x v="1"/>
    <x v="1"/>
    <x v="32"/>
    <s v="Consumer"/>
    <s v="Marketplace"/>
    <s v="F. Müller"/>
    <s v="Phones"/>
    <s v="PHN-3803"/>
    <n v="7.02"/>
    <s v="Low"/>
    <x v="344"/>
    <n v="6.28"/>
    <n v="0.13400000000000001"/>
    <n v="14"/>
    <n v="0.84152000000000005"/>
    <n v="76.138720000000006"/>
    <n v="75.297200000000004"/>
    <n v="98.28"/>
    <n v="-22.141279999999995"/>
    <n v="-22.982799999999997"/>
    <n v="0.77471225071225081"/>
  </r>
  <r>
    <x v="346"/>
    <x v="253"/>
    <d v="2023-06-24T00:00:00"/>
    <d v="2023-07-21T00:00:00"/>
    <d v="2023-07-21T00:00:00"/>
    <n v="27"/>
    <x v="0"/>
    <x v="0"/>
    <x v="1"/>
    <s v="Consumer"/>
    <s v="Marketplace"/>
    <s v="J. Njeri"/>
    <s v="Phones"/>
    <s v="PHN-6818"/>
    <n v="554.76"/>
    <s v="Medium"/>
    <x v="345"/>
    <n v="728.69"/>
    <n v="0.22"/>
    <n v="7"/>
    <n v="160.31180000000001"/>
    <n v="3978.6474000000003"/>
    <n v="3818.3356000000003"/>
    <n v="3883.3199999999997"/>
    <n v="95.32740000000058"/>
    <n v="-64.984399999999368"/>
    <n v="1.024547912610859"/>
  </r>
  <r>
    <x v="347"/>
    <x v="254"/>
    <d v="2023-08-15T00:00:00"/>
    <d v="2023-08-25T00:00:00"/>
    <d v="2023-08-25T00:00:00"/>
    <n v="10"/>
    <x v="3"/>
    <x v="5"/>
    <x v="7"/>
    <s v="Small Business"/>
    <s v="Retail"/>
    <s v="N. Brown"/>
    <s v="Phones"/>
    <s v="PHN-1234"/>
    <n v="91.85"/>
    <s v="Low"/>
    <x v="346"/>
    <n v="111.29"/>
    <n v="0"/>
    <n v="6"/>
    <n v="0"/>
    <n v="667.74"/>
    <n v="667.74"/>
    <n v="551.09999999999991"/>
    <n v="116.6400000000001"/>
    <n v="116.6400000000001"/>
    <n v="1.2116494284158956"/>
  </r>
  <r>
    <x v="348"/>
    <x v="254"/>
    <d v="2025-05-17T00:00:00"/>
    <d v="2025-05-28T00:00:00"/>
    <d v="2025-05-28T00:00:00"/>
    <n v="11"/>
    <x v="0"/>
    <x v="4"/>
    <x v="31"/>
    <s v="Corporate"/>
    <s v="Distributor"/>
    <s v="B. Chen"/>
    <s v="Laptops"/>
    <s v="LAP-9016"/>
    <n v="623.4"/>
    <s v="Medium"/>
    <x v="347"/>
    <n v="1100.0899999999999"/>
    <n v="0.114"/>
    <n v="12"/>
    <n v="125.41025999999999"/>
    <n v="11696.156879999999"/>
    <n v="11570.746619999998"/>
    <n v="7480.7999999999993"/>
    <n v="4215.3568799999994"/>
    <n v="4089.9466199999988"/>
    <n v="1.5634901187038819"/>
  </r>
  <r>
    <x v="349"/>
    <x v="254"/>
    <d v="2024-01-13T00:00:00"/>
    <d v="2024-02-05T00:00:00"/>
    <d v="2024-02-05T00:00:00"/>
    <n v="23"/>
    <x v="1"/>
    <x v="1"/>
    <x v="2"/>
    <s v="Education"/>
    <s v="Direct"/>
    <s v="B. Chen"/>
    <s v="Laptops"/>
    <s v="LAP-9931"/>
    <n v="1017.93"/>
    <s v="Medium"/>
    <x v="348"/>
    <n v="1529.14"/>
    <n v="0.155"/>
    <n v="12"/>
    <n v="237.01670000000001"/>
    <n v="15505.479600000001"/>
    <n v="15268.4629"/>
    <n v="12215.16"/>
    <n v="3290.3196000000007"/>
    <n v="3053.3029000000006"/>
    <n v="1.2693636104643737"/>
  </r>
  <r>
    <x v="350"/>
    <x v="255"/>
    <d v="2023-06-15T00:00:00"/>
    <d v="2023-06-23T00:00:00"/>
    <d v="2023-06-23T00:00:00"/>
    <n v="8"/>
    <x v="2"/>
    <x v="10"/>
    <x v="23"/>
    <s v="Consumer"/>
    <s v="Distributor"/>
    <s v="O. Wang"/>
    <s v="Monitors"/>
    <s v="MON-5424"/>
    <n v="1097.0899999999999"/>
    <s v="High"/>
    <x v="349"/>
    <n v="2182.31"/>
    <n v="0.112"/>
    <n v="9"/>
    <n v="244.41872000000001"/>
    <n v="17441.021520000002"/>
    <n v="17196.602800000001"/>
    <n v="9873.81"/>
    <n v="7567.2115200000026"/>
    <n v="7322.7928000000011"/>
    <n v="1.766392255876911"/>
  </r>
  <r>
    <x v="351"/>
    <x v="255"/>
    <d v="2025-03-14T00:00:00"/>
    <d v="2025-03-29T00:00:00"/>
    <d v="2025-03-29T00:00:00"/>
    <n v="15"/>
    <x v="0"/>
    <x v="0"/>
    <x v="14"/>
    <s v="Non-Profit"/>
    <s v="Direct"/>
    <s v="H. Kim"/>
    <s v="Networking"/>
    <s v="NET-8430"/>
    <n v="1106.96"/>
    <s v="High"/>
    <x v="350"/>
    <n v="2726.62"/>
    <n v="0.317"/>
    <n v="7"/>
    <n v="864.33853999999997"/>
    <n v="13035.970220000001"/>
    <n v="12171.63168"/>
    <n v="7748.72"/>
    <n v="5287.2502200000008"/>
    <n v="4422.9116800000002"/>
    <n v="1.6823385307508854"/>
  </r>
  <r>
    <x v="352"/>
    <x v="256"/>
    <d v="2023-10-30T00:00:00"/>
    <d v="2023-11-14T00:00:00"/>
    <d v="2023-11-14T00:00:00"/>
    <n v="15"/>
    <x v="0"/>
    <x v="4"/>
    <x v="31"/>
    <s v="Corporate"/>
    <s v="Online"/>
    <s v="F. Müller"/>
    <s v="Laptops"/>
    <s v="LAP-2378"/>
    <n v="953.46"/>
    <s v="High"/>
    <x v="351"/>
    <n v="2066.75"/>
    <n v="0.13800000000000001"/>
    <n v="5"/>
    <n v="285.2115"/>
    <n v="8907.6924999999992"/>
    <n v="8622.4809999999998"/>
    <n v="4767.3"/>
    <n v="4140.392499999999"/>
    <n v="3855.1809999999996"/>
    <n v="1.8684984162943383"/>
  </r>
  <r>
    <x v="353"/>
    <x v="257"/>
    <d v="2025-06-24T00:00:00"/>
    <d v="2025-07-14T00:00:00"/>
    <d v="2025-07-14T00:00:00"/>
    <n v="20"/>
    <x v="1"/>
    <x v="1"/>
    <x v="33"/>
    <s v="Corporate"/>
    <s v="Direct"/>
    <s v="O. Wang"/>
    <s v="Accessories"/>
    <s v="ACC-8094"/>
    <n v="385.08"/>
    <s v="Medium"/>
    <x v="352"/>
    <n v="893.19"/>
    <n v="0.151"/>
    <n v="8"/>
    <n v="134.87169"/>
    <n v="6066.54648"/>
    <n v="5931.67479"/>
    <n v="3080.64"/>
    <n v="2985.9064800000001"/>
    <n v="2851.0347900000002"/>
    <n v="1.969248753505765"/>
  </r>
  <r>
    <x v="354"/>
    <x v="257"/>
    <d v="2024-06-16T00:00:00"/>
    <d v="2024-07-03T00:00:00"/>
    <d v="2024-07-03T00:00:00"/>
    <n v="17"/>
    <x v="3"/>
    <x v="11"/>
    <x v="19"/>
    <s v="Enterprise"/>
    <s v="Marketplace"/>
    <s v="F. Müller"/>
    <s v="Phones"/>
    <s v="PHN-6832"/>
    <n v="1173.83"/>
    <s v="High"/>
    <x v="353"/>
    <n v="2328.9"/>
    <n v="0.12"/>
    <n v="17"/>
    <n v="279.46800000000002"/>
    <n v="34840.344000000005"/>
    <n v="34560.876000000004"/>
    <n v="19955.11"/>
    <n v="14885.234000000004"/>
    <n v="14605.766000000003"/>
    <n v="1.7459359532470633"/>
  </r>
  <r>
    <x v="355"/>
    <x v="258"/>
    <d v="2024-03-27T00:00:00"/>
    <d v="2024-04-11T00:00:00"/>
    <d v="2024-04-11T00:00:00"/>
    <n v="15"/>
    <x v="2"/>
    <x v="10"/>
    <x v="23"/>
    <s v="Small Business"/>
    <s v="Direct"/>
    <s v="O. Wang"/>
    <s v="Networking"/>
    <s v="NET-5523"/>
    <n v="1338.35"/>
    <s v="High"/>
    <x v="354"/>
    <n v="2247.14"/>
    <n v="0.115"/>
    <n v="40"/>
    <n v="258.42110000000002"/>
    <n v="79548.755999999994"/>
    <n v="79290.334899999987"/>
    <n v="53534"/>
    <n v="26014.755999999994"/>
    <n v="25756.334899999987"/>
    <n v="1.4859482945417863"/>
  </r>
  <r>
    <x v="356"/>
    <x v="259"/>
    <d v="2024-01-25T00:00:00"/>
    <d v="2024-01-27T00:00:00"/>
    <d v="2024-01-27T00:00:00"/>
    <n v="2"/>
    <x v="2"/>
    <x v="6"/>
    <x v="26"/>
    <s v="Non-Profit"/>
    <s v="Marketplace"/>
    <s v="N. Brown"/>
    <s v="Laptops"/>
    <s v="LAP-7056"/>
    <n v="1410.97"/>
    <s v="Medium"/>
    <x v="355"/>
    <n v="1650.75"/>
    <n v="0.13500000000000001"/>
    <n v="6"/>
    <n v="222.85125000000002"/>
    <n v="8567.3924999999999"/>
    <n v="8344.5412500000002"/>
    <n v="8465.82"/>
    <n v="101.57250000000022"/>
    <n v="-121.27874999999949"/>
    <n v="1.0119979517636803"/>
  </r>
  <r>
    <x v="357"/>
    <x v="260"/>
    <d v="2024-03-16T00:00:00"/>
    <d v="2024-04-13T00:00:00"/>
    <d v="2024-04-13T00:00:00"/>
    <n v="28"/>
    <x v="1"/>
    <x v="8"/>
    <x v="11"/>
    <s v="Small Business"/>
    <s v="Online"/>
    <s v="K. Singh"/>
    <s v="Printers"/>
    <s v="PRN-8758"/>
    <n v="287.61"/>
    <s v="Medium"/>
    <x v="356"/>
    <n v="628.54"/>
    <n v="0.13500000000000001"/>
    <n v="21"/>
    <n v="84.852900000000005"/>
    <n v="11417.429099999999"/>
    <n v="11332.5762"/>
    <n v="6039.81"/>
    <n v="5377.619099999999"/>
    <n v="5292.7661999999991"/>
    <n v="1.8903622961649453"/>
  </r>
  <r>
    <x v="358"/>
    <x v="261"/>
    <d v="2023-07-24T00:00:00"/>
    <d v="2023-08-13T00:00:00"/>
    <d v="2023-08-13T00:00:00"/>
    <n v="20"/>
    <x v="2"/>
    <x v="2"/>
    <x v="29"/>
    <s v="Education"/>
    <s v="Direct"/>
    <s v="C. Otieno"/>
    <s v="Monitors"/>
    <s v="MON-3307"/>
    <n v="1082.3800000000001"/>
    <s v="Medium"/>
    <x v="357"/>
    <n v="1766.55"/>
    <n v="0.16400000000000001"/>
    <n v="20"/>
    <n v="289.71420000000001"/>
    <n v="29536.716"/>
    <n v="29247.001800000002"/>
    <n v="21647.600000000002"/>
    <n v="7889.1159999999982"/>
    <n v="7599.4017999999996"/>
    <n v="1.3644337478519557"/>
  </r>
  <r>
    <x v="359"/>
    <x v="262"/>
    <d v="2025-02-19T00:00:00"/>
    <d v="2025-03-09T00:00:00"/>
    <d v="2025-03-09T00:00:00"/>
    <n v="18"/>
    <x v="0"/>
    <x v="4"/>
    <x v="6"/>
    <s v="Small Business"/>
    <s v="Direct"/>
    <s v="O. Wang"/>
    <s v="Monitors"/>
    <s v="MON-1436"/>
    <n v="325.87"/>
    <s v="Low"/>
    <x v="358"/>
    <n v="538.79"/>
    <n v="0.17399999999999999"/>
    <n v="16"/>
    <n v="93.749459999999985"/>
    <n v="7120.6486400000003"/>
    <n v="7026.8991800000003"/>
    <n v="5213.92"/>
    <n v="1906.7286400000003"/>
    <n v="1812.9791800000003"/>
    <n v="1.3656996348237027"/>
  </r>
  <r>
    <x v="360"/>
    <x v="262"/>
    <d v="2024-03-31T00:00:00"/>
    <d v="2024-04-17T00:00:00"/>
    <d v="2024-04-17T00:00:00"/>
    <n v="17"/>
    <x v="1"/>
    <x v="1"/>
    <x v="2"/>
    <s v="Education"/>
    <s v="Direct"/>
    <s v="H. Kim"/>
    <s v="Monitors"/>
    <s v="MON-8651"/>
    <n v="1025.51"/>
    <s v="Medium"/>
    <x v="359"/>
    <n v="1436.54"/>
    <n v="0.13900000000000001"/>
    <n v="28"/>
    <n v="199.67906000000002"/>
    <n v="34632.106319999999"/>
    <n v="34432.427259999997"/>
    <n v="28714.28"/>
    <n v="5917.8263200000001"/>
    <n v="5718.1472599999979"/>
    <n v="1.2060934949439792"/>
  </r>
  <r>
    <x v="361"/>
    <x v="263"/>
    <d v="2023-08-03T00:00:00"/>
    <d v="2023-08-14T00:00:00"/>
    <d v="2023-08-14T00:00:00"/>
    <n v="11"/>
    <x v="2"/>
    <x v="6"/>
    <x v="28"/>
    <s v="Corporate"/>
    <s v="Direct"/>
    <s v="J. Njeri"/>
    <s v="Accessories"/>
    <s v="ACC-3951"/>
    <n v="232.73"/>
    <s v="Low"/>
    <x v="360"/>
    <n v="334.19"/>
    <n v="0.13400000000000001"/>
    <n v="25"/>
    <n v="44.781460000000003"/>
    <n v="7235.2134999999998"/>
    <n v="7190.4320399999997"/>
    <n v="5818.25"/>
    <n v="1416.9634999999998"/>
    <n v="1372.1820399999997"/>
    <n v="1.2435377476045202"/>
  </r>
  <r>
    <x v="362"/>
    <x v="264"/>
    <d v="2024-01-10T00:00:00"/>
    <d v="2024-01-23T00:00:00"/>
    <d v="2024-01-23T00:00:00"/>
    <n v="13"/>
    <x v="1"/>
    <x v="8"/>
    <x v="22"/>
    <s v="Corporate"/>
    <s v="Direct"/>
    <s v="A. Patel"/>
    <s v="Printers"/>
    <s v="PRN-6776"/>
    <n v="720"/>
    <s v="Medium"/>
    <x v="361"/>
    <n v="907.59"/>
    <n v="0.154"/>
    <n v="10"/>
    <n v="139.76885999999999"/>
    <n v="7678.2113999999992"/>
    <n v="7538.4425399999991"/>
    <n v="7200"/>
    <n v="478.21139999999923"/>
    <n v="338.4425399999991"/>
    <n v="1.0664182499999999"/>
  </r>
  <r>
    <x v="363"/>
    <x v="265"/>
    <d v="2023-12-24T00:00:00"/>
    <d v="2024-01-01T00:00:00"/>
    <d v="2024-01-01T00:00:00"/>
    <n v="8"/>
    <x v="2"/>
    <x v="6"/>
    <x v="26"/>
    <s v="Education"/>
    <s v="Direct"/>
    <s v="C. Otieno"/>
    <s v="Phones"/>
    <s v="PHN-3014"/>
    <n v="526.49"/>
    <s v="Low"/>
    <x v="362"/>
    <n v="496.2"/>
    <n v="0"/>
    <n v="14"/>
    <n v="0"/>
    <n v="6946.8"/>
    <n v="6946.8"/>
    <n v="7370.8600000000006"/>
    <n v="-424.0600000000004"/>
    <n v="-424.0600000000004"/>
    <n v="0.94246804307774124"/>
  </r>
  <r>
    <x v="364"/>
    <x v="266"/>
    <d v="2023-05-07T00:00:00"/>
    <d v="2023-05-07T00:00:00"/>
    <d v="2023-05-05T00:00:00"/>
    <n v="-2"/>
    <x v="3"/>
    <x v="9"/>
    <x v="13"/>
    <s v="Non-Profit"/>
    <s v="Marketplace"/>
    <s v="A. Patel"/>
    <s v="Components"/>
    <s v="CMP-9392"/>
    <n v="1269.6500000000001"/>
    <s v="High"/>
    <x v="363"/>
    <n v="2462.77"/>
    <n v="0.107"/>
    <n v="8"/>
    <n v="263.51639"/>
    <n v="17594.028880000002"/>
    <n v="17330.512490000001"/>
    <n v="10157.200000000001"/>
    <n v="7436.8288800000009"/>
    <n v="7173.3124900000003"/>
    <n v="1.7321731264521718"/>
  </r>
  <r>
    <x v="365"/>
    <x v="267"/>
    <d v="2024-10-08T00:00:00"/>
    <d v="2024-10-08T00:00:00"/>
    <d v="2024-10-08T00:00:00"/>
    <n v="0"/>
    <x v="1"/>
    <x v="7"/>
    <x v="10"/>
    <s v="Corporate"/>
    <s v="Online"/>
    <s v="E. Garcia"/>
    <s v="Monitors"/>
    <s v="MON-9733"/>
    <n v="1108.1099999999999"/>
    <s v="High"/>
    <x v="364"/>
    <n v="2503.79"/>
    <n v="0.184"/>
    <n v="19"/>
    <n v="460.69736"/>
    <n v="38818.760160000005"/>
    <n v="38358.062800000007"/>
    <n v="21054.089999999997"/>
    <n v="17764.670160000009"/>
    <n v="17303.97280000001"/>
    <n v="1.8437633808917893"/>
  </r>
  <r>
    <x v="366"/>
    <x v="268"/>
    <d v="2025-09-02T00:00:00"/>
    <d v="2025-09-11T00:00:00"/>
    <d v="2025-09-11T00:00:00"/>
    <n v="9"/>
    <x v="2"/>
    <x v="2"/>
    <x v="21"/>
    <s v="Corporate"/>
    <s v="Distributor"/>
    <s v="M. Rossi"/>
    <s v="Printers"/>
    <s v="PRN-1276"/>
    <n v="1207.6300000000001"/>
    <s v="Medium"/>
    <x v="365"/>
    <n v="921.68"/>
    <n v="0.19600000000000001"/>
    <n v="17"/>
    <n v="180.64928"/>
    <n v="12597.52224"/>
    <n v="12416.872960000001"/>
    <n v="20529.710000000003"/>
    <n v="-7932.1877600000025"/>
    <n v="-8112.8370400000022"/>
    <n v="0.61362397423051751"/>
  </r>
  <r>
    <x v="367"/>
    <x v="269"/>
    <d v="2025-04-16T00:00:00"/>
    <d v="2025-04-26T00:00:00"/>
    <d v="2025-04-26T00:00:00"/>
    <n v="10"/>
    <x v="3"/>
    <x v="9"/>
    <x v="13"/>
    <s v="Enterprise"/>
    <s v="Marketplace"/>
    <s v="F. Müller"/>
    <s v="Laptops"/>
    <s v="LAP-3490"/>
    <n v="1457.44"/>
    <s v="High"/>
    <x v="366"/>
    <n v="1996.81"/>
    <n v="0.126"/>
    <n v="23"/>
    <n v="251.59806"/>
    <n v="40139.874619999995"/>
    <n v="39888.276559999998"/>
    <n v="33521.120000000003"/>
    <n v="6618.7546199999924"/>
    <n v="6367.1565599999958"/>
    <n v="1.1974502826874518"/>
  </r>
  <r>
    <x v="368"/>
    <x v="270"/>
    <d v="2025-06-21T00:00:00"/>
    <d v="2025-06-27T00:00:00"/>
    <d v="2025-06-27T00:00:00"/>
    <n v="6"/>
    <x v="3"/>
    <x v="11"/>
    <x v="34"/>
    <s v="Enterprise"/>
    <s v="Distributor"/>
    <s v="N. Brown"/>
    <s v="Phones"/>
    <s v="PHN-3819"/>
    <n v="93.91"/>
    <s v="Low"/>
    <x v="367"/>
    <n v="99.04"/>
    <n v="5.7000000000000002E-2"/>
    <n v="6"/>
    <n v="5.6452800000000005"/>
    <n v="560.36831999999993"/>
    <n v="554.72303999999997"/>
    <n v="563.46"/>
    <n v="-3.0916800000001103"/>
    <n v="-8.7369600000000673"/>
    <n v="0.99451304440421662"/>
  </r>
  <r>
    <x v="369"/>
    <x v="271"/>
    <d v="2023-05-27T00:00:00"/>
    <d v="2023-06-19T00:00:00"/>
    <d v="2023-06-19T00:00:00"/>
    <n v="23"/>
    <x v="1"/>
    <x v="1"/>
    <x v="33"/>
    <s v="Education"/>
    <s v="Retail"/>
    <s v="O. Wang"/>
    <s v="Accessories"/>
    <s v="ACC-1882"/>
    <n v="1471.58"/>
    <s v="High"/>
    <x v="368"/>
    <n v="2576.65"/>
    <n v="4.0000000000000001E-3"/>
    <n v="7"/>
    <n v="10.306600000000001"/>
    <n v="17964.4038"/>
    <n v="17954.0972"/>
    <n v="10301.06"/>
    <n v="7663.3438000000006"/>
    <n v="7653.0372000000007"/>
    <n v="1.7439374006170241"/>
  </r>
  <r>
    <x v="370"/>
    <x v="271"/>
    <d v="2023-08-04T00:00:00"/>
    <d v="2023-08-24T00:00:00"/>
    <d v="2023-08-24T00:00:00"/>
    <n v="20"/>
    <x v="2"/>
    <x v="6"/>
    <x v="28"/>
    <s v="Non-Profit"/>
    <s v="Direct"/>
    <s v="C. Otieno"/>
    <s v="Networking"/>
    <s v="NET-9125"/>
    <n v="582.88"/>
    <s v="Medium"/>
    <x v="369"/>
    <n v="1044.1400000000001"/>
    <n v="0.216"/>
    <n v="10"/>
    <n v="225.53424000000001"/>
    <n v="8186.057600000001"/>
    <n v="7960.523360000001"/>
    <n v="5828.8"/>
    <n v="2357.2576000000008"/>
    <n v="2131.7233600000009"/>
    <n v="1.4044155915454297"/>
  </r>
  <r>
    <x v="371"/>
    <x v="272"/>
    <d v="2023-05-20T00:00:00"/>
    <d v="2023-06-07T00:00:00"/>
    <d v="2023-06-07T00:00:00"/>
    <n v="18"/>
    <x v="3"/>
    <x v="9"/>
    <x v="13"/>
    <s v="Enterprise"/>
    <s v="Distributor"/>
    <s v="E. Garcia"/>
    <s v="Components"/>
    <s v="CMP-4630"/>
    <n v="1120.06"/>
    <s v="High"/>
    <x v="370"/>
    <n v="2068.21"/>
    <n v="7.8E-2"/>
    <n v="12"/>
    <n v="161.32038"/>
    <n v="22882.675440000003"/>
    <n v="22721.355060000002"/>
    <n v="13440.72"/>
    <n v="9441.9554400000034"/>
    <n v="9280.6350600000023"/>
    <n v="1.7024888130992986"/>
  </r>
  <r>
    <x v="372"/>
    <x v="273"/>
    <d v="2023-10-11T00:00:00"/>
    <d v="2023-10-13T00:00:00"/>
    <d v="2023-10-13T00:00:00"/>
    <n v="2"/>
    <x v="2"/>
    <x v="6"/>
    <x v="28"/>
    <s v="Consumer"/>
    <s v="Distributor"/>
    <s v="A. Patel"/>
    <s v="Accessories"/>
    <s v="ACC-3567"/>
    <n v="715.94"/>
    <s v="Low"/>
    <x v="371"/>
    <n v="550.07000000000005"/>
    <n v="0.14000000000000001"/>
    <n v="16"/>
    <n v="77.009800000000013"/>
    <n v="7568.9632000000001"/>
    <n v="7491.9534000000003"/>
    <n v="11455.04"/>
    <n v="-3886.0768000000007"/>
    <n v="-3963.0866000000005"/>
    <n v="0.66075397379668688"/>
  </r>
  <r>
    <x v="373"/>
    <x v="274"/>
    <d v="2025-06-27T00:00:00"/>
    <d v="2025-07-05T00:00:00"/>
    <d v="2025-07-05T00:00:00"/>
    <n v="8"/>
    <x v="1"/>
    <x v="1"/>
    <x v="32"/>
    <s v="Small Business"/>
    <s v="Direct"/>
    <s v="G. Dubois"/>
    <s v="Monitors"/>
    <s v="MON-7626"/>
    <n v="314.93"/>
    <s v="Medium"/>
    <x v="372"/>
    <n v="687.95"/>
    <n v="0.20499999999999999"/>
    <n v="8"/>
    <n v="141.02975000000001"/>
    <n v="4375.3620000000001"/>
    <n v="4234.3322500000004"/>
    <n v="2519.44"/>
    <n v="1855.922"/>
    <n v="1714.8922500000003"/>
    <n v="1.73664068205633"/>
  </r>
  <r>
    <x v="374"/>
    <x v="275"/>
    <d v="2023-04-19T00:00:00"/>
    <d v="2023-05-07T00:00:00"/>
    <d v="2023-05-07T00:00:00"/>
    <n v="18"/>
    <x v="1"/>
    <x v="7"/>
    <x v="10"/>
    <s v="Non-Profit"/>
    <s v="Direct"/>
    <s v="H. Kim"/>
    <s v="Networking"/>
    <s v="NET-2439"/>
    <n v="516.96"/>
    <s v="Medium"/>
    <x v="373"/>
    <n v="745.38"/>
    <n v="0.19700000000000001"/>
    <n v="4"/>
    <n v="146.83986000000002"/>
    <n v="2394.1605599999998"/>
    <n v="2247.3206999999998"/>
    <n v="2067.84"/>
    <n v="326.32055999999966"/>
    <n v="179.48069999999962"/>
    <n v="1.1578074512534817"/>
  </r>
  <r>
    <x v="375"/>
    <x v="276"/>
    <d v="2024-04-29T00:00:00"/>
    <d v="2024-05-19T00:00:00"/>
    <d v="2024-05-19T00:00:00"/>
    <n v="20"/>
    <x v="1"/>
    <x v="1"/>
    <x v="2"/>
    <s v="Enterprise"/>
    <s v="Marketplace"/>
    <s v="C. Otieno"/>
    <s v="Laptops"/>
    <s v="LAP-5009"/>
    <n v="668.97"/>
    <s v="Medium"/>
    <x v="374"/>
    <n v="1667.44"/>
    <n v="3.4000000000000002E-2"/>
    <n v="15"/>
    <n v="56.692960000000006"/>
    <n v="24161.205600000001"/>
    <n v="24104.512640000001"/>
    <n v="10034.550000000001"/>
    <n v="14126.6556"/>
    <n v="14069.96264"/>
    <n v="2.4078016054531592"/>
  </r>
  <r>
    <x v="376"/>
    <x v="276"/>
    <d v="2023-10-05T00:00:00"/>
    <d v="2023-10-06T00:00:00"/>
    <d v="2023-10-06T00:00:00"/>
    <n v="1"/>
    <x v="0"/>
    <x v="4"/>
    <x v="31"/>
    <s v="Non-Profit"/>
    <s v="Online"/>
    <s v="I. Johnson"/>
    <s v="Components"/>
    <s v="CMP-4807"/>
    <n v="1470.26"/>
    <s v="High"/>
    <x v="375"/>
    <n v="2562.5500000000002"/>
    <n v="0.17299999999999999"/>
    <n v="9"/>
    <n v="443.32114999999999"/>
    <n v="19073.059649999999"/>
    <n v="18629.738499999999"/>
    <n v="13232.34"/>
    <n v="5840.7196499999991"/>
    <n v="5397.3984999999993"/>
    <n v="1.441397337885816"/>
  </r>
  <r>
    <x v="377"/>
    <x v="277"/>
    <d v="2024-10-27T00:00:00"/>
    <d v="2024-11-20T00:00:00"/>
    <d v="2024-11-20T00:00:00"/>
    <n v="24"/>
    <x v="0"/>
    <x v="0"/>
    <x v="1"/>
    <s v="Non-Profit"/>
    <s v="Online"/>
    <s v="H. Kim"/>
    <s v="Monitors"/>
    <s v="MON-8939"/>
    <n v="317.25"/>
    <s v="Medium"/>
    <x v="376"/>
    <n v="758.92"/>
    <n v="5.2999999999999999E-2"/>
    <n v="9"/>
    <n v="40.222759999999994"/>
    <n v="6468.2751599999992"/>
    <n v="6428.0523999999996"/>
    <n v="2855.25"/>
    <n v="3613.0251599999992"/>
    <n v="3572.8023999999996"/>
    <n v="2.2653971315996846"/>
  </r>
  <r>
    <x v="378"/>
    <x v="278"/>
    <d v="2024-07-29T00:00:00"/>
    <d v="2024-07-31T00:00:00"/>
    <d v="2024-07-31T00:00:00"/>
    <n v="2"/>
    <x v="2"/>
    <x v="10"/>
    <x v="27"/>
    <s v="Education"/>
    <s v="Marketplace"/>
    <s v="I. Johnson"/>
    <s v="Printers"/>
    <s v="PRN-2829"/>
    <n v="798.97"/>
    <s v="Medium"/>
    <x v="377"/>
    <n v="1814.06"/>
    <n v="0.122"/>
    <n v="16"/>
    <n v="221.31531999999999"/>
    <n v="25483.91488"/>
    <n v="25262.599559999999"/>
    <n v="12783.52"/>
    <n v="12700.39488"/>
    <n v="12479.079559999998"/>
    <n v="1.9934974780029286"/>
  </r>
  <r>
    <x v="379"/>
    <x v="279"/>
    <d v="2023-03-04T00:00:00"/>
    <d v="2023-03-24T00:00:00"/>
    <d v="2023-03-24T00:00:00"/>
    <n v="20"/>
    <x v="2"/>
    <x v="2"/>
    <x v="29"/>
    <s v="Consumer"/>
    <s v="Distributor"/>
    <s v="I. Johnson"/>
    <s v="Laptops"/>
    <s v="LAP-6160"/>
    <n v="481.71"/>
    <s v="Medium"/>
    <x v="378"/>
    <n v="912.45"/>
    <n v="0.20300000000000001"/>
    <n v="24"/>
    <n v="185.22735000000003"/>
    <n v="17453.3436"/>
    <n v="17268.116249999999"/>
    <n v="11561.039999999999"/>
    <n v="5892.3036000000011"/>
    <n v="5707.0762500000001"/>
    <n v="1.5096689917170083"/>
  </r>
  <r>
    <x v="380"/>
    <x v="279"/>
    <d v="2024-03-15T00:00:00"/>
    <d v="2024-04-09T00:00:00"/>
    <d v="2024-04-09T00:00:00"/>
    <n v="25"/>
    <x v="2"/>
    <x v="2"/>
    <x v="3"/>
    <s v="Consumer"/>
    <s v="Online"/>
    <s v="F. Müller"/>
    <s v="Monitors"/>
    <s v="MON-4361"/>
    <n v="648.64"/>
    <s v="Medium"/>
    <x v="379"/>
    <n v="815.19"/>
    <n v="0.22500000000000001"/>
    <n v="28"/>
    <n v="183.41775000000001"/>
    <n v="17689.623"/>
    <n v="17506.205249999999"/>
    <n v="18161.919999999998"/>
    <n v="-472.29699999999866"/>
    <n v="-655.71474999999919"/>
    <n v="0.97399520535273809"/>
  </r>
  <r>
    <x v="381"/>
    <x v="280"/>
    <d v="2024-09-02T00:00:00"/>
    <d v="2024-09-08T00:00:00"/>
    <d v="2024-09-08T00:00:00"/>
    <n v="6"/>
    <x v="2"/>
    <x v="10"/>
    <x v="17"/>
    <s v="Consumer"/>
    <s v="Direct"/>
    <s v="H. Kim"/>
    <s v="Components"/>
    <s v="CMP-7563"/>
    <n v="462.94"/>
    <s v="Medium"/>
    <x v="380"/>
    <n v="1015.7"/>
    <n v="0.14299999999999999"/>
    <n v="14"/>
    <n v="145.24510000000001"/>
    <n v="12186.368600000002"/>
    <n v="12041.123500000002"/>
    <n v="6481.16"/>
    <n v="5705.2086000000018"/>
    <n v="5559.9635000000017"/>
    <n v="1.8802758456819462"/>
  </r>
  <r>
    <x v="382"/>
    <x v="281"/>
    <d v="2025-09-12T00:00:00"/>
    <d v="2025-09-30T00:00:00"/>
    <d v="2025-09-30T00:00:00"/>
    <n v="18"/>
    <x v="0"/>
    <x v="0"/>
    <x v="1"/>
    <s v="Non-Profit"/>
    <s v="Marketplace"/>
    <s v="F. Müller"/>
    <s v="Monitors"/>
    <s v="MON-2998"/>
    <n v="1212.99"/>
    <s v="Medium"/>
    <x v="381"/>
    <n v="1653.64"/>
    <n v="0.107"/>
    <n v="8"/>
    <n v="176.93948"/>
    <n v="11813.604160000001"/>
    <n v="11636.664680000002"/>
    <n v="9703.92"/>
    <n v="2109.6841600000007"/>
    <n v="1932.7446800000016"/>
    <n v="1.2174053537127265"/>
  </r>
  <r>
    <x v="383"/>
    <x v="282"/>
    <d v="2024-11-08T00:00:00"/>
    <d v="2024-11-08T00:00:00"/>
    <d v="2024-11-08T00:00:00"/>
    <n v="0"/>
    <x v="3"/>
    <x v="5"/>
    <x v="9"/>
    <s v="Enterprise"/>
    <s v="Marketplace"/>
    <s v="M. Rossi"/>
    <s v="Networking"/>
    <s v="NET-2628"/>
    <n v="803.28"/>
    <s v="Medium"/>
    <x v="382"/>
    <n v="1009"/>
    <n v="0.11"/>
    <n v="4"/>
    <n v="110.99"/>
    <n v="3592.04"/>
    <n v="3481.05"/>
    <n v="3213.12"/>
    <n v="378.92000000000007"/>
    <n v="267.93000000000029"/>
    <n v="1.117928991136341"/>
  </r>
  <r>
    <x v="384"/>
    <x v="283"/>
    <d v="2025-04-22T00:00:00"/>
    <d v="2025-05-02T00:00:00"/>
    <d v="2025-05-02T00:00:00"/>
    <n v="10"/>
    <x v="1"/>
    <x v="1"/>
    <x v="33"/>
    <s v="Corporate"/>
    <s v="Marketplace"/>
    <s v="C. Otieno"/>
    <s v="Monitors"/>
    <s v="MON-2842"/>
    <n v="20.149999999999999"/>
    <s v="Low"/>
    <x v="383"/>
    <n v="39.74"/>
    <n v="0.151"/>
    <n v="18"/>
    <n v="6.0007400000000004"/>
    <n v="607.30668000000003"/>
    <n v="601.30594000000008"/>
    <n v="362.7"/>
    <n v="244.60668000000004"/>
    <n v="238.60594000000009"/>
    <n v="1.6744049627791564"/>
  </r>
  <r>
    <x v="385"/>
    <x v="284"/>
    <d v="2024-03-06T00:00:00"/>
    <d v="2024-03-26T00:00:00"/>
    <d v="2024-03-26T00:00:00"/>
    <n v="20"/>
    <x v="3"/>
    <x v="9"/>
    <x v="13"/>
    <s v="Consumer"/>
    <s v="Marketplace"/>
    <s v="I. Johnson"/>
    <s v="Phones"/>
    <s v="PHN-4741"/>
    <n v="65.64"/>
    <s v="Low"/>
    <x v="384"/>
    <n v="151.88"/>
    <n v="0.16700000000000001"/>
    <n v="23"/>
    <n v="25.363960000000002"/>
    <n v="2909.8689199999999"/>
    <n v="2884.5049599999998"/>
    <n v="1509.72"/>
    <n v="1400.1489199999999"/>
    <n v="1374.7849599999997"/>
    <n v="1.9274229128580134"/>
  </r>
  <r>
    <x v="386"/>
    <x v="284"/>
    <d v="2024-02-16T00:00:00"/>
    <d v="2024-03-04T00:00:00"/>
    <d v="2024-03-04T00:00:00"/>
    <n v="17"/>
    <x v="2"/>
    <x v="2"/>
    <x v="29"/>
    <s v="Non-Profit"/>
    <s v="Retail"/>
    <s v="D. Smith"/>
    <s v="Laptops"/>
    <s v="LAP-2774"/>
    <n v="1350.98"/>
    <s v="High"/>
    <x v="385"/>
    <n v="2210.4"/>
    <n v="0.26300000000000001"/>
    <n v="6"/>
    <n v="581.3352000000001"/>
    <n v="9774.3888000000006"/>
    <n v="9193.0536000000011"/>
    <n v="8105.88"/>
    <n v="1668.5088000000005"/>
    <n v="1087.173600000001"/>
    <n v="1.2058393166442138"/>
  </r>
  <r>
    <x v="387"/>
    <x v="285"/>
    <d v="2023-04-19T00:00:00"/>
    <d v="2023-04-28T00:00:00"/>
    <d v="2023-04-28T00:00:00"/>
    <n v="9"/>
    <x v="2"/>
    <x v="6"/>
    <x v="8"/>
    <s v="Corporate"/>
    <s v="Distributor"/>
    <s v="M. Rossi"/>
    <s v="Phones"/>
    <s v="PHN-7132"/>
    <n v="1013.54"/>
    <s v="Medium"/>
    <x v="386"/>
    <n v="927.93"/>
    <n v="0.17499999999999999"/>
    <n v="16"/>
    <n v="162.38774999999998"/>
    <n v="12248.675999999999"/>
    <n v="12086.28825"/>
    <n v="16216.64"/>
    <n v="-3967.9639999999999"/>
    <n v="-4130.3517499999998"/>
    <n v="0.75531528109398738"/>
  </r>
  <r>
    <x v="388"/>
    <x v="286"/>
    <d v="2025-08-02T00:00:00"/>
    <d v="2025-08-08T00:00:00"/>
    <d v="2025-08-08T00:00:00"/>
    <n v="6"/>
    <x v="0"/>
    <x v="0"/>
    <x v="0"/>
    <s v="Consumer"/>
    <s v="Direct"/>
    <s v="N. Brown"/>
    <s v="Laptops"/>
    <s v="LAP-4828"/>
    <n v="1225.94"/>
    <s v="Medium"/>
    <x v="387"/>
    <n v="1793.08"/>
    <n v="0.13600000000000001"/>
    <n v="22"/>
    <n v="243.85888"/>
    <n v="34082.864639999993"/>
    <n v="33839.005759999993"/>
    <n v="26970.68"/>
    <n v="7112.1846399999922"/>
    <n v="6868.3257599999924"/>
    <n v="1.2637006052498487"/>
  </r>
  <r>
    <x v="389"/>
    <x v="286"/>
    <d v="2024-12-04T00:00:00"/>
    <d v="2024-12-12T00:00:00"/>
    <d v="2024-12-12T00:00:00"/>
    <n v="8"/>
    <x v="1"/>
    <x v="1"/>
    <x v="2"/>
    <s v="Enterprise"/>
    <s v="Marketplace"/>
    <s v="B. Chen"/>
    <s v="Printers"/>
    <s v="PRN-5492"/>
    <n v="72.06"/>
    <s v="Low"/>
    <x v="388"/>
    <n v="122.74"/>
    <n v="0.23799999999999999"/>
    <n v="8"/>
    <n v="29.212119999999999"/>
    <n v="748.22303999999997"/>
    <n v="719.01091999999994"/>
    <n v="576.48"/>
    <n v="171.74303999999995"/>
    <n v="142.53091999999992"/>
    <n v="1.2979167360532888"/>
  </r>
  <r>
    <x v="390"/>
    <x v="287"/>
    <d v="2023-09-19T00:00:00"/>
    <d v="2023-10-08T00:00:00"/>
    <d v="2023-10-08T00:00:00"/>
    <n v="19"/>
    <x v="0"/>
    <x v="4"/>
    <x v="31"/>
    <s v="Education"/>
    <s v="Direct"/>
    <s v="J. Njeri"/>
    <s v="Printers"/>
    <s v="PRN-5005"/>
    <n v="385.32"/>
    <s v="Medium"/>
    <x v="389"/>
    <n v="606.76"/>
    <n v="8.5999999999999993E-2"/>
    <n v="8"/>
    <n v="52.181359999999998"/>
    <n v="4436.6291200000005"/>
    <n v="4384.4477600000009"/>
    <n v="3082.56"/>
    <n v="1354.0691200000006"/>
    <n v="1301.887760000001"/>
    <n v="1.4392677255268351"/>
  </r>
  <r>
    <x v="391"/>
    <x v="287"/>
    <d v="2025-05-16T00:00:00"/>
    <d v="2025-05-27T00:00:00"/>
    <d v="2025-05-27T00:00:00"/>
    <n v="11"/>
    <x v="0"/>
    <x v="3"/>
    <x v="37"/>
    <s v="Enterprise"/>
    <s v="Online"/>
    <s v="F. Müller"/>
    <s v="Phones"/>
    <s v="PHN-3800"/>
    <n v="918.12"/>
    <s v="Medium"/>
    <x v="390"/>
    <n v="1337.69"/>
    <n v="9.5000000000000001E-2"/>
    <n v="8"/>
    <n v="127.08055"/>
    <n v="9684.8756000000012"/>
    <n v="9557.7950500000006"/>
    <n v="7344.96"/>
    <n v="2339.9156000000012"/>
    <n v="2212.8350500000006"/>
    <n v="1.31857431490437"/>
  </r>
  <r>
    <x v="392"/>
    <x v="288"/>
    <d v="2025-07-17T00:00:00"/>
    <d v="2025-07-23T00:00:00"/>
    <d v="2025-07-23T00:00:00"/>
    <n v="6"/>
    <x v="2"/>
    <x v="2"/>
    <x v="3"/>
    <s v="Consumer"/>
    <s v="Online"/>
    <s v="H. Kim"/>
    <s v="Components"/>
    <s v="CMP-8851"/>
    <n v="1364.89"/>
    <s v="High"/>
    <x v="391"/>
    <n v="2757.54"/>
    <n v="0.17199999999999999"/>
    <n v="61"/>
    <n v="474.29687999999993"/>
    <n v="139277.83032000001"/>
    <n v="138803.53344"/>
    <n v="83258.290000000008"/>
    <n v="56019.54032"/>
    <n v="55545.243439999991"/>
    <n v="1.672840390068064"/>
  </r>
  <r>
    <x v="393"/>
    <x v="288"/>
    <d v="2023-11-28T00:00:00"/>
    <d v="2023-12-07T00:00:00"/>
    <d v="2023-12-07T00:00:00"/>
    <n v="9"/>
    <x v="0"/>
    <x v="4"/>
    <x v="6"/>
    <s v="Enterprise"/>
    <s v="Marketplace"/>
    <s v="L. Okafor"/>
    <s v="Phones"/>
    <s v="PHN-2447"/>
    <n v="699.33"/>
    <s v="Medium"/>
    <x v="392"/>
    <n v="873.75"/>
    <n v="0.23499999999999999"/>
    <n v="10"/>
    <n v="205.33124999999998"/>
    <n v="6684.1875"/>
    <n v="6478.8562499999998"/>
    <n v="6993.3"/>
    <n v="-309.11250000000018"/>
    <n v="-514.44375000000036"/>
    <n v="0.95579876453176604"/>
  </r>
  <r>
    <x v="394"/>
    <x v="288"/>
    <d v="2024-03-30T00:00:00"/>
    <d v="2024-04-24T00:00:00"/>
    <d v="2024-04-24T00:00:00"/>
    <n v="25"/>
    <x v="2"/>
    <x v="10"/>
    <x v="17"/>
    <s v="Non-Profit"/>
    <s v="Online"/>
    <s v="G. Dubois"/>
    <s v="Laptops"/>
    <s v="LAP-2846"/>
    <n v="160.82"/>
    <s v="Low"/>
    <x v="393"/>
    <n v="258.52"/>
    <n v="0.13"/>
    <n v="17"/>
    <n v="33.607599999999998"/>
    <n v="3823.5108"/>
    <n v="3789.9032000000002"/>
    <n v="2733.94"/>
    <n v="1089.5708"/>
    <n v="1055.9632000000001"/>
    <n v="1.3985350080835717"/>
  </r>
  <r>
    <x v="395"/>
    <x v="289"/>
    <d v="2024-09-13T00:00:00"/>
    <d v="2024-10-02T00:00:00"/>
    <d v="2024-10-02T00:00:00"/>
    <n v="19"/>
    <x v="3"/>
    <x v="5"/>
    <x v="20"/>
    <s v="Small Business"/>
    <s v="Retail"/>
    <s v="M. Rossi"/>
    <s v="Phones"/>
    <s v="PHN-8804"/>
    <n v="1338.99"/>
    <s v="Medium"/>
    <x v="394"/>
    <n v="1765.76"/>
    <n v="0.126"/>
    <n v="24"/>
    <n v="222.48576"/>
    <n v="37038.581760000001"/>
    <n v="36816.095999999998"/>
    <n v="32135.760000000002"/>
    <n v="4902.8217599999989"/>
    <n v="4680.3359999999957"/>
    <n v="1.152565919088268"/>
  </r>
  <r>
    <x v="396"/>
    <x v="290"/>
    <d v="2024-01-11T00:00:00"/>
    <d v="2024-02-02T00:00:00"/>
    <d v="2024-02-02T00:00:00"/>
    <n v="22"/>
    <x v="0"/>
    <x v="0"/>
    <x v="1"/>
    <s v="Small Business"/>
    <s v="Online"/>
    <s v="D. Smith"/>
    <s v="Printers"/>
    <s v="PRN-7816"/>
    <n v="1237.68"/>
    <s v="Medium"/>
    <x v="395"/>
    <n v="1432.8"/>
    <n v="6.8000000000000005E-2"/>
    <n v="13"/>
    <n v="97.430400000000006"/>
    <n v="17359.804799999998"/>
    <n v="17262.374399999997"/>
    <n v="16089.84"/>
    <n v="1269.9647999999979"/>
    <n v="1172.5343999999968"/>
    <n v="1.0789296102385106"/>
  </r>
  <r>
    <x v="397"/>
    <x v="291"/>
    <d v="2023-03-14T00:00:00"/>
    <d v="2023-03-30T00:00:00"/>
    <d v="2023-03-30T00:00:00"/>
    <n v="16"/>
    <x v="3"/>
    <x v="11"/>
    <x v="18"/>
    <s v="Consumer"/>
    <s v="Distributor"/>
    <s v="K. Singh"/>
    <s v="Components"/>
    <s v="CMP-8230"/>
    <n v="1309.77"/>
    <s v="Medium"/>
    <x v="396"/>
    <n v="1589.07"/>
    <n v="0.10199999999999999"/>
    <n v="10"/>
    <n v="162.08514"/>
    <n v="14269.848599999999"/>
    <n v="14107.76346"/>
    <n v="13097.7"/>
    <n v="1172.1485999999986"/>
    <n v="1010.0634599999994"/>
    <n v="1.0894927048260381"/>
  </r>
  <r>
    <x v="398"/>
    <x v="292"/>
    <d v="2024-09-05T00:00:00"/>
    <d v="2024-09-25T00:00:00"/>
    <d v="2024-09-25T00:00:00"/>
    <n v="20"/>
    <x v="0"/>
    <x v="0"/>
    <x v="0"/>
    <s v="Enterprise"/>
    <s v="Distributor"/>
    <s v="D. Smith"/>
    <s v="Monitors"/>
    <s v="MON-5249"/>
    <n v="195.54"/>
    <s v="Low"/>
    <x v="397"/>
    <n v="405.97"/>
    <n v="0.187"/>
    <n v="16"/>
    <n v="75.916390000000007"/>
    <n v="5280.8577599999999"/>
    <n v="5204.9413699999996"/>
    <n v="3128.64"/>
    <n v="2152.21776"/>
    <n v="2076.3013699999997"/>
    <n v="1.6879084074869593"/>
  </r>
  <r>
    <x v="399"/>
    <x v="293"/>
    <d v="2024-09-03T00:00:00"/>
    <d v="2024-09-08T00:00:00"/>
    <d v="2024-09-08T00:00:00"/>
    <n v="5"/>
    <x v="3"/>
    <x v="9"/>
    <x v="36"/>
    <s v="Small Business"/>
    <s v="Direct"/>
    <s v="K. Singh"/>
    <s v="Printers"/>
    <s v="PRN-1141"/>
    <n v="197.63"/>
    <s v="Low"/>
    <x v="398"/>
    <n v="325.79000000000002"/>
    <n v="0.11600000000000001"/>
    <n v="10"/>
    <n v="37.791640000000001"/>
    <n v="2879.9836"/>
    <n v="2842.1919600000001"/>
    <n v="1976.3"/>
    <n v="903.68360000000007"/>
    <n v="865.89196000000015"/>
    <n v="1.4572603349693873"/>
  </r>
  <r>
    <x v="400"/>
    <x v="294"/>
    <d v="2025-04-24T00:00:00"/>
    <d v="2025-05-06T00:00:00"/>
    <d v="2025-05-06T00:00:00"/>
    <n v="12"/>
    <x v="2"/>
    <x v="6"/>
    <x v="28"/>
    <s v="Consumer"/>
    <s v="Online"/>
    <s v="C. Otieno"/>
    <s v="Phones"/>
    <s v="PHN-2787"/>
    <n v="394.13"/>
    <s v="Medium"/>
    <x v="399"/>
    <n v="932.29"/>
    <n v="0.109"/>
    <n v="7"/>
    <n v="101.61960999999999"/>
    <n v="5814.6927299999998"/>
    <n v="5713.07312"/>
    <n v="2758.91"/>
    <n v="3055.7827299999999"/>
    <n v="2954.1631200000002"/>
    <n v="2.1076050795422829"/>
  </r>
  <r>
    <x v="401"/>
    <x v="295"/>
    <d v="2023-05-23T00:00:00"/>
    <d v="2023-06-10T00:00:00"/>
    <d v="2023-06-10T00:00:00"/>
    <n v="18"/>
    <x v="0"/>
    <x v="3"/>
    <x v="4"/>
    <s v="Corporate"/>
    <s v="Distributor"/>
    <s v="E. Garcia"/>
    <s v="Components"/>
    <s v="CMP-6925"/>
    <n v="54.62"/>
    <s v="Low"/>
    <x v="400"/>
    <n v="48.94"/>
    <n v="0.14799999999999999"/>
    <n v="16"/>
    <n v="7.2431199999999993"/>
    <n v="667.15008"/>
    <n v="659.90696000000003"/>
    <n v="873.92"/>
    <n v="-206.76991999999996"/>
    <n v="-214.01303999999993"/>
    <n v="0.76339948736726482"/>
  </r>
  <r>
    <x v="402"/>
    <x v="296"/>
    <d v="2023-03-07T00:00:00"/>
    <d v="2023-04-01T00:00:00"/>
    <d v="2023-04-01T00:00:00"/>
    <n v="25"/>
    <x v="3"/>
    <x v="5"/>
    <x v="7"/>
    <s v="Consumer"/>
    <s v="Marketplace"/>
    <s v="D. Smith"/>
    <s v="Printers"/>
    <s v="PRN-7049"/>
    <n v="1024.0999999999999"/>
    <s v="Medium"/>
    <x v="401"/>
    <n v="918.19"/>
    <n v="0.189"/>
    <n v="10"/>
    <n v="173.53791000000001"/>
    <n v="7446.5209000000004"/>
    <n v="7272.9829900000004"/>
    <n v="10241"/>
    <n v="-2794.4790999999996"/>
    <n v="-2968.0170099999996"/>
    <n v="0.72712829801777179"/>
  </r>
  <r>
    <x v="403"/>
    <x v="297"/>
    <d v="2025-08-10T00:00:00"/>
    <d v="2025-08-30T00:00:00"/>
    <d v="2025-08-30T00:00:00"/>
    <n v="20"/>
    <x v="2"/>
    <x v="10"/>
    <x v="23"/>
    <s v="Corporate"/>
    <s v="Marketplace"/>
    <s v="K. Singh"/>
    <s v="Printers"/>
    <s v="PRN-2098"/>
    <n v="933.29"/>
    <s v="Medium"/>
    <x v="402"/>
    <n v="1456.81"/>
    <n v="0.123"/>
    <n v="13"/>
    <n v="179.18762999999998"/>
    <n v="16609.090809999998"/>
    <n v="16429.903179999998"/>
    <n v="12132.77"/>
    <n v="4476.3208099999974"/>
    <n v="4297.1331799999971"/>
    <n v="1.3689446688596254"/>
  </r>
  <r>
    <x v="404"/>
    <x v="298"/>
    <d v="2023-10-04T00:00:00"/>
    <d v="2023-10-29T00:00:00"/>
    <d v="2023-10-29T00:00:00"/>
    <n v="25"/>
    <x v="2"/>
    <x v="10"/>
    <x v="23"/>
    <s v="Small Business"/>
    <s v="Distributor"/>
    <s v="O. Wang"/>
    <s v="Accessories"/>
    <s v="ACC-5079"/>
    <n v="1239.8399999999999"/>
    <s v="Medium"/>
    <x v="403"/>
    <n v="1482.75"/>
    <n v="6.7000000000000004E-2"/>
    <n v="4"/>
    <n v="99.344250000000002"/>
    <n v="5533.6230000000005"/>
    <n v="5434.2787500000004"/>
    <n v="4959.3599999999997"/>
    <n v="574.26300000000083"/>
    <n v="474.91875000000073"/>
    <n v="1.1157937717770037"/>
  </r>
  <r>
    <x v="405"/>
    <x v="299"/>
    <d v="2023-07-30T00:00:00"/>
    <d v="2023-08-07T00:00:00"/>
    <d v="2023-08-07T00:00:00"/>
    <n v="8"/>
    <x v="0"/>
    <x v="0"/>
    <x v="1"/>
    <s v="Education"/>
    <s v="Marketplace"/>
    <s v="A. Patel"/>
    <s v="Networking"/>
    <s v="NET-1645"/>
    <n v="1352.44"/>
    <s v="High"/>
    <x v="404"/>
    <n v="2698.01"/>
    <n v="0.13100000000000001"/>
    <n v="13"/>
    <n v="353.43931000000003"/>
    <n v="30479.418970000002"/>
    <n v="30125.979660000001"/>
    <n v="17581.72"/>
    <n v="12897.698970000001"/>
    <n v="12544.25966"/>
    <n v="1.7335857339327438"/>
  </r>
  <r>
    <x v="406"/>
    <x v="300"/>
    <d v="2023-12-19T00:00:00"/>
    <d v="2023-12-20T00:00:00"/>
    <d v="2023-12-20T00:00:00"/>
    <n v="1"/>
    <x v="2"/>
    <x v="6"/>
    <x v="8"/>
    <s v="Consumer"/>
    <s v="Distributor"/>
    <s v="J. Njeri"/>
    <s v="Phones"/>
    <s v="PHN-7274"/>
    <n v="1080.43"/>
    <s v="High"/>
    <x v="405"/>
    <n v="2529.15"/>
    <n v="0.14699999999999999"/>
    <n v="10"/>
    <n v="371.78505000000001"/>
    <n v="21573.6495"/>
    <n v="21201.864450000001"/>
    <n v="10804.300000000001"/>
    <n v="10769.349499999998"/>
    <n v="10397.56445"/>
    <n v="1.9967651305498735"/>
  </r>
  <r>
    <x v="407"/>
    <x v="301"/>
    <d v="2023-04-19T00:00:00"/>
    <d v="2023-05-07T00:00:00"/>
    <d v="2023-05-07T00:00:00"/>
    <n v="18"/>
    <x v="1"/>
    <x v="7"/>
    <x v="38"/>
    <s v="Enterprise"/>
    <s v="Retail"/>
    <s v="N. Brown"/>
    <s v="Laptops"/>
    <s v="LAP-9766"/>
    <n v="1089.1500000000001"/>
    <s v="Medium"/>
    <x v="406"/>
    <n v="1088.2"/>
    <n v="5.0999999999999997E-2"/>
    <n v="15"/>
    <n v="55.498199999999997"/>
    <n v="15490.527"/>
    <n v="15435.0288"/>
    <n v="16337.250000000002"/>
    <n v="-846.72300000000178"/>
    <n v="-902.22120000000177"/>
    <n v="0.94817224441077896"/>
  </r>
  <r>
    <x v="408"/>
    <x v="302"/>
    <d v="2025-07-16T00:00:00"/>
    <d v="2025-07-17T00:00:00"/>
    <d v="2025-07-17T00:00:00"/>
    <n v="1"/>
    <x v="3"/>
    <x v="11"/>
    <x v="34"/>
    <s v="Small Business"/>
    <s v="Distributor"/>
    <s v="B. Chen"/>
    <s v="Networking"/>
    <s v="NET-1612"/>
    <n v="1198.9000000000001"/>
    <s v="High"/>
    <x v="407"/>
    <n v="2941.2"/>
    <n v="5.0999999999999997E-2"/>
    <n v="24"/>
    <n v="150.00119999999998"/>
    <n v="66988.771199999988"/>
    <n v="66838.76999999999"/>
    <n v="28773.600000000002"/>
    <n v="38215.171199999982"/>
    <n v="38065.169999999984"/>
    <n v="2.3281331220285257"/>
  </r>
  <r>
    <x v="409"/>
    <x v="303"/>
    <d v="2023-08-26T00:00:00"/>
    <d v="2023-09-10T00:00:00"/>
    <d v="2023-09-10T00:00:00"/>
    <n v="15"/>
    <x v="3"/>
    <x v="11"/>
    <x v="18"/>
    <s v="Non-Profit"/>
    <s v="Direct"/>
    <s v="N. Brown"/>
    <s v="Components"/>
    <s v="CMP-7063"/>
    <n v="241.14"/>
    <s v="Low"/>
    <x v="408"/>
    <n v="496.52"/>
    <n v="9.2999999999999999E-2"/>
    <n v="10"/>
    <n v="46.176359999999995"/>
    <n v="4503.4363999999996"/>
    <n v="4457.2600399999992"/>
    <n v="2411.3999999999996"/>
    <n v="2092.0364"/>
    <n v="2045.8600399999996"/>
    <n v="1.8675609189682343"/>
  </r>
  <r>
    <x v="410"/>
    <x v="304"/>
    <d v="2023-09-25T00:00:00"/>
    <d v="2023-10-02T00:00:00"/>
    <d v="2023-10-02T00:00:00"/>
    <n v="7"/>
    <x v="2"/>
    <x v="10"/>
    <x v="27"/>
    <s v="Education"/>
    <s v="Marketplace"/>
    <s v="I. Johnson"/>
    <s v="Accessories"/>
    <s v="ACC-3551"/>
    <n v="145.58000000000001"/>
    <s v="Low"/>
    <x v="409"/>
    <n v="228.15"/>
    <n v="0.20399999999999999"/>
    <n v="5"/>
    <n v="46.5426"/>
    <n v="908.03700000000003"/>
    <n v="861.49440000000004"/>
    <n v="727.90000000000009"/>
    <n v="180.13699999999994"/>
    <n v="133.59439999999995"/>
    <n v="1.2474749278747079"/>
  </r>
  <r>
    <x v="411"/>
    <x v="305"/>
    <d v="2025-08-25T00:00:00"/>
    <d v="2025-09-24T00:00:00"/>
    <d v="2025-09-24T00:00:00"/>
    <n v="30"/>
    <x v="3"/>
    <x v="5"/>
    <x v="7"/>
    <s v="Consumer"/>
    <s v="Direct"/>
    <s v="B. Chen"/>
    <s v="Components"/>
    <s v="CMP-4970"/>
    <n v="589.14"/>
    <s v="Medium"/>
    <x v="410"/>
    <n v="1300.58"/>
    <n v="5.5E-2"/>
    <n v="11"/>
    <n v="71.531899999999993"/>
    <n v="13519.529099999998"/>
    <n v="13447.997199999998"/>
    <n v="6480.54"/>
    <n v="7038.989099999998"/>
    <n v="6967.457199999998"/>
    <n v="2.0861732355637028"/>
  </r>
  <r>
    <x v="412"/>
    <x v="306"/>
    <d v="2024-09-19T00:00:00"/>
    <d v="2024-10-14T00:00:00"/>
    <d v="2024-10-14T00:00:00"/>
    <n v="25"/>
    <x v="2"/>
    <x v="6"/>
    <x v="8"/>
    <s v="Small Business"/>
    <s v="Retail"/>
    <s v="K. Singh"/>
    <s v="Printers"/>
    <s v="PRN-2749"/>
    <n v="386.96"/>
    <s v="Medium"/>
    <x v="411"/>
    <n v="937.46"/>
    <n v="0.26600000000000001"/>
    <n v="41"/>
    <n v="249.36436000000003"/>
    <n v="28211.92124"/>
    <n v="27962.55688"/>
    <n v="15865.359999999999"/>
    <n v="12346.561240000001"/>
    <n v="12097.196880000001"/>
    <n v="1.7782087037419889"/>
  </r>
  <r>
    <x v="413"/>
    <x v="307"/>
    <d v="2024-10-11T00:00:00"/>
    <d v="2024-11-09T00:00:00"/>
    <d v="2024-11-09T00:00:00"/>
    <n v="29"/>
    <x v="0"/>
    <x v="3"/>
    <x v="4"/>
    <s v="Non-Profit"/>
    <s v="Online"/>
    <s v="F. Müller"/>
    <s v="Printers"/>
    <s v="PRN-5666"/>
    <n v="391.64"/>
    <s v="Low"/>
    <x v="412"/>
    <n v="504.76"/>
    <n v="4.0000000000000001E-3"/>
    <n v="13"/>
    <n v="2.0190399999999999"/>
    <n v="6535.6324800000002"/>
    <n v="6533.6134400000001"/>
    <n v="5091.32"/>
    <n v="1444.3124800000005"/>
    <n v="1442.2934400000004"/>
    <n v="1.2836813400061282"/>
  </r>
  <r>
    <x v="414"/>
    <x v="308"/>
    <d v="2023-01-22T00:00:00"/>
    <d v="2023-01-22T00:00:00"/>
    <d v="2023-01-21T00:00:00"/>
    <n v="-1"/>
    <x v="1"/>
    <x v="1"/>
    <x v="32"/>
    <s v="Corporate"/>
    <s v="Direct"/>
    <s v="F. Müller"/>
    <s v="Monitors"/>
    <s v="MON-2537"/>
    <n v="150.86000000000001"/>
    <s v="Low"/>
    <x v="413"/>
    <n v="346.96"/>
    <n v="0.19600000000000001"/>
    <n v="8"/>
    <n v="68.004159999999999"/>
    <n v="2231.6467200000002"/>
    <n v="2163.6425600000002"/>
    <n v="1206.8800000000001"/>
    <n v="1024.7667200000001"/>
    <n v="956.76256000000012"/>
    <n v="1.8491040699986743"/>
  </r>
  <r>
    <x v="415"/>
    <x v="309"/>
    <d v="2024-02-29T00:00:00"/>
    <d v="2024-03-30T00:00:00"/>
    <d v="2024-03-30T00:00:00"/>
    <n v="30"/>
    <x v="0"/>
    <x v="0"/>
    <x v="1"/>
    <s v="Small Business"/>
    <s v="Direct"/>
    <s v="I. Johnson"/>
    <s v="Networking"/>
    <s v="NET-7588"/>
    <n v="231.11"/>
    <s v="Low"/>
    <x v="414"/>
    <n v="318.17"/>
    <n v="0.20100000000000001"/>
    <n v="60"/>
    <n v="63.95217000000001"/>
    <n v="15253.069799999999"/>
    <n v="15189.117629999999"/>
    <n v="13866.6"/>
    <n v="1386.4697999999989"/>
    <n v="1322.5176299999985"/>
    <n v="1.0999862835879017"/>
  </r>
  <r>
    <x v="416"/>
    <x v="309"/>
    <d v="2023-12-20T00:00:00"/>
    <d v="2024-01-14T00:00:00"/>
    <d v="2024-01-14T00:00:00"/>
    <n v="25"/>
    <x v="0"/>
    <x v="4"/>
    <x v="30"/>
    <s v="Non-Profit"/>
    <s v="Marketplace"/>
    <s v="L. Okafor"/>
    <s v="Monitors"/>
    <s v="MON-1572"/>
    <n v="1085.6099999999999"/>
    <s v="Medium"/>
    <x v="415"/>
    <n v="1246.4100000000001"/>
    <n v="0.113"/>
    <n v="7"/>
    <n v="140.84433000000001"/>
    <n v="7738.9596900000006"/>
    <n v="7598.1153600000007"/>
    <n v="7599.2699999999995"/>
    <n v="139.68969000000106"/>
    <n v="-1.1546399999988353"/>
    <n v="1.0183819880067428"/>
  </r>
  <r>
    <x v="417"/>
    <x v="310"/>
    <d v="2023-11-10T00:00:00"/>
    <d v="2023-11-28T00:00:00"/>
    <d v="2023-11-28T00:00:00"/>
    <n v="18"/>
    <x v="2"/>
    <x v="6"/>
    <x v="28"/>
    <s v="Education"/>
    <s v="Marketplace"/>
    <s v="L. Okafor"/>
    <s v="Accessories"/>
    <s v="ACC-5260"/>
    <n v="388.51"/>
    <s v="Medium"/>
    <x v="416"/>
    <n v="776.46"/>
    <n v="0.157"/>
    <n v="12"/>
    <n v="121.90422000000001"/>
    <n v="7854.6693599999999"/>
    <n v="7732.7651399999995"/>
    <n v="4662.12"/>
    <n v="3192.54936"/>
    <n v="3070.6451399999996"/>
    <n v="1.6847848961416694"/>
  </r>
  <r>
    <x v="418"/>
    <x v="311"/>
    <d v="2024-09-09T00:00:00"/>
    <d v="2024-10-01T00:00:00"/>
    <d v="2024-10-01T00:00:00"/>
    <n v="22"/>
    <x v="0"/>
    <x v="3"/>
    <x v="35"/>
    <s v="Consumer"/>
    <s v="Direct"/>
    <s v="L. Okafor"/>
    <s v="Printers"/>
    <s v="PRN-3014"/>
    <n v="1166.18"/>
    <s v="Medium"/>
    <x v="417"/>
    <n v="1335.02"/>
    <n v="0.128"/>
    <n v="6"/>
    <n v="170.88256000000001"/>
    <n v="6984.8246399999998"/>
    <n v="6813.9420799999998"/>
    <n v="6997.08"/>
    <n v="-12.25536000000011"/>
    <n v="-183.13792000000012"/>
    <n v="0.9982485036615274"/>
  </r>
  <r>
    <x v="419"/>
    <x v="311"/>
    <d v="2025-01-29T00:00:00"/>
    <d v="2025-02-06T00:00:00"/>
    <d v="2025-02-06T00:00:00"/>
    <n v="8"/>
    <x v="3"/>
    <x v="5"/>
    <x v="15"/>
    <s v="Education"/>
    <s v="Retail"/>
    <s v="B. Chen"/>
    <s v="Phones"/>
    <s v="PHN-1671"/>
    <n v="1445.27"/>
    <s v="High"/>
    <x v="418"/>
    <n v="2691.45"/>
    <n v="0"/>
    <n v="9"/>
    <n v="0"/>
    <n v="24223.05"/>
    <n v="24223.05"/>
    <n v="13007.43"/>
    <n v="11215.619999999999"/>
    <n v="11215.619999999999"/>
    <n v="1.8622471925660948"/>
  </r>
  <r>
    <x v="420"/>
    <x v="312"/>
    <d v="2025-07-14T00:00:00"/>
    <d v="2025-08-04T00:00:00"/>
    <d v="2025-08-04T00:00:00"/>
    <n v="21"/>
    <x v="2"/>
    <x v="2"/>
    <x v="29"/>
    <s v="Consumer"/>
    <s v="Online"/>
    <s v="H. Kim"/>
    <s v="Monitors"/>
    <s v="MON-7868"/>
    <n v="90.3"/>
    <s v="Low"/>
    <x v="419"/>
    <n v="131.76"/>
    <n v="0.10199999999999999"/>
    <n v="15"/>
    <n v="13.439519999999998"/>
    <n v="1774.8072"/>
    <n v="1761.3676800000001"/>
    <n v="1354.5"/>
    <n v="420.30719999999997"/>
    <n v="406.86768000000006"/>
    <n v="1.310304318936877"/>
  </r>
  <r>
    <x v="421"/>
    <x v="313"/>
    <d v="2024-10-02T00:00:00"/>
    <d v="2024-10-23T00:00:00"/>
    <d v="2024-10-23T00:00:00"/>
    <n v="21"/>
    <x v="3"/>
    <x v="11"/>
    <x v="34"/>
    <s v="Corporate"/>
    <s v="Marketplace"/>
    <s v="A. Patel"/>
    <s v="Components"/>
    <s v="CMP-3978"/>
    <n v="1095.6099999999999"/>
    <s v="High"/>
    <x v="420"/>
    <n v="2366.5100000000002"/>
    <n v="0.152"/>
    <n v="9"/>
    <n v="359.70952"/>
    <n v="18061.204320000004"/>
    <n v="17701.494800000004"/>
    <n v="9860.49"/>
    <n v="8200.7143200000046"/>
    <n v="7841.0048000000043"/>
    <n v="1.8316741176148452"/>
  </r>
  <r>
    <x v="422"/>
    <x v="314"/>
    <d v="2025-07-21T00:00:00"/>
    <d v="2025-08-07T00:00:00"/>
    <d v="2025-08-07T00:00:00"/>
    <n v="17"/>
    <x v="3"/>
    <x v="9"/>
    <x v="36"/>
    <s v="Enterprise"/>
    <s v="Direct"/>
    <s v="M. Rossi"/>
    <s v="Accessories"/>
    <s v="ACC-8999"/>
    <n v="1204.95"/>
    <s v="High"/>
    <x v="421"/>
    <n v="2065.73"/>
    <n v="0.13600000000000001"/>
    <n v="10"/>
    <n v="280.93928"/>
    <n v="17847.907199999998"/>
    <n v="17566.967919999999"/>
    <n v="12049.5"/>
    <n v="5798.4071999999978"/>
    <n v="5517.4679199999991"/>
    <n v="1.4812155857089504"/>
  </r>
  <r>
    <x v="423"/>
    <x v="315"/>
    <d v="2024-09-10T00:00:00"/>
    <d v="2024-10-07T00:00:00"/>
    <d v="2024-10-07T00:00:00"/>
    <n v="27"/>
    <x v="3"/>
    <x v="5"/>
    <x v="15"/>
    <s v="Consumer"/>
    <s v="Retail"/>
    <s v="L. Okafor"/>
    <s v="Printers"/>
    <s v="PRN-6068"/>
    <n v="1248.3900000000001"/>
    <s v="Medium"/>
    <x v="422"/>
    <n v="1805.11"/>
    <n v="0.20300000000000001"/>
    <n v="11"/>
    <n v="366.43733000000003"/>
    <n v="15825.399369999997"/>
    <n v="15458.962039999997"/>
    <n v="13732.29"/>
    <n v="2093.1093699999965"/>
    <n v="1726.6720399999958"/>
    <n v="1.1524224561234868"/>
  </r>
  <r>
    <x v="424"/>
    <x v="316"/>
    <d v="2023-07-02T00:00:00"/>
    <d v="2023-08-01T00:00:00"/>
    <d v="2023-08-01T00:00:00"/>
    <n v="30"/>
    <x v="1"/>
    <x v="7"/>
    <x v="38"/>
    <s v="Small Business"/>
    <s v="Retail"/>
    <s v="B. Chen"/>
    <s v="Components"/>
    <s v="CMP-7256"/>
    <n v="137.46"/>
    <s v="Low"/>
    <x v="423"/>
    <n v="188.3"/>
    <n v="3.7999999999999999E-2"/>
    <n v="37"/>
    <n v="7.1554000000000002"/>
    <n v="6702.3501999999999"/>
    <n v="6695.1948000000002"/>
    <n v="5086.0200000000004"/>
    <n v="1616.3301999999994"/>
    <n v="1609.1747999999998"/>
    <n v="1.3177986323294049"/>
  </r>
  <r>
    <x v="425"/>
    <x v="316"/>
    <d v="2025-01-21T00:00:00"/>
    <d v="2025-02-14T00:00:00"/>
    <d v="2025-02-14T00:00:00"/>
    <n v="24"/>
    <x v="3"/>
    <x v="5"/>
    <x v="7"/>
    <s v="Small Business"/>
    <s v="Retail"/>
    <s v="J. Njeri"/>
    <s v="Accessories"/>
    <s v="ACC-1659"/>
    <n v="1030.44"/>
    <s v="High"/>
    <x v="424"/>
    <n v="2562.84"/>
    <n v="0.14799999999999999"/>
    <n v="13"/>
    <n v="379.30032"/>
    <n v="28386.015839999996"/>
    <n v="28006.715519999998"/>
    <n v="13395.720000000001"/>
    <n v="14990.295839999995"/>
    <n v="14610.995519999997"/>
    <n v="2.1190362175381385"/>
  </r>
  <r>
    <x v="426"/>
    <x v="317"/>
    <d v="2025-02-04T00:00:00"/>
    <d v="2025-02-25T00:00:00"/>
    <d v="2025-02-25T00:00:00"/>
    <n v="21"/>
    <x v="1"/>
    <x v="7"/>
    <x v="38"/>
    <s v="Corporate"/>
    <s v="Marketplace"/>
    <s v="D. Smith"/>
    <s v="Monitors"/>
    <s v="MON-4959"/>
    <n v="1016.32"/>
    <s v="High"/>
    <x v="425"/>
    <n v="2253.42"/>
    <n v="5.5E-2"/>
    <n v="12"/>
    <n v="123.93810000000001"/>
    <n v="25553.782800000001"/>
    <n v="25429.844700000001"/>
    <n v="12195.84"/>
    <n v="13357.942800000001"/>
    <n v="13234.004700000001"/>
    <n v="2.0952868191120908"/>
  </r>
  <r>
    <x v="427"/>
    <x v="317"/>
    <d v="2023-04-19T00:00:00"/>
    <d v="2023-04-28T00:00:00"/>
    <d v="2023-04-28T00:00:00"/>
    <n v="9"/>
    <x v="1"/>
    <x v="1"/>
    <x v="33"/>
    <s v="Education"/>
    <s v="Online"/>
    <s v="E. Garcia"/>
    <s v="Monitors"/>
    <s v="MON-1663"/>
    <n v="1178.42"/>
    <s v="High"/>
    <x v="426"/>
    <n v="2446.56"/>
    <n v="2.9000000000000001E-2"/>
    <n v="11"/>
    <n v="70.950240000000008"/>
    <n v="26131.70736"/>
    <n v="26060.757120000002"/>
    <n v="12962.62"/>
    <n v="13169.08736"/>
    <n v="13098.137120000001"/>
    <n v="2.0159279034639601"/>
  </r>
  <r>
    <x v="428"/>
    <x v="318"/>
    <d v="2023-01-20T00:00:00"/>
    <d v="2023-02-03T00:00:00"/>
    <d v="2023-02-03T00:00:00"/>
    <n v="14"/>
    <x v="3"/>
    <x v="5"/>
    <x v="15"/>
    <s v="Corporate"/>
    <s v="Retail"/>
    <s v="M. Rossi"/>
    <s v="Networking"/>
    <s v="NET-6036"/>
    <n v="884.36"/>
    <s v="Medium"/>
    <x v="427"/>
    <n v="1545.34"/>
    <n v="0.24299999999999999"/>
    <n v="41"/>
    <n v="375.51761999999997"/>
    <n v="47962.717579999997"/>
    <n v="47587.199959999998"/>
    <n v="36258.76"/>
    <n v="11703.957579999995"/>
    <n v="11328.439959999996"/>
    <n v="1.3227897914876292"/>
  </r>
  <r>
    <x v="429"/>
    <x v="319"/>
    <d v="2023-08-15T00:00:00"/>
    <d v="2023-09-07T00:00:00"/>
    <d v="2023-09-07T00:00:00"/>
    <n v="23"/>
    <x v="2"/>
    <x v="10"/>
    <x v="27"/>
    <s v="Enterprise"/>
    <s v="Online"/>
    <s v="K. Singh"/>
    <s v="Phones"/>
    <s v="PHN-2013"/>
    <n v="590.33000000000004"/>
    <s v="Medium"/>
    <x v="428"/>
    <n v="973.04"/>
    <n v="0"/>
    <n v="26"/>
    <n v="0"/>
    <n v="25299.040000000001"/>
    <n v="25299.040000000001"/>
    <n v="15348.580000000002"/>
    <n v="9950.4599999999991"/>
    <n v="9950.4599999999991"/>
    <n v="1.6482984093642539"/>
  </r>
  <r>
    <x v="430"/>
    <x v="320"/>
    <d v="2024-01-12T00:00:00"/>
    <d v="2024-01-29T00:00:00"/>
    <d v="2024-01-29T00:00:00"/>
    <n v="17"/>
    <x v="2"/>
    <x v="10"/>
    <x v="16"/>
    <s v="Education"/>
    <s v="Distributor"/>
    <s v="A. Patel"/>
    <s v="Printers"/>
    <s v="PRN-8604"/>
    <n v="493.76"/>
    <s v="Medium"/>
    <x v="429"/>
    <n v="625.04"/>
    <n v="0.25800000000000001"/>
    <n v="10"/>
    <n v="161.26032000000001"/>
    <n v="4637.7968000000001"/>
    <n v="4476.5364799999998"/>
    <n v="4937.6000000000004"/>
    <n v="-299.80320000000029"/>
    <n v="-461.06352000000061"/>
    <n v="0.93928159429682434"/>
  </r>
  <r>
    <x v="431"/>
    <x v="321"/>
    <d v="2023-01-13T00:00:00"/>
    <d v="2023-01-19T00:00:00"/>
    <d v="2023-01-19T00:00:00"/>
    <n v="6"/>
    <x v="2"/>
    <x v="10"/>
    <x v="16"/>
    <s v="Corporate"/>
    <s v="Direct"/>
    <s v="H. Kim"/>
    <s v="Phones"/>
    <s v="PHN-3159"/>
    <n v="833.57"/>
    <s v="Medium"/>
    <x v="430"/>
    <n v="881.57"/>
    <n v="5.7000000000000002E-2"/>
    <n v="18"/>
    <n v="50.249490000000002"/>
    <n v="14963.769179999999"/>
    <n v="14913.519689999999"/>
    <n v="15004.26"/>
    <n v="-40.490820000000895"/>
    <n v="-90.740310000001045"/>
    <n v="0.99730137840853195"/>
  </r>
  <r>
    <x v="432"/>
    <x v="322"/>
    <d v="2023-04-14T00:00:00"/>
    <d v="2023-05-13T00:00:00"/>
    <d v="2023-05-13T00:00:00"/>
    <n v="29"/>
    <x v="1"/>
    <x v="1"/>
    <x v="2"/>
    <s v="Consumer"/>
    <s v="Direct"/>
    <s v="J. Njeri"/>
    <s v="Printers"/>
    <s v="PRN-7019"/>
    <n v="1320.33"/>
    <s v="High"/>
    <x v="431"/>
    <n v="2645.23"/>
    <n v="0.155"/>
    <n v="25"/>
    <n v="410.01065"/>
    <n v="55880.483749999999"/>
    <n v="55470.473100000003"/>
    <n v="33008.25"/>
    <n v="22872.233749999999"/>
    <n v="22462.223100000003"/>
    <n v="1.692924761233934"/>
  </r>
  <r>
    <x v="433"/>
    <x v="323"/>
    <d v="2023-01-30T00:00:00"/>
    <d v="2023-02-21T00:00:00"/>
    <d v="2023-02-21T00:00:00"/>
    <n v="22"/>
    <x v="1"/>
    <x v="1"/>
    <x v="32"/>
    <s v="Small Business"/>
    <s v="Marketplace"/>
    <s v="G. Dubois"/>
    <s v="Networking"/>
    <s v="NET-3460"/>
    <n v="1142.8800000000001"/>
    <s v="Medium"/>
    <x v="432"/>
    <n v="1465.29"/>
    <n v="0.186"/>
    <n v="7"/>
    <n v="272.54393999999996"/>
    <n v="8349.2224200000001"/>
    <n v="8076.6784800000005"/>
    <n v="8000.1600000000008"/>
    <n v="349.06241999999929"/>
    <n v="76.518479999999727"/>
    <n v="1.0436319298614027"/>
  </r>
  <r>
    <x v="434"/>
    <x v="324"/>
    <d v="2024-02-11T00:00:00"/>
    <d v="2024-03-03T00:00:00"/>
    <d v="2024-03-03T00:00:00"/>
    <n v="21"/>
    <x v="3"/>
    <x v="5"/>
    <x v="15"/>
    <s v="Enterprise"/>
    <s v="Online"/>
    <s v="B. Chen"/>
    <s v="Phones"/>
    <s v="PHN-5082"/>
    <n v="516.86"/>
    <s v="Medium"/>
    <x v="433"/>
    <n v="852.54"/>
    <n v="5.0999999999999997E-2"/>
    <n v="14"/>
    <n v="43.479539999999993"/>
    <n v="11326.846439999999"/>
    <n v="11283.366899999999"/>
    <n v="7236.04"/>
    <n v="4090.8064399999994"/>
    <n v="4047.3268999999991"/>
    <n v="1.5653377316874975"/>
  </r>
  <r>
    <x v="435"/>
    <x v="325"/>
    <d v="2024-10-23T00:00:00"/>
    <d v="2024-11-14T00:00:00"/>
    <d v="2024-11-14T00:00:00"/>
    <n v="22"/>
    <x v="0"/>
    <x v="0"/>
    <x v="0"/>
    <s v="Non-Profit"/>
    <s v="Direct"/>
    <s v="B. Chen"/>
    <s v="Phones"/>
    <s v="PHN-9789"/>
    <n v="1406.4"/>
    <s v="Medium"/>
    <x v="434"/>
    <n v="1564.76"/>
    <n v="0.185"/>
    <n v="17"/>
    <n v="289.48059999999998"/>
    <n v="21679.749799999998"/>
    <n v="21390.269199999999"/>
    <n v="23908.800000000003"/>
    <n v="-2229.0502000000051"/>
    <n v="-2518.5308000000041"/>
    <n v="0.90676862912400436"/>
  </r>
  <r>
    <x v="436"/>
    <x v="326"/>
    <d v="2024-09-22T00:00:00"/>
    <d v="2024-10-01T00:00:00"/>
    <d v="2024-10-01T00:00:00"/>
    <n v="9"/>
    <x v="2"/>
    <x v="6"/>
    <x v="26"/>
    <s v="Non-Profit"/>
    <s v="Online"/>
    <s v="K. Singh"/>
    <s v="Monitors"/>
    <s v="MON-6341"/>
    <n v="1378.8"/>
    <s v="High"/>
    <x v="435"/>
    <n v="1952.04"/>
    <n v="0.159"/>
    <n v="19"/>
    <n v="310.37436000000002"/>
    <n v="31191.64716"/>
    <n v="30881.272799999999"/>
    <n v="26197.200000000001"/>
    <n v="4994.4471599999997"/>
    <n v="4684.0727999999981"/>
    <n v="1.1906481288076589"/>
  </r>
  <r>
    <x v="437"/>
    <x v="327"/>
    <d v="2023-05-04T00:00:00"/>
    <d v="2023-05-26T00:00:00"/>
    <d v="2023-05-26T00:00:00"/>
    <n v="22"/>
    <x v="2"/>
    <x v="10"/>
    <x v="23"/>
    <s v="Enterprise"/>
    <s v="Online"/>
    <s v="J. Njeri"/>
    <s v="Networking"/>
    <s v="NET-5941"/>
    <n v="249.71"/>
    <s v="Low"/>
    <x v="436"/>
    <n v="361.33"/>
    <n v="9.4E-2"/>
    <n v="12"/>
    <n v="33.965019999999996"/>
    <n v="3928.3797600000003"/>
    <n v="3894.4147400000002"/>
    <n v="2996.52"/>
    <n v="931.85976000000028"/>
    <n v="897.89474000000018"/>
    <n v="1.3109806575627729"/>
  </r>
  <r>
    <x v="438"/>
    <x v="328"/>
    <d v="2023-10-15T00:00:00"/>
    <d v="2023-11-13T00:00:00"/>
    <d v="2023-11-13T00:00:00"/>
    <n v="29"/>
    <x v="0"/>
    <x v="3"/>
    <x v="35"/>
    <s v="Non-Profit"/>
    <s v="Distributor"/>
    <s v="J. Njeri"/>
    <s v="Printers"/>
    <s v="PRN-4983"/>
    <n v="986.44"/>
    <s v="Medium"/>
    <x v="437"/>
    <n v="790.61"/>
    <n v="7.1999999999999995E-2"/>
    <n v="6"/>
    <n v="56.923919999999995"/>
    <n v="4402.1164799999997"/>
    <n v="4345.1925599999995"/>
    <n v="5918.64"/>
    <n v="-1516.5235200000006"/>
    <n v="-1573.4474400000008"/>
    <n v="0.74377162321073753"/>
  </r>
  <r>
    <x v="439"/>
    <x v="329"/>
    <d v="2024-08-12T00:00:00"/>
    <d v="2024-09-03T00:00:00"/>
    <d v="2024-09-03T00:00:00"/>
    <n v="22"/>
    <x v="2"/>
    <x v="10"/>
    <x v="17"/>
    <s v="Consumer"/>
    <s v="Distributor"/>
    <s v="I. Johnson"/>
    <s v="Laptops"/>
    <s v="LAP-7979"/>
    <n v="797.8"/>
    <s v="Medium"/>
    <x v="438"/>
    <n v="886.22"/>
    <n v="0.23599999999999999"/>
    <n v="36"/>
    <n v="209.14792"/>
    <n v="24374.594880000001"/>
    <n v="24165.446960000001"/>
    <n v="28720.799999999999"/>
    <n v="-4346.2051199999987"/>
    <n v="-4555.3530399999981"/>
    <n v="0.84867395337177243"/>
  </r>
  <r>
    <x v="440"/>
    <x v="330"/>
    <d v="2024-05-19T00:00:00"/>
    <d v="2024-06-08T00:00:00"/>
    <d v="2024-06-08T00:00:00"/>
    <n v="20"/>
    <x v="2"/>
    <x v="6"/>
    <x v="28"/>
    <s v="Small Business"/>
    <s v="Retail"/>
    <s v="E. Garcia"/>
    <s v="Monitors"/>
    <s v="MON-4271"/>
    <n v="1075.9000000000001"/>
    <s v="Medium"/>
    <x v="439"/>
    <n v="1242.1500000000001"/>
    <n v="1.2E-2"/>
    <n v="7"/>
    <n v="14.905800000000001"/>
    <n v="8590.7094000000016"/>
    <n v="8575.8036000000011"/>
    <n v="7531.3000000000011"/>
    <n v="1059.4094000000005"/>
    <n v="1044.5036"/>
    <n v="1.1406675341574497"/>
  </r>
  <r>
    <x v="441"/>
    <x v="330"/>
    <d v="2024-02-03T00:00:00"/>
    <d v="2024-02-19T00:00:00"/>
    <d v="2024-02-19T00:00:00"/>
    <n v="16"/>
    <x v="0"/>
    <x v="3"/>
    <x v="35"/>
    <s v="Small Business"/>
    <s v="Online"/>
    <s v="H. Kim"/>
    <s v="Laptops"/>
    <s v="LAP-5531"/>
    <n v="993.75"/>
    <s v="Medium"/>
    <x v="440"/>
    <n v="1310.29"/>
    <n v="0.215"/>
    <n v="19"/>
    <n v="281.71235000000001"/>
    <n v="19542.975350000001"/>
    <n v="19261.262999999999"/>
    <n v="18881.25"/>
    <n v="661.72535000000062"/>
    <n v="380.01299999999901"/>
    <n v="1.0350466918238994"/>
  </r>
  <r>
    <x v="442"/>
    <x v="330"/>
    <d v="2023-08-08T00:00:00"/>
    <d v="2023-08-22T00:00:00"/>
    <d v="2023-08-22T00:00:00"/>
    <n v="14"/>
    <x v="1"/>
    <x v="7"/>
    <x v="38"/>
    <s v="Non-Profit"/>
    <s v="Direct"/>
    <s v="N. Brown"/>
    <s v="Monitors"/>
    <s v="MON-7511"/>
    <n v="446.69"/>
    <s v="Medium"/>
    <x v="441"/>
    <n v="967.25"/>
    <n v="9.4E-2"/>
    <n v="10"/>
    <n v="90.921499999999995"/>
    <n v="8763.2849999999999"/>
    <n v="8672.3634999999995"/>
    <n v="4466.8999999999996"/>
    <n v="4296.3850000000002"/>
    <n v="4205.4634999999998"/>
    <n v="1.9618269941122479"/>
  </r>
  <r>
    <x v="443"/>
    <x v="331"/>
    <d v="2023-07-19T00:00:00"/>
    <d v="2023-07-31T00:00:00"/>
    <d v="2023-07-31T00:00:00"/>
    <n v="12"/>
    <x v="2"/>
    <x v="6"/>
    <x v="8"/>
    <s v="Corporate"/>
    <s v="Retail"/>
    <s v="C. Otieno"/>
    <s v="Monitors"/>
    <s v="MON-7869"/>
    <n v="1334.64"/>
    <s v="High"/>
    <x v="442"/>
    <n v="2273.42"/>
    <n v="0.11799999999999999"/>
    <n v="14"/>
    <n v="268.26355999999998"/>
    <n v="28072.190160000002"/>
    <n v="27803.926600000003"/>
    <n v="18684.960000000003"/>
    <n v="9387.2301599999992"/>
    <n v="9118.9665999999997"/>
    <n v="1.5023949829167416"/>
  </r>
  <r>
    <x v="444"/>
    <x v="332"/>
    <d v="2023-01-29T00:00:00"/>
    <d v="2023-02-28T00:00:00"/>
    <d v="2023-02-28T00:00:00"/>
    <n v="30"/>
    <x v="0"/>
    <x v="4"/>
    <x v="31"/>
    <s v="Non-Profit"/>
    <s v="Retail"/>
    <s v="B. Chen"/>
    <s v="Accessories"/>
    <s v="ACC-4631"/>
    <n v="1262.0999999999999"/>
    <s v="Medium"/>
    <x v="443"/>
    <n v="1395.53"/>
    <n v="0.23300000000000001"/>
    <n v="25"/>
    <n v="325.15849000000003"/>
    <n v="26759.28775"/>
    <n v="26434.129259999998"/>
    <n v="31552.499999999996"/>
    <n v="-4793.2122499999969"/>
    <n v="-5118.3707399999985"/>
    <n v="0.8480877188812298"/>
  </r>
  <r>
    <x v="445"/>
    <x v="333"/>
    <d v="2025-01-13T00:00:00"/>
    <d v="2025-02-08T00:00:00"/>
    <d v="2025-02-08T00:00:00"/>
    <n v="26"/>
    <x v="1"/>
    <x v="8"/>
    <x v="11"/>
    <s v="Non-Profit"/>
    <s v="Distributor"/>
    <s v="E. Garcia"/>
    <s v="Monitors"/>
    <s v="MON-1593"/>
    <n v="594.74"/>
    <s v="Medium"/>
    <x v="444"/>
    <n v="1020.69"/>
    <n v="0.21099999999999999"/>
    <n v="6"/>
    <n v="215.36559"/>
    <n v="4831.9464600000001"/>
    <n v="4616.5808699999998"/>
    <n v="3568.44"/>
    <n v="1263.5064600000001"/>
    <n v="1048.1408699999997"/>
    <n v="1.3540781013552141"/>
  </r>
  <r>
    <x v="446"/>
    <x v="334"/>
    <d v="2023-06-22T00:00:00"/>
    <d v="2023-07-21T00:00:00"/>
    <d v="2023-07-21T00:00:00"/>
    <n v="29"/>
    <x v="1"/>
    <x v="8"/>
    <x v="24"/>
    <s v="Corporate"/>
    <s v="Retail"/>
    <s v="J. Njeri"/>
    <s v="Accessories"/>
    <s v="ACC-3385"/>
    <n v="734.34"/>
    <s v="Medium"/>
    <x v="445"/>
    <n v="887.9"/>
    <n v="2.5000000000000001E-2"/>
    <n v="12"/>
    <n v="22.197500000000002"/>
    <n v="10388.429999999998"/>
    <n v="10366.232499999998"/>
    <n v="8812.08"/>
    <n v="1576.3499999999985"/>
    <n v="1554.1524999999983"/>
    <n v="1.1788851213334421"/>
  </r>
  <r>
    <x v="447"/>
    <x v="335"/>
    <d v="2023-08-19T00:00:00"/>
    <d v="2023-08-23T00:00:00"/>
    <d v="2023-08-23T00:00:00"/>
    <n v="4"/>
    <x v="3"/>
    <x v="9"/>
    <x v="25"/>
    <s v="Small Business"/>
    <s v="Online"/>
    <s v="J. Njeri"/>
    <s v="Monitors"/>
    <s v="MON-5517"/>
    <n v="790.63"/>
    <s v="Medium"/>
    <x v="446"/>
    <n v="1382.31"/>
    <n v="0.10100000000000001"/>
    <n v="7"/>
    <n v="139.61331000000001"/>
    <n v="8698.8768300000011"/>
    <n v="8559.2635200000004"/>
    <n v="5534.41"/>
    <n v="3164.4668300000012"/>
    <n v="3024.8535200000006"/>
    <n v="1.571780339729077"/>
  </r>
  <r>
    <x v="448"/>
    <x v="335"/>
    <d v="2024-10-22T00:00:00"/>
    <d v="2024-10-29T00:00:00"/>
    <d v="2024-10-29T00:00:00"/>
    <n v="7"/>
    <x v="3"/>
    <x v="9"/>
    <x v="13"/>
    <s v="Enterprise"/>
    <s v="Distributor"/>
    <s v="M. Rossi"/>
    <s v="Monitors"/>
    <s v="MON-8758"/>
    <n v="1023.06"/>
    <s v="Medium"/>
    <x v="447"/>
    <n v="1355.61"/>
    <n v="0.153"/>
    <n v="23"/>
    <n v="207.40832999999998"/>
    <n v="26408.63841"/>
    <n v="26201.230080000001"/>
    <n v="23530.379999999997"/>
    <n v="2878.2584100000022"/>
    <n v="2670.8500800000038"/>
    <n v="1.1223209489179522"/>
  </r>
  <r>
    <x v="449"/>
    <x v="336"/>
    <d v="2025-02-02T00:00:00"/>
    <d v="2025-03-04T00:00:00"/>
    <d v="2025-03-04T00:00:00"/>
    <n v="30"/>
    <x v="0"/>
    <x v="0"/>
    <x v="0"/>
    <s v="Education"/>
    <s v="Distributor"/>
    <s v="L. Okafor"/>
    <s v="Accessories"/>
    <s v="ACC-9591"/>
    <n v="766.59"/>
    <s v="High"/>
    <x v="448"/>
    <n v="1912.8"/>
    <n v="0.19600000000000001"/>
    <n v="5"/>
    <n v="374.90879999999999"/>
    <n v="7689.4560000000001"/>
    <n v="7314.5472"/>
    <n v="3832.9500000000003"/>
    <n v="3856.5059999999999"/>
    <n v="3481.5971999999997"/>
    <n v="2.0061456580440651"/>
  </r>
  <r>
    <x v="450"/>
    <x v="337"/>
    <d v="2024-10-03T00:00:00"/>
    <d v="2024-10-11T00:00:00"/>
    <d v="2024-10-11T00:00:00"/>
    <n v="8"/>
    <x v="0"/>
    <x v="3"/>
    <x v="37"/>
    <s v="Enterprise"/>
    <s v="Direct"/>
    <s v="B. Chen"/>
    <s v="Phones"/>
    <s v="PHN-7488"/>
    <n v="1132.6099999999999"/>
    <s v="High"/>
    <x v="449"/>
    <n v="2206.63"/>
    <n v="6.3E-2"/>
    <n v="20"/>
    <n v="139.01769000000002"/>
    <n v="41352.246200000009"/>
    <n v="41213.228510000008"/>
    <n v="22652.199999999997"/>
    <n v="18700.046200000012"/>
    <n v="18561.028510000011"/>
    <n v="1.8255289199283078"/>
  </r>
  <r>
    <x v="451"/>
    <x v="338"/>
    <d v="2025-09-15T00:00:00"/>
    <d v="2025-09-18T00:00:00"/>
    <d v="2025-09-18T00:00:00"/>
    <n v="3"/>
    <x v="2"/>
    <x v="6"/>
    <x v="8"/>
    <s v="Non-Profit"/>
    <s v="Direct"/>
    <s v="L. Okafor"/>
    <s v="Accessories"/>
    <s v="ACC-6777"/>
    <n v="5.5"/>
    <s v="Low"/>
    <x v="450"/>
    <n v="5.92"/>
    <n v="0.21199999999999999"/>
    <n v="4"/>
    <n v="1.2550399999999999"/>
    <n v="18.659839999999999"/>
    <n v="17.404799999999998"/>
    <n v="22"/>
    <n v="-3.3401600000000009"/>
    <n v="-4.5952000000000019"/>
    <n v="0.8481745454545454"/>
  </r>
  <r>
    <x v="452"/>
    <x v="339"/>
    <d v="2023-04-05T00:00:00"/>
    <d v="2023-04-16T00:00:00"/>
    <d v="2023-04-16T00:00:00"/>
    <n v="11"/>
    <x v="2"/>
    <x v="2"/>
    <x v="3"/>
    <s v="Non-Profit"/>
    <s v="Online"/>
    <s v="O. Wang"/>
    <s v="Monitors"/>
    <s v="MON-5259"/>
    <n v="213.1"/>
    <s v="Low"/>
    <x v="451"/>
    <n v="501.31"/>
    <n v="5.6000000000000001E-2"/>
    <n v="15"/>
    <n v="28.073360000000001"/>
    <n v="7098.5495999999994"/>
    <n v="7070.4762399999991"/>
    <n v="3196.5"/>
    <n v="3902.0495999999994"/>
    <n v="3873.9762399999991"/>
    <n v="2.2207256687001404"/>
  </r>
  <r>
    <x v="453"/>
    <x v="339"/>
    <d v="2025-08-21T00:00:00"/>
    <d v="2025-09-12T00:00:00"/>
    <d v="2025-09-12T00:00:00"/>
    <n v="22"/>
    <x v="0"/>
    <x v="3"/>
    <x v="35"/>
    <s v="Education"/>
    <s v="Retail"/>
    <s v="B. Chen"/>
    <s v="Printers"/>
    <s v="PRN-8137"/>
    <n v="352.66"/>
    <s v="Low"/>
    <x v="452"/>
    <n v="411.18"/>
    <n v="0.17299999999999999"/>
    <n v="13"/>
    <n v="71.134140000000002"/>
    <n v="4420.5961799999995"/>
    <n v="4349.4620399999994"/>
    <n v="4584.58"/>
    <n v="-163.98382000000038"/>
    <n v="-235.11796000000049"/>
    <n v="0.96423144104803482"/>
  </r>
  <r>
    <x v="454"/>
    <x v="340"/>
    <d v="2024-02-03T00:00:00"/>
    <d v="2024-02-21T00:00:00"/>
    <d v="2024-02-21T00:00:00"/>
    <n v="18"/>
    <x v="1"/>
    <x v="1"/>
    <x v="2"/>
    <s v="Corporate"/>
    <s v="Retail"/>
    <s v="H. Kim"/>
    <s v="Components"/>
    <s v="CMP-9264"/>
    <n v="39.229999999999997"/>
    <s v="Low"/>
    <x v="453"/>
    <n v="30.09"/>
    <n v="0.17699999999999999"/>
    <n v="13"/>
    <n v="5.3259299999999996"/>
    <n v="321.93290999999999"/>
    <n v="316.60698000000002"/>
    <n v="509.98999999999995"/>
    <n v="-188.05708999999996"/>
    <n v="-193.38301999999993"/>
    <n v="0.63125337751720623"/>
  </r>
  <r>
    <x v="455"/>
    <x v="341"/>
    <d v="2023-08-27T00:00:00"/>
    <d v="2023-09-11T00:00:00"/>
    <d v="2023-09-11T00:00:00"/>
    <n v="15"/>
    <x v="1"/>
    <x v="7"/>
    <x v="10"/>
    <s v="Consumer"/>
    <s v="Marketplace"/>
    <s v="N. Brown"/>
    <s v="Printers"/>
    <s v="PRN-5107"/>
    <n v="943.79"/>
    <s v="High"/>
    <x v="454"/>
    <n v="1913.76"/>
    <n v="9.0999999999999998E-2"/>
    <n v="9"/>
    <n v="174.15215999999998"/>
    <n v="15656.47056"/>
    <n v="15482.3184"/>
    <n v="8494.11"/>
    <n v="7162.3605599999992"/>
    <n v="6988.2083999999995"/>
    <n v="1.8432149524788353"/>
  </r>
  <r>
    <x v="456"/>
    <x v="342"/>
    <d v="2025-04-14T00:00:00"/>
    <d v="2025-05-04T00:00:00"/>
    <d v="2025-05-04T00:00:00"/>
    <n v="20"/>
    <x v="1"/>
    <x v="7"/>
    <x v="38"/>
    <s v="Enterprise"/>
    <s v="Marketplace"/>
    <s v="K. Singh"/>
    <s v="Monitors"/>
    <s v="MON-6962"/>
    <n v="1413.87"/>
    <s v="High"/>
    <x v="455"/>
    <n v="3275"/>
    <n v="0.255"/>
    <n v="38"/>
    <n v="835.125"/>
    <n v="92715.25"/>
    <n v="91880.125"/>
    <n v="53727.06"/>
    <n v="38988.19"/>
    <n v="38153.065000000002"/>
    <n v="1.7256713842149562"/>
  </r>
  <r>
    <x v="457"/>
    <x v="343"/>
    <d v="2024-05-23T00:00:00"/>
    <d v="2024-06-03T00:00:00"/>
    <d v="2024-06-03T00:00:00"/>
    <n v="11"/>
    <x v="3"/>
    <x v="11"/>
    <x v="19"/>
    <s v="Small Business"/>
    <s v="Distributor"/>
    <s v="F. Müller"/>
    <s v="Printers"/>
    <s v="PRN-3785"/>
    <n v="180.89"/>
    <s v="Low"/>
    <x v="456"/>
    <n v="249.57"/>
    <n v="2.1999999999999999E-2"/>
    <n v="8"/>
    <n v="5.4905399999999993"/>
    <n v="1952.6356799999999"/>
    <n v="1947.1451399999999"/>
    <n v="1447.12"/>
    <n v="505.51567999999997"/>
    <n v="500.02513999999996"/>
    <n v="1.3493253358394603"/>
  </r>
  <r>
    <x v="458"/>
    <x v="344"/>
    <d v="2024-07-15T00:00:00"/>
    <d v="2024-07-15T00:00:00"/>
    <d v="2024-07-15T00:00:00"/>
    <n v="0"/>
    <x v="0"/>
    <x v="0"/>
    <x v="14"/>
    <s v="Small Business"/>
    <s v="Marketplace"/>
    <s v="G. Dubois"/>
    <s v="Accessories"/>
    <s v="ACC-2735"/>
    <n v="801.77"/>
    <s v="Medium"/>
    <x v="457"/>
    <n v="1218.92"/>
    <n v="0.254"/>
    <n v="16"/>
    <n v="309.60568000000001"/>
    <n v="14549.029120000001"/>
    <n v="14239.42344"/>
    <n v="12828.32"/>
    <n v="1720.7091200000013"/>
    <n v="1411.1034400000008"/>
    <n v="1.1341336293450741"/>
  </r>
  <r>
    <x v="459"/>
    <x v="344"/>
    <d v="2023-09-21T00:00:00"/>
    <d v="2023-10-10T00:00:00"/>
    <d v="2023-10-10T00:00:00"/>
    <n v="19"/>
    <x v="0"/>
    <x v="0"/>
    <x v="14"/>
    <s v="Education"/>
    <s v="Online"/>
    <s v="D. Smith"/>
    <s v="Components"/>
    <s v="CMP-5211"/>
    <n v="845.63"/>
    <s v="High"/>
    <x v="458"/>
    <n v="2062.12"/>
    <n v="0.13400000000000001"/>
    <n v="5"/>
    <n v="276.32407999999998"/>
    <n v="8928.9795999999988"/>
    <n v="8652.6555199999984"/>
    <n v="4228.1499999999996"/>
    <n v="4700.8295999999991"/>
    <n v="4424.5055199999988"/>
    <n v="2.1117934794177122"/>
  </r>
  <r>
    <x v="460"/>
    <x v="344"/>
    <d v="2023-02-24T00:00:00"/>
    <d v="2023-03-09T00:00:00"/>
    <d v="2023-03-09T00:00:00"/>
    <n v="13"/>
    <x v="2"/>
    <x v="10"/>
    <x v="27"/>
    <s v="Enterprise"/>
    <s v="Online"/>
    <s v="M. Rossi"/>
    <s v="Components"/>
    <s v="CMP-1632"/>
    <n v="6.85"/>
    <s v="Low"/>
    <x v="459"/>
    <n v="10.18"/>
    <n v="4.7E-2"/>
    <n v="10"/>
    <n v="0.47846"/>
    <n v="97.0154"/>
    <n v="96.536940000000001"/>
    <n v="68.5"/>
    <n v="28.5154"/>
    <n v="28.036940000000001"/>
    <n v="1.4162832116788322"/>
  </r>
  <r>
    <x v="461"/>
    <x v="344"/>
    <d v="2025-05-21T00:00:00"/>
    <d v="2025-05-21T00:00:00"/>
    <d v="2025-05-19T00:00:00"/>
    <n v="-2"/>
    <x v="3"/>
    <x v="11"/>
    <x v="19"/>
    <s v="Non-Profit"/>
    <s v="Distributor"/>
    <s v="O. Wang"/>
    <s v="Laptops"/>
    <s v="LAP-7099"/>
    <n v="1263.8399999999999"/>
    <s v="High"/>
    <x v="460"/>
    <n v="2281.7199999999998"/>
    <n v="7.8E-2"/>
    <n v="15"/>
    <n v="177.97415999999998"/>
    <n v="31556.187599999997"/>
    <n v="31378.213439999996"/>
    <n v="18957.599999999999"/>
    <n v="12598.587599999999"/>
    <n v="12420.613439999997"/>
    <n v="1.6645665907076845"/>
  </r>
  <r>
    <x v="462"/>
    <x v="345"/>
    <d v="2024-10-09T00:00:00"/>
    <d v="2024-11-08T00:00:00"/>
    <d v="2024-11-08T00:00:00"/>
    <n v="30"/>
    <x v="1"/>
    <x v="7"/>
    <x v="12"/>
    <s v="Small Business"/>
    <s v="Distributor"/>
    <s v="J. Njeri"/>
    <s v="Components"/>
    <s v="CMP-1072"/>
    <n v="343.85"/>
    <s v="Low"/>
    <x v="461"/>
    <n v="538.04"/>
    <n v="0.13900000000000001"/>
    <n v="5"/>
    <n v="74.787559999999999"/>
    <n v="2316.2621999999997"/>
    <n v="2241.4746399999995"/>
    <n v="1719.25"/>
    <n v="597.01219999999967"/>
    <n v="522.22463999999945"/>
    <n v="1.3472515340991709"/>
  </r>
  <r>
    <x v="463"/>
    <x v="346"/>
    <d v="2023-10-07T00:00:00"/>
    <d v="2023-10-23T00:00:00"/>
    <d v="2023-10-23T00:00:00"/>
    <n v="16"/>
    <x v="0"/>
    <x v="4"/>
    <x v="5"/>
    <s v="Consumer"/>
    <s v="Retail"/>
    <s v="G. Dubois"/>
    <s v="Monitors"/>
    <s v="MON-7602"/>
    <n v="906.81"/>
    <s v="Medium"/>
    <x v="462"/>
    <n v="1395.56"/>
    <n v="0.185"/>
    <n v="6"/>
    <n v="258.17859999999996"/>
    <n v="6824.2884000000004"/>
    <n v="6566.1098000000002"/>
    <n v="5440.86"/>
    <n v="1383.4284000000007"/>
    <n v="1125.2498000000005"/>
    <n v="1.2542664946350395"/>
  </r>
  <r>
    <x v="464"/>
    <x v="347"/>
    <d v="2024-05-23T00:00:00"/>
    <d v="2024-06-14T00:00:00"/>
    <d v="2024-06-14T00:00:00"/>
    <n v="22"/>
    <x v="1"/>
    <x v="8"/>
    <x v="22"/>
    <s v="Small Business"/>
    <s v="Online"/>
    <s v="N. Brown"/>
    <s v="Monitors"/>
    <s v="MON-2100"/>
    <n v="1481.74"/>
    <s v="Medium"/>
    <x v="463"/>
    <n v="1848.97"/>
    <n v="0.254"/>
    <n v="9"/>
    <n v="469.63838000000004"/>
    <n v="12413.98458"/>
    <n v="11944.3462"/>
    <n v="13335.66"/>
    <n v="-921.67541999999958"/>
    <n v="-1391.3137999999999"/>
    <n v="0.93088640382253296"/>
  </r>
  <r>
    <x v="465"/>
    <x v="348"/>
    <d v="2023-04-18T00:00:00"/>
    <d v="2023-05-18T00:00:00"/>
    <d v="2023-05-18T00:00:00"/>
    <n v="30"/>
    <x v="0"/>
    <x v="3"/>
    <x v="35"/>
    <s v="Non-Profit"/>
    <s v="Retail"/>
    <s v="H. Kim"/>
    <s v="Laptops"/>
    <s v="LAP-1482"/>
    <n v="329.03"/>
    <s v="Low"/>
    <x v="464"/>
    <n v="391.15"/>
    <n v="0.19700000000000001"/>
    <n v="46"/>
    <n v="77.056550000000001"/>
    <n v="14448.298699999998"/>
    <n v="14371.242149999998"/>
    <n v="15135.38"/>
    <n v="-687.08130000000165"/>
    <n v="-764.13785000000098"/>
    <n v="0.95460429140199976"/>
  </r>
  <r>
    <x v="466"/>
    <x v="349"/>
    <d v="2023-02-19T00:00:00"/>
    <d v="2023-03-12T00:00:00"/>
    <d v="2023-03-12T00:00:00"/>
    <n v="21"/>
    <x v="1"/>
    <x v="1"/>
    <x v="33"/>
    <s v="Small Business"/>
    <s v="Direct"/>
    <s v="L. Okafor"/>
    <s v="Monitors"/>
    <s v="MON-6699"/>
    <n v="1234.81"/>
    <s v="High"/>
    <x v="465"/>
    <n v="2055.2399999999998"/>
    <n v="5.2999999999999999E-2"/>
    <n v="44"/>
    <n v="108.92771999999998"/>
    <n v="85637.740319999997"/>
    <n v="85528.81259999999"/>
    <n v="54331.64"/>
    <n v="31306.100319999998"/>
    <n v="31197.172599999991"/>
    <n v="1.5762038532243827"/>
  </r>
  <r>
    <x v="467"/>
    <x v="350"/>
    <d v="2024-06-04T00:00:00"/>
    <d v="2024-06-16T00:00:00"/>
    <d v="2024-06-16T00:00:00"/>
    <n v="12"/>
    <x v="0"/>
    <x v="3"/>
    <x v="4"/>
    <s v="Corporate"/>
    <s v="Retail"/>
    <s v="J. Njeri"/>
    <s v="Printers"/>
    <s v="PRN-4097"/>
    <n v="918.42"/>
    <s v="Medium"/>
    <x v="466"/>
    <n v="1511.71"/>
    <n v="0.02"/>
    <n v="8"/>
    <n v="30.234200000000001"/>
    <n v="11851.806399999999"/>
    <n v="11821.572199999999"/>
    <n v="7347.36"/>
    <n v="4504.4463999999998"/>
    <n v="4474.212199999999"/>
    <n v="1.6130700550946191"/>
  </r>
  <r>
    <x v="468"/>
    <x v="351"/>
    <d v="2023-03-25T00:00:00"/>
    <d v="2023-03-26T00:00:00"/>
    <d v="2023-03-26T00:00:00"/>
    <n v="1"/>
    <x v="0"/>
    <x v="0"/>
    <x v="0"/>
    <s v="Small Business"/>
    <s v="Distributor"/>
    <s v="I. Johnson"/>
    <s v="Monitors"/>
    <s v="MON-9227"/>
    <n v="135.12"/>
    <s v="Low"/>
    <x v="467"/>
    <n v="301.7"/>
    <n v="0.14000000000000001"/>
    <n v="47"/>
    <n v="42.238"/>
    <n v="12194.714"/>
    <n v="12152.476000000001"/>
    <n v="6350.64"/>
    <n v="5844.0739999999996"/>
    <n v="5801.8360000000002"/>
    <n v="1.9202338661930136"/>
  </r>
  <r>
    <x v="469"/>
    <x v="352"/>
    <d v="2024-04-03T00:00:00"/>
    <d v="2024-04-07T00:00:00"/>
    <d v="2024-04-07T00:00:00"/>
    <n v="4"/>
    <x v="2"/>
    <x v="6"/>
    <x v="28"/>
    <s v="Non-Profit"/>
    <s v="Direct"/>
    <s v="N. Brown"/>
    <s v="Phones"/>
    <s v="PHN-5445"/>
    <n v="1023.27"/>
    <s v="Medium"/>
    <x v="468"/>
    <n v="1343.64"/>
    <n v="0.13300000000000001"/>
    <n v="7"/>
    <n v="178.70412000000002"/>
    <n v="8154.5511600000009"/>
    <n v="7975.8470400000006"/>
    <n v="7162.8899999999994"/>
    <n v="991.66116000000147"/>
    <n v="812.95704000000114"/>
    <n v="1.1384442815679148"/>
  </r>
  <r>
    <x v="470"/>
    <x v="353"/>
    <d v="2024-10-30T00:00:00"/>
    <d v="2024-11-24T00:00:00"/>
    <d v="2024-11-24T00:00:00"/>
    <n v="25"/>
    <x v="0"/>
    <x v="3"/>
    <x v="35"/>
    <s v="Small Business"/>
    <s v="Online"/>
    <s v="E. Garcia"/>
    <s v="Components"/>
    <s v="CMP-4610"/>
    <n v="811.05"/>
    <s v="Medium"/>
    <x v="469"/>
    <n v="1217.71"/>
    <n v="7.1999999999999995E-2"/>
    <n v="5"/>
    <n v="87.675119999999993"/>
    <n v="5650.1744000000008"/>
    <n v="5562.4992800000009"/>
    <n v="4055.25"/>
    <n v="1594.9244000000008"/>
    <n v="1507.2492800000009"/>
    <n v="1.3932986622279764"/>
  </r>
  <r>
    <x v="471"/>
    <x v="354"/>
    <d v="2023-02-20T00:00:00"/>
    <d v="2023-03-04T00:00:00"/>
    <d v="2023-03-04T00:00:00"/>
    <n v="12"/>
    <x v="0"/>
    <x v="4"/>
    <x v="6"/>
    <s v="Consumer"/>
    <s v="Distributor"/>
    <s v="M. Rossi"/>
    <s v="Monitors"/>
    <s v="MON-9906"/>
    <n v="299.75"/>
    <s v="Low"/>
    <x v="470"/>
    <n v="523.01"/>
    <n v="0.157"/>
    <n v="50"/>
    <n v="82.112570000000005"/>
    <n v="22044.871499999997"/>
    <n v="21962.758929999996"/>
    <n v="14987.5"/>
    <n v="7057.3714999999975"/>
    <n v="6975.2589299999963"/>
    <n v="1.470883836530442"/>
  </r>
  <r>
    <x v="472"/>
    <x v="355"/>
    <d v="2025-08-01T00:00:00"/>
    <d v="2025-08-21T00:00:00"/>
    <d v="2025-08-21T00:00:00"/>
    <n v="20"/>
    <x v="0"/>
    <x v="3"/>
    <x v="4"/>
    <s v="Corporate"/>
    <s v="Direct"/>
    <s v="I. Johnson"/>
    <s v="Phones"/>
    <s v="PHN-9234"/>
    <n v="1220.4100000000001"/>
    <s v="High"/>
    <x v="471"/>
    <n v="2552.2199999999998"/>
    <n v="0.18099999999999999"/>
    <n v="14"/>
    <n v="461.95181999999994"/>
    <n v="29263.754519999995"/>
    <n v="28801.802699999997"/>
    <n v="17085.740000000002"/>
    <n v="12178.014519999993"/>
    <n v="11716.062699999995"/>
    <n v="1.7127589744430145"/>
  </r>
  <r>
    <x v="473"/>
    <x v="356"/>
    <d v="2024-08-27T00:00:00"/>
    <d v="2024-09-18T00:00:00"/>
    <d v="2024-09-18T00:00:00"/>
    <n v="22"/>
    <x v="0"/>
    <x v="4"/>
    <x v="6"/>
    <s v="Consumer"/>
    <s v="Direct"/>
    <s v="B. Chen"/>
    <s v="Components"/>
    <s v="CMP-3875"/>
    <n v="896.75"/>
    <s v="Medium"/>
    <x v="472"/>
    <n v="1651.14"/>
    <n v="2.5000000000000001E-2"/>
    <n v="15"/>
    <n v="41.278500000000008"/>
    <n v="24147.922500000001"/>
    <n v="24106.644"/>
    <n v="13451.25"/>
    <n v="10696.672500000001"/>
    <n v="10655.394"/>
    <n v="1.7952177306941735"/>
  </r>
  <r>
    <x v="474"/>
    <x v="356"/>
    <d v="2025-02-15T00:00:00"/>
    <d v="2025-02-15T00:00:00"/>
    <d v="2025-02-15T00:00:00"/>
    <n v="0"/>
    <x v="1"/>
    <x v="1"/>
    <x v="2"/>
    <s v="Small Business"/>
    <s v="Marketplace"/>
    <s v="L. Okafor"/>
    <s v="Accessories"/>
    <s v="ACC-3989"/>
    <n v="815.83"/>
    <s v="High"/>
    <x v="473"/>
    <n v="1982.18"/>
    <n v="0.127"/>
    <n v="6"/>
    <n v="251.73686000000001"/>
    <n v="10382.65884"/>
    <n v="10130.921979999999"/>
    <n v="4894.9800000000005"/>
    <n v="5487.6788399999996"/>
    <n v="5235.9419799999987"/>
    <n v="2.1210829952318497"/>
  </r>
  <r>
    <x v="475"/>
    <x v="357"/>
    <d v="2024-08-07T00:00:00"/>
    <d v="2024-08-17T00:00:00"/>
    <d v="2024-08-17T00:00:00"/>
    <n v="10"/>
    <x v="0"/>
    <x v="0"/>
    <x v="0"/>
    <s v="Consumer"/>
    <s v="Online"/>
    <s v="K. Singh"/>
    <s v="Networking"/>
    <s v="NET-7924"/>
    <n v="436.58"/>
    <s v="Low"/>
    <x v="474"/>
    <n v="527.48"/>
    <n v="0.111"/>
    <n v="19"/>
    <n v="58.550280000000001"/>
    <n v="8909.6646800000017"/>
    <n v="8851.1144000000022"/>
    <n v="8295.02"/>
    <n v="614.64468000000124"/>
    <n v="556.09440000000177"/>
    <n v="1.0740980347244493"/>
  </r>
  <r>
    <x v="476"/>
    <x v="357"/>
    <d v="2024-02-01T00:00:00"/>
    <d v="2024-02-21T00:00:00"/>
    <d v="2024-02-21T00:00:00"/>
    <n v="20"/>
    <x v="1"/>
    <x v="8"/>
    <x v="11"/>
    <s v="Small Business"/>
    <s v="Marketplace"/>
    <s v="A. Patel"/>
    <s v="Networking"/>
    <s v="NET-8761"/>
    <n v="656.2"/>
    <s v="Medium"/>
    <x v="475"/>
    <n v="1467.17"/>
    <n v="1.7999999999999999E-2"/>
    <n v="5"/>
    <n v="26.40906"/>
    <n v="7203.8047000000006"/>
    <n v="7177.3956400000006"/>
    <n v="3281"/>
    <n v="3922.8047000000006"/>
    <n v="3896.3956400000006"/>
    <n v="2.1956125266686985"/>
  </r>
  <r>
    <x v="477"/>
    <x v="358"/>
    <d v="2023-10-31T00:00:00"/>
    <d v="2023-11-02T00:00:00"/>
    <d v="2023-11-02T00:00:00"/>
    <n v="2"/>
    <x v="3"/>
    <x v="5"/>
    <x v="15"/>
    <s v="Education"/>
    <s v="Retail"/>
    <s v="O. Wang"/>
    <s v="Accessories"/>
    <s v="ACC-4124"/>
    <n v="867.89"/>
    <s v="Medium"/>
    <x v="476"/>
    <n v="1349.94"/>
    <n v="0.184"/>
    <n v="10"/>
    <n v="248.38896"/>
    <n v="11015.510400000003"/>
    <n v="10767.121440000003"/>
    <n v="8678.9"/>
    <n v="2336.6104000000032"/>
    <n v="2088.221440000003"/>
    <n v="1.2692288654092112"/>
  </r>
  <r>
    <x v="478"/>
    <x v="359"/>
    <d v="2024-02-18T00:00:00"/>
    <d v="2024-03-04T00:00:00"/>
    <d v="2024-03-04T00:00:00"/>
    <n v="15"/>
    <x v="3"/>
    <x v="5"/>
    <x v="15"/>
    <s v="Education"/>
    <s v="Direct"/>
    <s v="K. Singh"/>
    <s v="Printers"/>
    <s v="PRN-7089"/>
    <n v="928.68"/>
    <s v="High"/>
    <x v="477"/>
    <n v="2145.17"/>
    <n v="0.13600000000000001"/>
    <n v="16"/>
    <n v="291.74312000000003"/>
    <n v="29654.83008"/>
    <n v="29363.086960000001"/>
    <n v="14858.88"/>
    <n v="14795.950080000001"/>
    <n v="14504.206960000001"/>
    <n v="1.9957648274970927"/>
  </r>
  <r>
    <x v="479"/>
    <x v="360"/>
    <d v="2023-12-07T00:00:00"/>
    <d v="2023-12-07T00:00:00"/>
    <d v="2023-12-05T00:00:00"/>
    <n v="-2"/>
    <x v="0"/>
    <x v="0"/>
    <x v="14"/>
    <s v="Non-Profit"/>
    <s v="Marketplace"/>
    <s v="H. Kim"/>
    <s v="Printers"/>
    <s v="PRN-8175"/>
    <n v="1097.5899999999999"/>
    <s v="Medium"/>
    <x v="478"/>
    <n v="845.55"/>
    <n v="0.184"/>
    <n v="6"/>
    <n v="155.5812"/>
    <n v="4139.8127999999997"/>
    <n v="3984.2315999999996"/>
    <n v="6585.5399999999991"/>
    <n v="-2445.7271999999994"/>
    <n v="-2601.3083999999994"/>
    <n v="0.62862161645058723"/>
  </r>
  <r>
    <x v="480"/>
    <x v="361"/>
    <d v="2023-07-03T00:00:00"/>
    <d v="2023-07-23T00:00:00"/>
    <d v="2023-07-23T00:00:00"/>
    <n v="20"/>
    <x v="3"/>
    <x v="11"/>
    <x v="19"/>
    <s v="Small Business"/>
    <s v="Distributor"/>
    <s v="F. Müller"/>
    <s v="Laptops"/>
    <s v="LAP-6342"/>
    <n v="1001.96"/>
    <s v="Medium"/>
    <x v="479"/>
    <n v="1254.95"/>
    <n v="4.4999999999999998E-2"/>
    <n v="18"/>
    <n v="56.472749999999998"/>
    <n v="21572.590500000002"/>
    <n v="21516.117750000001"/>
    <n v="18035.28"/>
    <n v="3537.3105000000032"/>
    <n v="3480.8377500000024"/>
    <n v="1.1961328296538787"/>
  </r>
  <r>
    <x v="481"/>
    <x v="362"/>
    <d v="2024-09-23T00:00:00"/>
    <d v="2024-10-18T00:00:00"/>
    <d v="2024-10-18T00:00:00"/>
    <n v="25"/>
    <x v="2"/>
    <x v="2"/>
    <x v="3"/>
    <s v="Small Business"/>
    <s v="Online"/>
    <s v="N. Brown"/>
    <s v="Phones"/>
    <s v="PHN-4568"/>
    <n v="1297"/>
    <s v="High"/>
    <x v="480"/>
    <n v="2411.52"/>
    <n v="2.1000000000000001E-2"/>
    <n v="18"/>
    <n v="50.641920000000006"/>
    <n v="42495.805439999996"/>
    <n v="42445.163519999995"/>
    <n v="23346"/>
    <n v="19149.805439999996"/>
    <n v="19099.163519999995"/>
    <n v="1.8202606630686198"/>
  </r>
  <r>
    <x v="482"/>
    <x v="362"/>
    <d v="2025-04-16T00:00:00"/>
    <d v="2025-05-16T00:00:00"/>
    <d v="2025-05-16T00:00:00"/>
    <n v="30"/>
    <x v="2"/>
    <x v="2"/>
    <x v="29"/>
    <s v="Enterprise"/>
    <s v="Distributor"/>
    <s v="K. Singh"/>
    <s v="Printers"/>
    <s v="PRN-6178"/>
    <n v="763.32"/>
    <s v="Low"/>
    <x v="481"/>
    <n v="568.29"/>
    <n v="0.13100000000000001"/>
    <n v="16"/>
    <n v="74.445989999999995"/>
    <n v="7901.5041599999995"/>
    <n v="7827.0581699999993"/>
    <n v="12213.12"/>
    <n v="-4311.6158400000013"/>
    <n v="-4386.0618300000015"/>
    <n v="0.64696851910077025"/>
  </r>
  <r>
    <x v="483"/>
    <x v="363"/>
    <d v="2023-09-14T00:00:00"/>
    <d v="2023-09-16T00:00:00"/>
    <d v="2023-09-16T00:00:00"/>
    <n v="2"/>
    <x v="1"/>
    <x v="8"/>
    <x v="24"/>
    <s v="Non-Profit"/>
    <s v="Direct"/>
    <s v="B. Chen"/>
    <s v="Printers"/>
    <s v="PRN-4432"/>
    <n v="376.83"/>
    <s v="Medium"/>
    <x v="482"/>
    <n v="732.88"/>
    <n v="0.188"/>
    <n v="25"/>
    <n v="137.78144"/>
    <n v="14877.464000000002"/>
    <n v="14739.682560000001"/>
    <n v="9420.75"/>
    <n v="5456.7140000000018"/>
    <n v="5318.9325600000011"/>
    <n v="1.5792228856513548"/>
  </r>
  <r>
    <x v="484"/>
    <x v="364"/>
    <d v="2024-04-04T00:00:00"/>
    <d v="2024-04-24T00:00:00"/>
    <d v="2024-04-24T00:00:00"/>
    <n v="20"/>
    <x v="1"/>
    <x v="1"/>
    <x v="2"/>
    <s v="Non-Profit"/>
    <s v="Direct"/>
    <s v="O. Wang"/>
    <s v="Accessories"/>
    <s v="ACC-6543"/>
    <n v="683.42"/>
    <s v="Medium"/>
    <x v="483"/>
    <n v="951.51"/>
    <n v="0"/>
    <n v="14"/>
    <n v="0"/>
    <n v="13321.14"/>
    <n v="13321.14"/>
    <n v="9567.8799999999992"/>
    <n v="3753.26"/>
    <n v="3753.26"/>
    <n v="1.3922770770536421"/>
  </r>
  <r>
    <x v="485"/>
    <x v="365"/>
    <d v="2025-09-11T00:00:00"/>
    <d v="2025-09-28T00:00:00"/>
    <d v="2025-09-28T00:00:00"/>
    <n v="17"/>
    <x v="3"/>
    <x v="5"/>
    <x v="7"/>
    <s v="Non-Profit"/>
    <s v="Distributor"/>
    <s v="J. Njeri"/>
    <s v="Laptops"/>
    <s v="LAP-3278"/>
    <n v="891.46"/>
    <s v="Medium"/>
    <x v="484"/>
    <n v="728.61"/>
    <n v="0.185"/>
    <n v="6"/>
    <n v="134.79284999999999"/>
    <n v="3562.9028999999996"/>
    <n v="3428.1100499999998"/>
    <n v="5348.76"/>
    <n v="-1785.8571000000006"/>
    <n v="-1920.6499500000004"/>
    <n v="0.66611754874026863"/>
  </r>
  <r>
    <x v="486"/>
    <x v="366"/>
    <d v="2023-11-30T00:00:00"/>
    <d v="2023-11-30T00:00:00"/>
    <d v="2023-11-29T00:00:00"/>
    <n v="-1"/>
    <x v="3"/>
    <x v="11"/>
    <x v="34"/>
    <s v="Small Business"/>
    <s v="Marketplace"/>
    <s v="E. Garcia"/>
    <s v="Laptops"/>
    <s v="LAP-1525"/>
    <n v="275.56"/>
    <s v="Medium"/>
    <x v="485"/>
    <n v="630.72"/>
    <n v="0.107"/>
    <n v="23"/>
    <n v="67.487040000000007"/>
    <n v="12954.358080000002"/>
    <n v="12886.871040000002"/>
    <n v="6337.88"/>
    <n v="6616.4780800000017"/>
    <n v="6548.9910400000017"/>
    <n v="2.043957613586878"/>
  </r>
  <r>
    <x v="487"/>
    <x v="367"/>
    <d v="2023-07-26T00:00:00"/>
    <d v="2023-08-25T00:00:00"/>
    <d v="2023-08-25T00:00:00"/>
    <n v="30"/>
    <x v="2"/>
    <x v="10"/>
    <x v="27"/>
    <s v="Consumer"/>
    <s v="Retail"/>
    <s v="M. Rossi"/>
    <s v="Accessories"/>
    <s v="ACC-7078"/>
    <n v="1261.48"/>
    <s v="Medium"/>
    <x v="486"/>
    <n v="1643.18"/>
    <n v="0.151"/>
    <n v="23"/>
    <n v="248.12018"/>
    <n v="32086.37586"/>
    <n v="31838.255679999998"/>
    <n v="29014.04"/>
    <n v="3072.3358599999992"/>
    <n v="2824.2156799999975"/>
    <n v="1.1058913498430414"/>
  </r>
  <r>
    <x v="488"/>
    <x v="367"/>
    <d v="2024-06-15T00:00:00"/>
    <d v="2024-07-06T00:00:00"/>
    <d v="2024-07-06T00:00:00"/>
    <n v="21"/>
    <x v="2"/>
    <x v="2"/>
    <x v="21"/>
    <s v="Enterprise"/>
    <s v="Distributor"/>
    <s v="L. Okafor"/>
    <s v="Printers"/>
    <s v="PRN-4453"/>
    <n v="817.23"/>
    <s v="Medium"/>
    <x v="475"/>
    <n v="1467.17"/>
    <n v="0.245"/>
    <n v="9"/>
    <n v="359.45665000000002"/>
    <n v="9969.4201499999999"/>
    <n v="9609.9634999999998"/>
    <n v="7355.07"/>
    <n v="2614.3501500000002"/>
    <n v="2254.8935000000001"/>
    <n v="1.3554487108892235"/>
  </r>
  <r>
    <x v="489"/>
    <x v="367"/>
    <d v="2023-07-05T00:00:00"/>
    <d v="2023-07-14T00:00:00"/>
    <d v="2023-07-14T00:00:00"/>
    <n v="9"/>
    <x v="2"/>
    <x v="6"/>
    <x v="28"/>
    <s v="Enterprise"/>
    <s v="Direct"/>
    <s v="B. Chen"/>
    <s v="Networking"/>
    <s v="NET-2394"/>
    <n v="578.85"/>
    <s v="Medium"/>
    <x v="487"/>
    <n v="998.76"/>
    <n v="8.2000000000000003E-2"/>
    <n v="28"/>
    <n v="81.898319999999998"/>
    <n v="25672.127039999999"/>
    <n v="25590.228719999999"/>
    <n v="16207.800000000001"/>
    <n v="9464.3270399999983"/>
    <n v="9382.4287199999981"/>
    <n v="1.5839365638766518"/>
  </r>
  <r>
    <x v="490"/>
    <x v="368"/>
    <d v="2024-12-23T00:00:00"/>
    <d v="2025-01-11T00:00:00"/>
    <d v="2025-01-11T00:00:00"/>
    <n v="19"/>
    <x v="1"/>
    <x v="1"/>
    <x v="33"/>
    <s v="Education"/>
    <s v="Retail"/>
    <s v="K. Singh"/>
    <s v="Phones"/>
    <s v="PHN-8057"/>
    <n v="501.81"/>
    <s v="Medium"/>
    <x v="488"/>
    <n v="921.62"/>
    <n v="0.01"/>
    <n v="9"/>
    <n v="9.2162000000000006"/>
    <n v="8211.6342000000004"/>
    <n v="8202.4179999999997"/>
    <n v="4516.29"/>
    <n v="3695.3442000000005"/>
    <n v="3686.1279999999997"/>
    <n v="1.8182256232438574"/>
  </r>
  <r>
    <x v="491"/>
    <x v="369"/>
    <d v="2023-05-02T00:00:00"/>
    <d v="2023-05-18T00:00:00"/>
    <d v="2023-05-18T00:00:00"/>
    <n v="16"/>
    <x v="0"/>
    <x v="4"/>
    <x v="6"/>
    <s v="Small Business"/>
    <s v="Marketplace"/>
    <s v="K. Singh"/>
    <s v="Monitors"/>
    <s v="MON-2266"/>
    <n v="1463.92"/>
    <s v="High"/>
    <x v="489"/>
    <n v="2252.2399999999998"/>
    <n v="0.11799999999999999"/>
    <n v="44"/>
    <n v="265.76431999999994"/>
    <n v="87404.929919999995"/>
    <n v="87139.165599999993"/>
    <n v="64412.480000000003"/>
    <n v="22992.449919999992"/>
    <n v="22726.68559999999"/>
    <n v="1.3569564457074155"/>
  </r>
  <r>
    <x v="492"/>
    <x v="370"/>
    <d v="2024-02-14T00:00:00"/>
    <d v="2024-02-14T00:00:00"/>
    <d v="2024-02-14T00:00:00"/>
    <n v="0"/>
    <x v="0"/>
    <x v="3"/>
    <x v="37"/>
    <s v="Corporate"/>
    <s v="Distributor"/>
    <s v="L. Okafor"/>
    <s v="Accessories"/>
    <s v="ACC-1021"/>
    <n v="65.930000000000007"/>
    <s v="Low"/>
    <x v="490"/>
    <n v="84.9"/>
    <n v="0.25900000000000001"/>
    <n v="23"/>
    <n v="21.989100000000001"/>
    <n v="1446.9507000000001"/>
    <n v="1424.9616000000001"/>
    <n v="1516.39"/>
    <n v="-69.439300000000003"/>
    <n v="-91.428400000000011"/>
    <n v="0.95420749279538908"/>
  </r>
  <r>
    <x v="493"/>
    <x v="371"/>
    <d v="2024-11-20T00:00:00"/>
    <d v="2024-12-15T00:00:00"/>
    <d v="2024-12-15T00:00:00"/>
    <n v="25"/>
    <x v="1"/>
    <x v="8"/>
    <x v="11"/>
    <s v="Corporate"/>
    <s v="Online"/>
    <s v="G. Dubois"/>
    <s v="Printers"/>
    <s v="PRN-4911"/>
    <n v="1203.58"/>
    <s v="Medium"/>
    <x v="491"/>
    <n v="1856.16"/>
    <n v="0.129"/>
    <n v="22"/>
    <n v="239.44464000000002"/>
    <n v="35567.737920000007"/>
    <n v="35328.293280000005"/>
    <n v="26478.76"/>
    <n v="9088.9779200000085"/>
    <n v="8849.5332800000069"/>
    <n v="1.3432554213263765"/>
  </r>
  <r>
    <x v="494"/>
    <x v="372"/>
    <d v="2023-03-31T00:00:00"/>
    <d v="2023-04-12T00:00:00"/>
    <d v="2023-04-12T00:00:00"/>
    <n v="12"/>
    <x v="3"/>
    <x v="5"/>
    <x v="20"/>
    <s v="Small Business"/>
    <s v="Online"/>
    <s v="C. Otieno"/>
    <s v="Phones"/>
    <s v="PHN-8014"/>
    <n v="304.22000000000003"/>
    <s v="Low"/>
    <x v="492"/>
    <n v="393.31"/>
    <n v="0.26500000000000001"/>
    <n v="15"/>
    <n v="104.22715000000001"/>
    <n v="4336.2427499999994"/>
    <n v="4232.0155999999997"/>
    <n v="4563.3"/>
    <n v="-227.05725000000075"/>
    <n v="-331.28440000000046"/>
    <n v="0.95024275195582131"/>
  </r>
  <r>
    <x v="495"/>
    <x v="373"/>
    <d v="2024-12-14T00:00:00"/>
    <d v="2025-01-12T00:00:00"/>
    <d v="2025-01-12T00:00:00"/>
    <n v="29"/>
    <x v="0"/>
    <x v="3"/>
    <x v="35"/>
    <s v="Education"/>
    <s v="Online"/>
    <s v="J. Njeri"/>
    <s v="Components"/>
    <s v="CMP-3720"/>
    <n v="1412.15"/>
    <s v="Medium"/>
    <x v="493"/>
    <n v="1631.04"/>
    <n v="8.9999999999999993E-3"/>
    <n v="6"/>
    <n v="14.679359999999999"/>
    <n v="9698.1638399999993"/>
    <n v="9683.4844799999992"/>
    <n v="8472.9000000000015"/>
    <n v="1225.2638399999978"/>
    <n v="1210.5844799999977"/>
    <n v="1.1446097369259636"/>
  </r>
  <r>
    <x v="496"/>
    <x v="374"/>
    <d v="2023-04-12T00:00:00"/>
    <d v="2023-04-17T00:00:00"/>
    <d v="2023-04-17T00:00:00"/>
    <n v="5"/>
    <x v="1"/>
    <x v="8"/>
    <x v="24"/>
    <s v="Enterprise"/>
    <s v="Direct"/>
    <s v="E. Garcia"/>
    <s v="Monitors"/>
    <s v="MON-3043"/>
    <n v="1087.81"/>
    <s v="High"/>
    <x v="494"/>
    <n v="2323.87"/>
    <n v="9.4E-2"/>
    <n v="13"/>
    <n v="218.44378"/>
    <n v="27370.540859999997"/>
    <n v="27152.097079999996"/>
    <n v="14141.529999999999"/>
    <n v="13229.010859999999"/>
    <n v="13010.567079999997"/>
    <n v="1.9354723894797805"/>
  </r>
  <r>
    <x v="497"/>
    <x v="375"/>
    <d v="2024-12-21T00:00:00"/>
    <d v="2024-12-26T00:00:00"/>
    <d v="2024-12-26T00:00:00"/>
    <n v="5"/>
    <x v="2"/>
    <x v="10"/>
    <x v="23"/>
    <s v="Consumer"/>
    <s v="Marketplace"/>
    <s v="M. Rossi"/>
    <s v="Printers"/>
    <s v="PRN-4788"/>
    <n v="699.57"/>
    <s v="Medium"/>
    <x v="495"/>
    <n v="572.71"/>
    <n v="0.192"/>
    <n v="26"/>
    <n v="109.96032000000001"/>
    <n v="12031.491680000001"/>
    <n v="11921.531360000001"/>
    <n v="18188.82"/>
    <n v="-6157.3283199999987"/>
    <n v="-6267.2886399999988"/>
    <n v="0.66147730748888611"/>
  </r>
  <r>
    <x v="498"/>
    <x v="376"/>
    <d v="2025-01-09T00:00:00"/>
    <d v="2025-01-15T00:00:00"/>
    <d v="2025-01-15T00:00:00"/>
    <n v="6"/>
    <x v="0"/>
    <x v="3"/>
    <x v="37"/>
    <s v="Education"/>
    <s v="Online"/>
    <s v="C. Otieno"/>
    <s v="Phones"/>
    <s v="PHN-2875"/>
    <n v="304.77999999999997"/>
    <s v="Low"/>
    <x v="496"/>
    <n v="537.27"/>
    <n v="0.187"/>
    <n v="8"/>
    <n v="100.46948999999999"/>
    <n v="3494.4040799999998"/>
    <n v="3393.9345899999998"/>
    <n v="2438.2399999999998"/>
    <n v="1056.16408"/>
    <n v="955.69459000000006"/>
    <n v="1.4331665791718617"/>
  </r>
  <r>
    <x v="499"/>
    <x v="377"/>
    <d v="2025-03-03T00:00:00"/>
    <d v="2025-03-24T00:00:00"/>
    <d v="2025-03-24T00:00:00"/>
    <n v="21"/>
    <x v="3"/>
    <x v="9"/>
    <x v="25"/>
    <s v="Enterprise"/>
    <s v="Direct"/>
    <s v="H. Kim"/>
    <s v="Accessories"/>
    <s v="ACC-4056"/>
    <n v="555.95000000000005"/>
    <s v="Low"/>
    <x v="497"/>
    <n v="468.09"/>
    <n v="0.14199999999999999"/>
    <n v="11"/>
    <n v="66.468779999999995"/>
    <n v="4417.8334199999999"/>
    <n v="4351.3646399999998"/>
    <n v="6115.4500000000007"/>
    <n v="-1697.6165800000008"/>
    <n v="-1764.0853600000009"/>
    <n v="0.72240528824534567"/>
  </r>
  <r>
    <x v="500"/>
    <x v="377"/>
    <d v="2023-01-27T00:00:00"/>
    <d v="2023-01-31T00:00:00"/>
    <d v="2023-01-31T00:00:00"/>
    <n v="4"/>
    <x v="1"/>
    <x v="7"/>
    <x v="12"/>
    <s v="Enterprise"/>
    <s v="Online"/>
    <s v="N. Brown"/>
    <s v="Laptops"/>
    <s v="LAP-9782"/>
    <n v="941.2"/>
    <s v="Medium"/>
    <x v="498"/>
    <n v="668.02"/>
    <n v="0.22"/>
    <n v="16"/>
    <n v="146.96439999999998"/>
    <n v="8336.8896000000004"/>
    <n v="8189.9252000000006"/>
    <n v="15059.2"/>
    <n v="-6722.3104000000003"/>
    <n v="-6869.2748000000001"/>
    <n v="0.55360773480662984"/>
  </r>
  <r>
    <x v="501"/>
    <x v="378"/>
    <d v="2023-01-22T00:00:00"/>
    <d v="2023-01-30T00:00:00"/>
    <d v="2023-01-30T00:00:00"/>
    <n v="8"/>
    <x v="2"/>
    <x v="10"/>
    <x v="23"/>
    <s v="Small Business"/>
    <s v="Online"/>
    <s v="A. Patel"/>
    <s v="Networking"/>
    <s v="NET-4155"/>
    <n v="413.52"/>
    <s v="Medium"/>
    <x v="499"/>
    <n v="1004.34"/>
    <n v="0.111"/>
    <n v="18"/>
    <n v="111.48174"/>
    <n v="16071.44868"/>
    <n v="15959.96694"/>
    <n v="7443.36"/>
    <n v="8628.0886800000007"/>
    <n v="8516.6069400000015"/>
    <n v="2.1591658444573421"/>
  </r>
  <r>
    <x v="502"/>
    <x v="378"/>
    <d v="2025-02-12T00:00:00"/>
    <d v="2025-02-28T00:00:00"/>
    <d v="2025-02-28T00:00:00"/>
    <n v="16"/>
    <x v="2"/>
    <x v="6"/>
    <x v="26"/>
    <s v="Non-Profit"/>
    <s v="Direct"/>
    <s v="B. Chen"/>
    <s v="Monitors"/>
    <s v="MON-5179"/>
    <n v="414.95"/>
    <s v="Medium"/>
    <x v="500"/>
    <n v="1027.73"/>
    <n v="6.3E-2"/>
    <n v="8"/>
    <n v="64.746989999999997"/>
    <n v="7703.8640800000003"/>
    <n v="7639.1170900000006"/>
    <n v="3319.6"/>
    <n v="4384.2640800000008"/>
    <n v="4319.5170900000012"/>
    <n v="2.3207205928425112"/>
  </r>
  <r>
    <x v="503"/>
    <x v="379"/>
    <d v="2025-08-05T00:00:00"/>
    <d v="2025-08-14T00:00:00"/>
    <d v="2025-08-14T00:00:00"/>
    <n v="9"/>
    <x v="1"/>
    <x v="7"/>
    <x v="10"/>
    <s v="Non-Profit"/>
    <s v="Direct"/>
    <s v="E. Garcia"/>
    <s v="Components"/>
    <s v="CMP-6346"/>
    <n v="41.76"/>
    <s v="Low"/>
    <x v="501"/>
    <n v="45.19"/>
    <n v="0.17899999999999999"/>
    <n v="23"/>
    <n v="8.08901"/>
    <n v="853.32276999999988"/>
    <n v="845.23375999999985"/>
    <n v="960.4799999999999"/>
    <n v="-107.15723000000003"/>
    <n v="-115.24624000000006"/>
    <n v="0.88843366858237549"/>
  </r>
  <r>
    <x v="504"/>
    <x v="379"/>
    <d v="2024-05-30T00:00:00"/>
    <d v="2024-06-13T00:00:00"/>
    <d v="2024-06-13T00:00:00"/>
    <n v="14"/>
    <x v="2"/>
    <x v="10"/>
    <x v="23"/>
    <s v="Small Business"/>
    <s v="Retail"/>
    <s v="F. Müller"/>
    <s v="Phones"/>
    <s v="PHN-4356"/>
    <n v="157.78"/>
    <s v="Low"/>
    <x v="502"/>
    <n v="361.1"/>
    <n v="0.187"/>
    <n v="9"/>
    <n v="67.525700000000001"/>
    <n v="2642.1686999999997"/>
    <n v="2574.6429999999996"/>
    <n v="1420.02"/>
    <n v="1222.1486999999997"/>
    <n v="1154.6229999999996"/>
    <n v="1.8606559766763846"/>
  </r>
  <r>
    <x v="505"/>
    <x v="380"/>
    <d v="2024-06-07T00:00:00"/>
    <d v="2024-06-26T00:00:00"/>
    <d v="2024-06-26T00:00:00"/>
    <n v="19"/>
    <x v="1"/>
    <x v="1"/>
    <x v="33"/>
    <s v="Non-Profit"/>
    <s v="Marketplace"/>
    <s v="M. Rossi"/>
    <s v="Components"/>
    <s v="CMP-2040"/>
    <n v="1064.32"/>
    <s v="Medium"/>
    <x v="503"/>
    <n v="1848.39"/>
    <n v="7.2999999999999995E-2"/>
    <n v="38"/>
    <n v="134.93247"/>
    <n v="65111.38614000001"/>
    <n v="64976.45367000001"/>
    <n v="40444.159999999996"/>
    <n v="24667.226140000013"/>
    <n v="24532.293670000014"/>
    <n v="1.6099082324864706"/>
  </r>
  <r>
    <x v="506"/>
    <x v="381"/>
    <d v="2023-08-12T00:00:00"/>
    <d v="2023-09-06T00:00:00"/>
    <d v="2023-09-06T00:00:00"/>
    <n v="25"/>
    <x v="0"/>
    <x v="3"/>
    <x v="4"/>
    <s v="Small Business"/>
    <s v="Retail"/>
    <s v="B. Chen"/>
    <s v="Components"/>
    <s v="CMP-6352"/>
    <n v="950.77"/>
    <s v="Medium"/>
    <x v="504"/>
    <n v="694.78"/>
    <n v="8.4000000000000005E-2"/>
    <n v="14"/>
    <n v="58.361519999999999"/>
    <n v="8909.8587200000002"/>
    <n v="8851.4971999999998"/>
    <n v="13310.779999999999"/>
    <n v="-4400.9212799999987"/>
    <n v="-4459.282799999999"/>
    <n v="0.669371646139445"/>
  </r>
  <r>
    <x v="507"/>
    <x v="382"/>
    <d v="2023-08-21T00:00:00"/>
    <d v="2023-09-04T00:00:00"/>
    <d v="2023-09-04T00:00:00"/>
    <n v="14"/>
    <x v="2"/>
    <x v="2"/>
    <x v="29"/>
    <s v="Education"/>
    <s v="Distributor"/>
    <s v="F. Müller"/>
    <s v="Components"/>
    <s v="CMP-2136"/>
    <n v="178.19"/>
    <s v="Low"/>
    <x v="505"/>
    <n v="284.43"/>
    <n v="8.8999999999999996E-2"/>
    <n v="8"/>
    <n v="25.31427"/>
    <n v="2072.9258400000003"/>
    <n v="2047.6115700000003"/>
    <n v="1425.52"/>
    <n v="647.40584000000035"/>
    <n v="622.09157000000027"/>
    <n v="1.4541541612885125"/>
  </r>
  <r>
    <x v="508"/>
    <x v="383"/>
    <d v="2023-12-29T00:00:00"/>
    <d v="2024-01-20T00:00:00"/>
    <d v="2024-01-20T00:00:00"/>
    <n v="22"/>
    <x v="3"/>
    <x v="5"/>
    <x v="15"/>
    <s v="Corporate"/>
    <s v="Direct"/>
    <s v="L. Okafor"/>
    <s v="Phones"/>
    <s v="PHN-7924"/>
    <n v="1395.49"/>
    <s v="Medium"/>
    <x v="506"/>
    <n v="1679.42"/>
    <n v="0.20300000000000001"/>
    <n v="12"/>
    <n v="340.92226000000005"/>
    <n v="16061.972879999999"/>
    <n v="15721.05062"/>
    <n v="16745.88"/>
    <n v="-683.90712000000167"/>
    <n v="-1024.829380000001"/>
    <n v="0.95915967867917351"/>
  </r>
  <r>
    <x v="509"/>
    <x v="383"/>
    <d v="2024-11-02T00:00:00"/>
    <d v="2024-11-29T00:00:00"/>
    <d v="2024-11-29T00:00:00"/>
    <n v="27"/>
    <x v="2"/>
    <x v="6"/>
    <x v="28"/>
    <s v="Small Business"/>
    <s v="Direct"/>
    <s v="I. Johnson"/>
    <s v="Networking"/>
    <s v="NET-8561"/>
    <n v="1363.51"/>
    <s v="Medium"/>
    <x v="507"/>
    <n v="1433.9"/>
    <n v="5.7000000000000002E-2"/>
    <n v="8"/>
    <n v="81.732300000000009"/>
    <n v="10817.3416"/>
    <n v="10735.6093"/>
    <n v="10908.08"/>
    <n v="-90.738400000000183"/>
    <n v="-172.47069999999985"/>
    <n v="0.99168154248960405"/>
  </r>
  <r>
    <x v="510"/>
    <x v="384"/>
    <d v="2025-06-19T00:00:00"/>
    <d v="2025-07-12T00:00:00"/>
    <d v="2025-07-12T00:00:00"/>
    <n v="23"/>
    <x v="1"/>
    <x v="7"/>
    <x v="10"/>
    <s v="Non-Profit"/>
    <s v="Direct"/>
    <s v="H.Kim"/>
    <s v="Networking"/>
    <s v="NET-6370"/>
    <n v="801.24"/>
    <s v="High"/>
    <x v="508"/>
    <n v="1959.09"/>
    <n v="0.123"/>
    <n v="23"/>
    <n v="240.96806999999998"/>
    <n v="39516.804389999998"/>
    <n v="39275.836319999995"/>
    <n v="18428.52"/>
    <n v="21088.284389999997"/>
    <n v="20847.316319999994"/>
    <n v="2.1443287030103337"/>
  </r>
  <r>
    <x v="511"/>
    <x v="384"/>
    <d v="2023-11-19T00:00:00"/>
    <d v="2023-12-13T00:00:00"/>
    <d v="2023-12-13T00:00:00"/>
    <n v="24"/>
    <x v="1"/>
    <x v="8"/>
    <x v="24"/>
    <s v="Non-Profit"/>
    <s v="Direct"/>
    <s v="H. Kim"/>
    <s v="Monitors"/>
    <s v="MON-3745"/>
    <n v="1297.42"/>
    <s v="High"/>
    <x v="509"/>
    <n v="2742.97"/>
    <n v="6.9000000000000006E-2"/>
    <n v="9"/>
    <n v="189.26492999999999"/>
    <n v="22983.34563"/>
    <n v="22794.080699999999"/>
    <n v="11676.78"/>
    <n v="11306.565629999999"/>
    <n v="11117.300699999998"/>
    <n v="1.9682948235729369"/>
  </r>
  <r>
    <x v="512"/>
    <x v="385"/>
    <d v="2025-07-09T00:00:00"/>
    <d v="2025-07-18T00:00:00"/>
    <d v="2025-07-18T00:00:00"/>
    <n v="9"/>
    <x v="2"/>
    <x v="2"/>
    <x v="3"/>
    <s v="Education"/>
    <s v="Distributor"/>
    <s v="I. Johnson"/>
    <s v="Laptops"/>
    <s v="LAP-2218"/>
    <n v="57.96"/>
    <s v="Low"/>
    <x v="510"/>
    <n v="88.51"/>
    <n v="4.2999999999999997E-2"/>
    <n v="7"/>
    <n v="3.80593"/>
    <n v="592.92849000000001"/>
    <n v="589.12256000000002"/>
    <n v="405.72"/>
    <n v="187.20848999999998"/>
    <n v="183.40255999999999"/>
    <n v="1.4614228778467908"/>
  </r>
  <r>
    <x v="513"/>
    <x v="386"/>
    <d v="2024-12-27T00:00:00"/>
    <d v="2025-01-02T00:00:00"/>
    <d v="2025-01-02T00:00:00"/>
    <n v="6"/>
    <x v="1"/>
    <x v="1"/>
    <x v="2"/>
    <s v="Education"/>
    <s v="Direct"/>
    <s v="F. Müller"/>
    <s v="Laptops"/>
    <s v="LAP-8214"/>
    <n v="1391.99"/>
    <s v="High"/>
    <x v="511"/>
    <n v="3469.7"/>
    <n v="0.184"/>
    <n v="23"/>
    <n v="638.4248"/>
    <n v="65119.329599999997"/>
    <n v="64480.904799999997"/>
    <n v="32015.77"/>
    <n v="33103.559599999993"/>
    <n v="32465.134799999996"/>
    <n v="2.0339766808669602"/>
  </r>
  <r>
    <x v="514"/>
    <x v="386"/>
    <d v="2023-06-09T00:00:00"/>
    <d v="2023-06-19T00:00:00"/>
    <d v="2023-06-19T00:00:00"/>
    <n v="10"/>
    <x v="0"/>
    <x v="3"/>
    <x v="37"/>
    <s v="Enterprise"/>
    <s v="Retail"/>
    <s v="F. Müller"/>
    <s v="Monitors"/>
    <s v="MON-9194"/>
    <n v="339.61"/>
    <s v="Medium"/>
    <x v="512"/>
    <n v="621.02"/>
    <n v="7.0999999999999994E-2"/>
    <n v="10"/>
    <n v="44.092419999999997"/>
    <n v="5769.2758000000003"/>
    <n v="5725.1833800000004"/>
    <n v="3396.1000000000004"/>
    <n v="2373.1758"/>
    <n v="2329.08338"/>
    <n v="1.6987944406819586"/>
  </r>
  <r>
    <x v="515"/>
    <x v="387"/>
    <d v="2025-06-03T00:00:00"/>
    <d v="2025-06-10T00:00:00"/>
    <d v="2025-06-10T00:00:00"/>
    <n v="7"/>
    <x v="2"/>
    <x v="2"/>
    <x v="21"/>
    <s v="Consumer"/>
    <s v="Distributor"/>
    <s v="O. Wang"/>
    <s v="Printers"/>
    <s v="PRN-6429"/>
    <n v="75.180000000000007"/>
    <s v="Low"/>
    <x v="513"/>
    <n v="53.45"/>
    <n v="0.157"/>
    <n v="17"/>
    <n v="8.3916500000000003"/>
    <n v="765.99195000000009"/>
    <n v="757.60030000000006"/>
    <n v="1278.0600000000002"/>
    <n v="-512.06805000000008"/>
    <n v="-520.45970000000011"/>
    <n v="0.59933958499600959"/>
  </r>
  <r>
    <x v="516"/>
    <x v="388"/>
    <d v="2023-03-02T00:00:00"/>
    <d v="2023-03-05T00:00:00"/>
    <d v="2023-03-05T00:00:00"/>
    <n v="3"/>
    <x v="2"/>
    <x v="6"/>
    <x v="28"/>
    <s v="Enterprise"/>
    <s v="Direct"/>
    <s v="G. Dubois"/>
    <s v="Monitors"/>
    <s v="MON-2828"/>
    <n v="1473.58"/>
    <s v="High"/>
    <x v="514"/>
    <n v="3436.52"/>
    <n v="0.108"/>
    <n v="8"/>
    <n v="371.14416"/>
    <n v="24523.006720000001"/>
    <n v="24151.862560000001"/>
    <n v="11788.64"/>
    <n v="12734.366720000002"/>
    <n v="12363.222560000002"/>
    <n v="2.0802235643806242"/>
  </r>
  <r>
    <x v="517"/>
    <x v="389"/>
    <d v="2025-01-17T00:00:00"/>
    <d v="2025-01-24T00:00:00"/>
    <d v="2025-01-24T00:00:00"/>
    <n v="7"/>
    <x v="2"/>
    <x v="10"/>
    <x v="17"/>
    <s v="Enterprise"/>
    <s v="Online"/>
    <s v="G. Dubois"/>
    <s v="Accessories"/>
    <s v="ACC-4511"/>
    <n v="142.09"/>
    <s v="Low"/>
    <x v="515"/>
    <n v="218.5"/>
    <n v="0.11899999999999999"/>
    <n v="11"/>
    <n v="26.0015"/>
    <n v="2117.4834999999998"/>
    <n v="2091.482"/>
    <n v="1562.99"/>
    <n v="554.49349999999981"/>
    <n v="528.49199999999996"/>
    <n v="1.3547645858258848"/>
  </r>
  <r>
    <x v="518"/>
    <x v="389"/>
    <d v="2023-11-20T00:00:00"/>
    <d v="2023-12-05T00:00:00"/>
    <d v="2023-12-05T00:00:00"/>
    <n v="15"/>
    <x v="0"/>
    <x v="0"/>
    <x v="14"/>
    <s v="Enterprise"/>
    <s v="Retail"/>
    <s v="L. Okafor"/>
    <s v="Networking"/>
    <s v="NET-3033"/>
    <n v="354.24"/>
    <s v="Low"/>
    <x v="516"/>
    <n v="249.87"/>
    <n v="0"/>
    <n v="6"/>
    <n v="0"/>
    <n v="1499.22"/>
    <n v="1499.22"/>
    <n v="2125.44"/>
    <n v="-626.22"/>
    <n v="-626.22"/>
    <n v="0.70536924119241196"/>
  </r>
  <r>
    <x v="519"/>
    <x v="390"/>
    <d v="2024-06-29T00:00:00"/>
    <d v="2024-07-26T00:00:00"/>
    <d v="2024-07-26T00:00:00"/>
    <n v="27"/>
    <x v="3"/>
    <x v="11"/>
    <x v="34"/>
    <s v="Enterprise"/>
    <s v="Distributor"/>
    <s v="B. Chen"/>
    <s v="Networking"/>
    <s v="NET-4241"/>
    <n v="5.36"/>
    <s v="Low"/>
    <x v="517"/>
    <n v="4.37"/>
    <n v="0.11799999999999999"/>
    <n v="9"/>
    <n v="0.51566000000000001"/>
    <n v="34.689059999999998"/>
    <n v="34.173400000000001"/>
    <n v="48.24"/>
    <n v="-13.550940000000004"/>
    <n v="-14.066600000000001"/>
    <n v="0.71909328358208946"/>
  </r>
  <r>
    <x v="520"/>
    <x v="391"/>
    <d v="2024-06-10T00:00:00"/>
    <d v="2024-06-11T00:00:00"/>
    <d v="2024-06-11T00:00:00"/>
    <n v="1"/>
    <x v="1"/>
    <x v="7"/>
    <x v="38"/>
    <s v="Small Business"/>
    <s v="Marketplace"/>
    <s v="M. Rossi"/>
    <s v="Laptops"/>
    <s v="LAP-9230"/>
    <n v="1187.1300000000001"/>
    <s v="Medium"/>
    <x v="518"/>
    <n v="1795.17"/>
    <n v="1.2E-2"/>
    <n v="17"/>
    <n v="21.54204"/>
    <n v="30151.675319999998"/>
    <n v="30130.133279999998"/>
    <n v="20181.210000000003"/>
    <n v="9970.4653199999957"/>
    <n v="9948.9232799999954"/>
    <n v="1.4940469535771144"/>
  </r>
  <r>
    <x v="521"/>
    <x v="392"/>
    <d v="2024-06-02T00:00:00"/>
    <d v="2024-06-08T00:00:00"/>
    <d v="2024-06-08T00:00:00"/>
    <n v="6"/>
    <x v="3"/>
    <x v="5"/>
    <x v="15"/>
    <s v="Consumer"/>
    <s v="Marketplace"/>
    <s v="A. Patel"/>
    <s v="Accessories"/>
    <s v="ACC-9820"/>
    <n v="292.94"/>
    <s v="Low"/>
    <x v="519"/>
    <n v="356.55"/>
    <n v="0.22900000000000001"/>
    <n v="2"/>
    <n v="81.649950000000004"/>
    <n v="549.80010000000004"/>
    <n v="468.15015000000005"/>
    <n v="585.88"/>
    <n v="-36.079899999999952"/>
    <n v="-117.72984999999994"/>
    <n v="0.93841759404656255"/>
  </r>
  <r>
    <x v="522"/>
    <x v="392"/>
    <d v="2024-06-09T00:00:00"/>
    <d v="2024-07-07T00:00:00"/>
    <d v="2024-07-07T00:00:00"/>
    <n v="28"/>
    <x v="0"/>
    <x v="3"/>
    <x v="35"/>
    <s v="Corporate"/>
    <s v="Online"/>
    <s v="J. Njeri"/>
    <s v="Components"/>
    <s v="CMP-6392"/>
    <n v="550.22"/>
    <s v="Medium"/>
    <x v="520"/>
    <n v="1025.05"/>
    <n v="0"/>
    <n v="27"/>
    <n v="0"/>
    <n v="27676.35"/>
    <n v="27676.35"/>
    <n v="14855.94"/>
    <n v="12820.409999999998"/>
    <n v="12820.409999999998"/>
    <n v="1.8629820798953145"/>
  </r>
  <r>
    <x v="523"/>
    <x v="393"/>
    <d v="2024-10-16T00:00:00"/>
    <d v="2024-11-08T00:00:00"/>
    <d v="2024-11-08T00:00:00"/>
    <n v="23"/>
    <x v="0"/>
    <x v="0"/>
    <x v="0"/>
    <s v="Small Business"/>
    <s v="Retail"/>
    <s v="J. Njeri"/>
    <s v="Networking"/>
    <s v="NET-6387"/>
    <n v="82.14"/>
    <s v="Low"/>
    <x v="521"/>
    <n v="166.04"/>
    <n v="0"/>
    <n v="10"/>
    <n v="0"/>
    <n v="1660.3999999999999"/>
    <n v="1660.3999999999999"/>
    <n v="821.4"/>
    <n v="838.99999999999989"/>
    <n v="838.99999999999989"/>
    <n v="2.0214268322376427"/>
  </r>
  <r>
    <x v="524"/>
    <x v="394"/>
    <d v="2024-08-14T00:00:00"/>
    <d v="2024-09-04T00:00:00"/>
    <d v="2024-09-04T00:00:00"/>
    <n v="21"/>
    <x v="1"/>
    <x v="7"/>
    <x v="12"/>
    <s v="Non-Profit"/>
    <s v="Online"/>
    <s v="J. Njeri"/>
    <s v="Phones"/>
    <s v="PHN-2341"/>
    <n v="1138.8"/>
    <s v="High"/>
    <x v="522"/>
    <n v="2250.81"/>
    <n v="0.123"/>
    <n v="12"/>
    <n v="276.84962999999999"/>
    <n v="23687.524440000001"/>
    <n v="23410.67481"/>
    <n v="13665.599999999999"/>
    <n v="10021.924440000003"/>
    <n v="9745.0748100000019"/>
    <n v="1.7333687829293996"/>
  </r>
  <r>
    <x v="525"/>
    <x v="395"/>
    <d v="2023-05-11T00:00:00"/>
    <d v="2023-06-07T00:00:00"/>
    <d v="2023-06-07T00:00:00"/>
    <n v="27"/>
    <x v="3"/>
    <x v="5"/>
    <x v="20"/>
    <s v="Corporate"/>
    <s v="Online"/>
    <s v="J. Njeri"/>
    <s v="Phones"/>
    <s v="PHN-8970"/>
    <n v="12.85"/>
    <s v="Low"/>
    <x v="523"/>
    <n v="15.41"/>
    <n v="0.13700000000000001"/>
    <n v="39"/>
    <n v="2.11117"/>
    <n v="518.65436999999997"/>
    <n v="516.54319999999996"/>
    <n v="501.15"/>
    <n v="17.504369999999994"/>
    <n v="15.393199999999979"/>
    <n v="1.0349284046692606"/>
  </r>
  <r>
    <x v="526"/>
    <x v="396"/>
    <d v="2024-05-21T00:00:00"/>
    <d v="2024-05-27T00:00:00"/>
    <d v="2024-05-27T00:00:00"/>
    <n v="6"/>
    <x v="3"/>
    <x v="11"/>
    <x v="19"/>
    <s v="Non-Profit"/>
    <s v="Online"/>
    <s v="M. Rossi"/>
    <s v="Components"/>
    <s v="CMP-8101"/>
    <n v="1157.51"/>
    <s v="Medium"/>
    <x v="524"/>
    <n v="1394.3"/>
    <n v="0.27800000000000002"/>
    <n v="12"/>
    <n v="387.61540000000002"/>
    <n v="12080.215199999999"/>
    <n v="11692.599799999998"/>
    <n v="13890.119999999999"/>
    <n v="-1809.9048000000003"/>
    <n v="-2197.5202000000008"/>
    <n v="0.86969840433343981"/>
  </r>
  <r>
    <x v="527"/>
    <x v="397"/>
    <d v="2024-09-14T00:00:00"/>
    <d v="2024-10-05T00:00:00"/>
    <d v="2024-10-05T00:00:00"/>
    <n v="21"/>
    <x v="0"/>
    <x v="3"/>
    <x v="4"/>
    <s v="Small Business"/>
    <s v="Online"/>
    <s v="H. Kim"/>
    <s v="Laptops"/>
    <s v="LAP-5150"/>
    <n v="1405.56"/>
    <s v="High"/>
    <x v="525"/>
    <n v="2968.87"/>
    <n v="0.16900000000000001"/>
    <n v="5"/>
    <n v="501.73903000000001"/>
    <n v="12335.654849999999"/>
    <n v="11833.915819999998"/>
    <n v="7027.7999999999993"/>
    <n v="5307.8548499999997"/>
    <n v="4806.1158199999991"/>
    <n v="1.7552654956031759"/>
  </r>
  <r>
    <x v="528"/>
    <x v="398"/>
    <d v="2025-03-31T00:00:00"/>
    <d v="2025-04-04T00:00:00"/>
    <d v="2025-04-04T00:00:00"/>
    <n v="4"/>
    <x v="3"/>
    <x v="5"/>
    <x v="9"/>
    <s v="Corporate"/>
    <s v="Direct"/>
    <s v="C. Otieno"/>
    <s v="Laptops"/>
    <s v="LAP-7136"/>
    <n v="862.08"/>
    <s v="High"/>
    <x v="526"/>
    <n v="1952.83"/>
    <n v="0"/>
    <n v="7"/>
    <n v="0"/>
    <n v="13669.81"/>
    <n v="13669.81"/>
    <n v="6034.56"/>
    <n v="7635.2499999999991"/>
    <n v="7635.2499999999991"/>
    <n v="2.2652538047512989"/>
  </r>
  <r>
    <x v="529"/>
    <x v="398"/>
    <d v="2024-12-05T00:00:00"/>
    <d v="2024-12-28T00:00:00"/>
    <d v="2024-12-28T00:00:00"/>
    <n v="23"/>
    <x v="2"/>
    <x v="2"/>
    <x v="3"/>
    <s v="Corporate"/>
    <s v="Direct"/>
    <s v="F. Müller"/>
    <s v="Accessories"/>
    <s v="ACC-2386"/>
    <n v="107.03"/>
    <s v="Low"/>
    <x v="527"/>
    <n v="242.29"/>
    <n v="0.18"/>
    <n v="30"/>
    <n v="43.612199999999994"/>
    <n v="5960.3340000000007"/>
    <n v="5916.7218000000012"/>
    <n v="3210.9"/>
    <n v="2749.4340000000007"/>
    <n v="2705.8218000000011"/>
    <n v="1.8562814164253014"/>
  </r>
  <r>
    <x v="530"/>
    <x v="399"/>
    <d v="2025-01-27T00:00:00"/>
    <d v="2025-02-15T00:00:00"/>
    <d v="2025-02-15T00:00:00"/>
    <n v="19"/>
    <x v="0"/>
    <x v="3"/>
    <x v="35"/>
    <s v="Non-Profit"/>
    <s v="Direct"/>
    <s v="L. Okafor"/>
    <s v="Phones"/>
    <s v="PHN-8368"/>
    <n v="1253.22"/>
    <s v="High"/>
    <x v="528"/>
    <n v="3104.71"/>
    <n v="0"/>
    <n v="17"/>
    <n v="0"/>
    <n v="52780.07"/>
    <n v="52780.07"/>
    <n v="21304.74"/>
    <n v="31475.329999999998"/>
    <n v="31475.329999999998"/>
    <n v="2.4773862530122401"/>
  </r>
  <r>
    <x v="531"/>
    <x v="399"/>
    <d v="2024-01-13T00:00:00"/>
    <d v="2024-01-22T00:00:00"/>
    <d v="2024-01-22T00:00:00"/>
    <n v="9"/>
    <x v="0"/>
    <x v="4"/>
    <x v="30"/>
    <s v="Enterprise"/>
    <s v="Marketplace"/>
    <s v="J. Njeri"/>
    <s v="Components"/>
    <s v="CMP-8141"/>
    <n v="313.60000000000002"/>
    <s v="Low"/>
    <x v="529"/>
    <n v="334.28"/>
    <n v="0.14000000000000001"/>
    <n v="22"/>
    <n v="46.799199999999999"/>
    <n v="6324.5775999999996"/>
    <n v="6277.7783999999992"/>
    <n v="6899.2000000000007"/>
    <n v="-574.62240000000111"/>
    <n v="-621.42160000000149"/>
    <n v="0.91671173469387734"/>
  </r>
  <r>
    <x v="532"/>
    <x v="400"/>
    <d v="2025-07-22T00:00:00"/>
    <d v="2025-08-18T00:00:00"/>
    <d v="2025-08-18T00:00:00"/>
    <n v="27"/>
    <x v="0"/>
    <x v="3"/>
    <x v="35"/>
    <s v="Non-Profit"/>
    <s v="Marketplace"/>
    <s v="M. Rossi"/>
    <s v="Networking"/>
    <s v="NET-1804"/>
    <n v="547.32000000000005"/>
    <s v="Low"/>
    <x v="530"/>
    <n v="419.17"/>
    <n v="9.1999999999999998E-2"/>
    <n v="14"/>
    <n v="38.563639999999999"/>
    <n v="5328.4890400000004"/>
    <n v="5289.9254000000001"/>
    <n v="7662.4800000000005"/>
    <n v="-2333.9909600000001"/>
    <n v="-2372.5546000000004"/>
    <n v="0.69540005846671049"/>
  </r>
  <r>
    <x v="533"/>
    <x v="400"/>
    <d v="2023-02-28T00:00:00"/>
    <d v="2023-03-20T00:00:00"/>
    <d v="2023-03-20T00:00:00"/>
    <n v="20"/>
    <x v="1"/>
    <x v="1"/>
    <x v="33"/>
    <s v="Small Business"/>
    <s v="Direct"/>
    <s v="H. Kim"/>
    <s v="Laptops"/>
    <s v="LAP-3679"/>
    <n v="1200.78"/>
    <s v="High"/>
    <x v="531"/>
    <n v="2001.17"/>
    <n v="0.29199999999999998"/>
    <n v="18"/>
    <n v="584.34163999999998"/>
    <n v="25502.910479999999"/>
    <n v="24918.56884"/>
    <n v="21614.04"/>
    <n v="3888.8704799999978"/>
    <n v="3304.528839999999"/>
    <n v="1.1799233498226152"/>
  </r>
  <r>
    <x v="534"/>
    <x v="401"/>
    <d v="2024-05-28T00:00:00"/>
    <d v="2024-05-28T00:00:00"/>
    <d v="2024-05-26T00:00:00"/>
    <n v="-2"/>
    <x v="3"/>
    <x v="9"/>
    <x v="25"/>
    <s v="Enterprise"/>
    <s v="Online"/>
    <s v="F. Müller"/>
    <s v="Accessories"/>
    <s v="ACC-5177"/>
    <n v="1227.08"/>
    <s v="High"/>
    <x v="532"/>
    <n v="1896.62"/>
    <n v="0"/>
    <n v="18"/>
    <n v="0"/>
    <n v="34139.159999999996"/>
    <n v="34139.159999999996"/>
    <n v="22087.439999999999"/>
    <n v="12051.719999999998"/>
    <n v="12051.719999999998"/>
    <n v="1.5456367962969"/>
  </r>
  <r>
    <x v="535"/>
    <x v="402"/>
    <d v="2025-08-01T00:00:00"/>
    <d v="2025-08-16T00:00:00"/>
    <d v="2025-08-16T00:00:00"/>
    <n v="15"/>
    <x v="0"/>
    <x v="4"/>
    <x v="5"/>
    <s v="Enterprise"/>
    <s v="Direct"/>
    <s v="O. Wang"/>
    <s v="Monitors"/>
    <s v="MON-1822"/>
    <n v="24.44"/>
    <s v="Low"/>
    <x v="533"/>
    <n v="28.69"/>
    <n v="0.14599999999999999"/>
    <n v="6"/>
    <n v="4.1887400000000001"/>
    <n v="147.00756000000001"/>
    <n v="142.81882000000002"/>
    <n v="146.64000000000001"/>
    <n v="0.36755999999999744"/>
    <n v="-3.8211799999999982"/>
    <n v="1.0025065466448444"/>
  </r>
  <r>
    <x v="536"/>
    <x v="403"/>
    <d v="2024-10-04T00:00:00"/>
    <d v="2024-11-02T00:00:00"/>
    <d v="2024-11-02T00:00:00"/>
    <n v="29"/>
    <x v="3"/>
    <x v="9"/>
    <x v="25"/>
    <s v="Corporate"/>
    <s v="Distributor"/>
    <s v="F. Müller"/>
    <s v="Accessories"/>
    <s v="ACC-9038"/>
    <n v="412.09"/>
    <s v="Medium"/>
    <x v="534"/>
    <n v="968.94"/>
    <n v="9.9000000000000005E-2"/>
    <n v="23"/>
    <n v="95.925060000000016"/>
    <n v="20079.343620000003"/>
    <n v="19983.418560000002"/>
    <n v="9478.07"/>
    <n v="10601.273620000004"/>
    <n v="10505.348560000002"/>
    <n v="2.118505520638696"/>
  </r>
  <r>
    <x v="537"/>
    <x v="403"/>
    <d v="2025-09-10T00:00:00"/>
    <d v="2025-09-30T00:00:00"/>
    <d v="2025-09-30T00:00:00"/>
    <n v="20"/>
    <x v="3"/>
    <x v="5"/>
    <x v="20"/>
    <s v="Corporate"/>
    <s v="Direct"/>
    <s v="L. Okafor"/>
    <s v="Phones"/>
    <s v="PHN-6954"/>
    <n v="1009.48"/>
    <s v="Medium"/>
    <x v="535"/>
    <n v="1088.81"/>
    <n v="0.16"/>
    <n v="6"/>
    <n v="174.20959999999999"/>
    <n v="5487.6023999999998"/>
    <n v="5313.3927999999996"/>
    <n v="6056.88"/>
    <n v="-569.27760000000035"/>
    <n v="-743.48720000000048"/>
    <n v="0.90601141181598444"/>
  </r>
  <r>
    <x v="538"/>
    <x v="403"/>
    <d v="2023-04-06T00:00:00"/>
    <d v="2023-04-27T00:00:00"/>
    <d v="2023-04-27T00:00:00"/>
    <n v="21"/>
    <x v="1"/>
    <x v="7"/>
    <x v="12"/>
    <s v="Enterprise"/>
    <s v="Distributor"/>
    <s v="I. Johnson"/>
    <s v="Printers"/>
    <s v="PRN-8970"/>
    <n v="1084.79"/>
    <s v="High"/>
    <x v="536"/>
    <n v="2484.9899999999998"/>
    <n v="3.4000000000000002E-2"/>
    <n v="18"/>
    <n v="84.489660000000001"/>
    <n v="43209.006119999991"/>
    <n v="43124.516459999992"/>
    <n v="19526.22"/>
    <n v="23682.78611999999"/>
    <n v="23598.29645999999"/>
    <n v="2.2128710072917332"/>
  </r>
  <r>
    <x v="539"/>
    <x v="404"/>
    <d v="2025-06-09T00:00:00"/>
    <d v="2025-06-25T00:00:00"/>
    <d v="2025-06-25T00:00:00"/>
    <n v="16"/>
    <x v="0"/>
    <x v="4"/>
    <x v="5"/>
    <s v="Enterprise"/>
    <s v="Distributor"/>
    <s v="M. Rossi"/>
    <s v="Phones"/>
    <s v="PHN-3482"/>
    <n v="527.33000000000004"/>
    <s v="Medium"/>
    <x v="537"/>
    <n v="911.72"/>
    <n v="0.14399999999999999"/>
    <n v="25"/>
    <n v="131.28767999999999"/>
    <n v="19510.808000000001"/>
    <n v="19379.52032"/>
    <n v="13183.250000000002"/>
    <n v="6327.5579999999991"/>
    <n v="6196.2703199999978"/>
    <n v="1.4799695067604723"/>
  </r>
  <r>
    <x v="540"/>
    <x v="404"/>
    <d v="2023-06-24T00:00:00"/>
    <d v="2023-06-24T00:00:00"/>
    <d v="2023-06-23T00:00:00"/>
    <n v="-1"/>
    <x v="2"/>
    <x v="6"/>
    <x v="8"/>
    <s v="Non-Profit"/>
    <s v="Retail"/>
    <s v="E. Garcia"/>
    <s v="Printers"/>
    <s v="PRN-6490"/>
    <n v="804.01"/>
    <s v="Medium"/>
    <x v="538"/>
    <n v="1405.07"/>
    <n v="9.6000000000000002E-2"/>
    <n v="8"/>
    <n v="134.88672"/>
    <n v="10161.46624"/>
    <n v="10026.579519999999"/>
    <n v="6432.08"/>
    <n v="3729.3862399999998"/>
    <n v="3594.4995199999994"/>
    <n v="1.5798103008669047"/>
  </r>
  <r>
    <x v="541"/>
    <x v="405"/>
    <d v="2025-04-28T00:00:00"/>
    <d v="2025-05-15T00:00:00"/>
    <d v="2025-05-15T00:00:00"/>
    <n v="17"/>
    <x v="0"/>
    <x v="0"/>
    <x v="1"/>
    <s v="Education"/>
    <s v="Direct"/>
    <s v="N. Brown"/>
    <s v="Networking"/>
    <s v="NET-1966"/>
    <n v="691.19"/>
    <s v="Medium"/>
    <x v="539"/>
    <n v="1284.3"/>
    <n v="7.3999999999999996E-2"/>
    <n v="7"/>
    <n v="95.038199999999989"/>
    <n v="8324.8326000000015"/>
    <n v="8229.7944000000007"/>
    <n v="4838.33"/>
    <n v="3486.5026000000016"/>
    <n v="3391.4644000000008"/>
    <n v="1.7206004137791349"/>
  </r>
  <r>
    <x v="542"/>
    <x v="406"/>
    <d v="2023-06-29T00:00:00"/>
    <d v="2023-07-02T00:00:00"/>
    <d v="2023-07-02T00:00:00"/>
    <n v="3"/>
    <x v="0"/>
    <x v="0"/>
    <x v="1"/>
    <s v="Education"/>
    <s v="Marketplace"/>
    <s v="F. Müller"/>
    <s v="Monitors"/>
    <s v="MON-2990"/>
    <n v="55.65"/>
    <s v="Low"/>
    <x v="540"/>
    <n v="83.57"/>
    <n v="6.6000000000000003E-2"/>
    <n v="8"/>
    <n v="5.5156200000000002"/>
    <n v="624.43503999999996"/>
    <n v="618.91941999999995"/>
    <n v="445.2"/>
    <n v="179.23503999999997"/>
    <n v="173.71941999999996"/>
    <n v="1.4025944294699011"/>
  </r>
  <r>
    <x v="543"/>
    <x v="407"/>
    <d v="2024-01-21T00:00:00"/>
    <d v="2024-01-25T00:00:00"/>
    <d v="2024-01-25T00:00:00"/>
    <n v="4"/>
    <x v="0"/>
    <x v="4"/>
    <x v="6"/>
    <s v="Consumer"/>
    <s v="Direct"/>
    <s v="C. Otieno"/>
    <s v="Monitors"/>
    <s v="MON-8973"/>
    <n v="523.70000000000005"/>
    <s v="Medium"/>
    <x v="541"/>
    <n v="1109.92"/>
    <n v="0.03"/>
    <n v="11"/>
    <n v="33.297600000000003"/>
    <n v="11842.8464"/>
    <n v="11809.5488"/>
    <n v="5760.7000000000007"/>
    <n v="6082.1463999999996"/>
    <n v="6048.8487999999998"/>
    <n v="2.0557998854305897"/>
  </r>
  <r>
    <x v="544"/>
    <x v="408"/>
    <d v="2025-08-07T00:00:00"/>
    <d v="2025-08-19T00:00:00"/>
    <d v="2025-08-19T00:00:00"/>
    <n v="12"/>
    <x v="3"/>
    <x v="5"/>
    <x v="9"/>
    <s v="Corporate"/>
    <s v="Retail"/>
    <s v="M. Rossi"/>
    <s v="Components"/>
    <s v="CMP-2854"/>
    <n v="601.51"/>
    <s v="Medium"/>
    <x v="542"/>
    <n v="679.35"/>
    <n v="0.188"/>
    <n v="3"/>
    <n v="127.71780000000001"/>
    <n v="1654.8966000000003"/>
    <n v="1527.1788000000001"/>
    <n v="1804.53"/>
    <n v="-149.63339999999971"/>
    <n v="-277.35119999999984"/>
    <n v="0.91707901780519041"/>
  </r>
  <r>
    <x v="545"/>
    <x v="409"/>
    <d v="2023-12-22T00:00:00"/>
    <d v="2023-12-23T00:00:00"/>
    <d v="2023-12-23T00:00:00"/>
    <n v="1"/>
    <x v="3"/>
    <x v="11"/>
    <x v="18"/>
    <s v="Non-Profit"/>
    <s v="Marketplace"/>
    <s v="D. Smith"/>
    <s v="Components"/>
    <s v="CMP-4531"/>
    <n v="1186.18"/>
    <s v="Medium"/>
    <x v="543"/>
    <n v="1285.0899999999999"/>
    <n v="7.0000000000000007E-2"/>
    <n v="11"/>
    <n v="89.956299999999999"/>
    <n v="13146.470699999998"/>
    <n v="13056.514399999998"/>
    <n v="13047.980000000001"/>
    <n v="98.49069999999665"/>
    <n v="8.5343999999968219"/>
    <n v="1.0075483484799943"/>
  </r>
  <r>
    <x v="546"/>
    <x v="409"/>
    <d v="2024-04-06T00:00:00"/>
    <d v="2024-04-25T00:00:00"/>
    <d v="2024-04-25T00:00:00"/>
    <n v="19"/>
    <x v="0"/>
    <x v="3"/>
    <x v="4"/>
    <s v="Corporate"/>
    <s v="Retail"/>
    <s v="K. Singh"/>
    <s v="Components"/>
    <s v="CMP-8196"/>
    <n v="1366.48"/>
    <s v="Medium"/>
    <x v="544"/>
    <n v="1678.14"/>
    <n v="0.154"/>
    <n v="10"/>
    <n v="258.43356"/>
    <n v="14197.064400000001"/>
    <n v="13938.630840000002"/>
    <n v="13664.8"/>
    <n v="532.26440000000184"/>
    <n v="273.83084000000235"/>
    <n v="1.0389514958140627"/>
  </r>
  <r>
    <x v="547"/>
    <x v="410"/>
    <d v="2025-03-25T00:00:00"/>
    <d v="2025-04-17T00:00:00"/>
    <d v="2025-04-17T00:00:00"/>
    <n v="23"/>
    <x v="1"/>
    <x v="7"/>
    <x v="10"/>
    <s v="Consumer"/>
    <s v="Retail"/>
    <s v="H. Kim"/>
    <s v="Networking"/>
    <s v="NET-7166"/>
    <n v="1421.19"/>
    <s v="Medium"/>
    <x v="545"/>
    <n v="1808.26"/>
    <n v="0.104"/>
    <n v="13"/>
    <n v="188.05903999999998"/>
    <n v="21062.61248"/>
    <n v="20874.55344"/>
    <n v="18475.47"/>
    <n v="2587.1424799999986"/>
    <n v="2399.0834399999985"/>
    <n v="1.1400312132790125"/>
  </r>
  <r>
    <x v="548"/>
    <x v="411"/>
    <d v="2025-05-14T00:00:00"/>
    <d v="2025-05-24T00:00:00"/>
    <d v="2025-05-24T00:00:00"/>
    <n v="10"/>
    <x v="1"/>
    <x v="8"/>
    <x v="11"/>
    <s v="Small Business"/>
    <s v="Marketplace"/>
    <s v="K. Singh"/>
    <s v="Components"/>
    <s v="CMP-2865"/>
    <n v="170.39"/>
    <s v="Low"/>
    <x v="546"/>
    <n v="388.04"/>
    <n v="8.4000000000000005E-2"/>
    <n v="15"/>
    <n v="32.595360000000007"/>
    <n v="5331.6696000000002"/>
    <n v="5299.0742399999999"/>
    <n v="2555.85"/>
    <n v="2775.8196000000003"/>
    <n v="2743.22424"/>
    <n v="2.0860651446681144"/>
  </r>
  <r>
    <x v="549"/>
    <x v="411"/>
    <d v="2025-04-23T00:00:00"/>
    <d v="2025-04-23T00:00:00"/>
    <d v="2025-04-22T00:00:00"/>
    <n v="-1"/>
    <x v="2"/>
    <x v="10"/>
    <x v="23"/>
    <s v="Non-Profit"/>
    <s v="Distributor"/>
    <s v="D. Smith"/>
    <s v="Monitors"/>
    <s v="MON-3371"/>
    <n v="23.24"/>
    <s v="Low"/>
    <x v="547"/>
    <n v="44.57"/>
    <n v="0.215"/>
    <n v="15"/>
    <n v="9.5825499999999995"/>
    <n v="524.81174999999996"/>
    <n v="515.22919999999999"/>
    <n v="348.59999999999997"/>
    <n v="176.21174999999999"/>
    <n v="166.62920000000003"/>
    <n v="1.5054840791738382"/>
  </r>
  <r>
    <x v="550"/>
    <x v="412"/>
    <d v="2023-02-08T00:00:00"/>
    <d v="2023-02-11T00:00:00"/>
    <d v="2023-02-11T00:00:00"/>
    <n v="3"/>
    <x v="3"/>
    <x v="11"/>
    <x v="18"/>
    <s v="Corporate"/>
    <s v="Direct"/>
    <s v="M. Rossi"/>
    <s v="Networking"/>
    <s v="NET-5018"/>
    <n v="1410.05"/>
    <s v="High"/>
    <x v="548"/>
    <n v="2763.95"/>
    <n v="0.161"/>
    <n v="26"/>
    <n v="444.99594999999999"/>
    <n v="60292.805299999993"/>
    <n v="59847.809349999996"/>
    <n v="36661.299999999996"/>
    <n v="23631.505299999997"/>
    <n v="23186.50935"/>
    <n v="1.6445899436190206"/>
  </r>
  <r>
    <x v="551"/>
    <x v="412"/>
    <d v="2023-08-19T00:00:00"/>
    <d v="2023-09-12T00:00:00"/>
    <d v="2023-09-12T00:00:00"/>
    <n v="24"/>
    <x v="2"/>
    <x v="2"/>
    <x v="3"/>
    <s v="Enterprise"/>
    <s v="Retail"/>
    <s v="I. Johnson"/>
    <s v="Printers"/>
    <s v="PRN-9669"/>
    <n v="1183.95"/>
    <s v="Medium"/>
    <x v="549"/>
    <n v="1503.53"/>
    <n v="0.24099999999999999"/>
    <n v="16"/>
    <n v="362.35073"/>
    <n v="18258.868320000001"/>
    <n v="17896.517590000003"/>
    <n v="18943.2"/>
    <n v="-684.33167999999932"/>
    <n v="-1046.6824099999976"/>
    <n v="0.96387454706702147"/>
  </r>
  <r>
    <x v="552"/>
    <x v="413"/>
    <d v="2024-11-21T00:00:00"/>
    <d v="2024-12-21T00:00:00"/>
    <d v="2024-12-21T00:00:00"/>
    <n v="30"/>
    <x v="1"/>
    <x v="8"/>
    <x v="22"/>
    <s v="Small Business"/>
    <s v="Direct"/>
    <s v="I. Johnson"/>
    <s v="Monitors"/>
    <s v="MON-7943"/>
    <n v="1122.68"/>
    <s v="High"/>
    <x v="550"/>
    <n v="1997.19"/>
    <n v="0.186"/>
    <n v="3"/>
    <n v="371.47734000000003"/>
    <n v="4877.1379800000004"/>
    <n v="4505.6606400000001"/>
    <n v="3368.04"/>
    <n v="1509.0979800000005"/>
    <n v="1137.6206400000001"/>
    <n v="1.4480641500694766"/>
  </r>
  <r>
    <x v="553"/>
    <x v="414"/>
    <d v="2023-06-14T00:00:00"/>
    <d v="2023-06-16T00:00:00"/>
    <d v="2023-06-16T00:00:00"/>
    <n v="2"/>
    <x v="1"/>
    <x v="7"/>
    <x v="12"/>
    <s v="Non-Profit"/>
    <s v="Direct"/>
    <s v="K. Singh"/>
    <s v="Components"/>
    <s v="CMP-5820"/>
    <n v="357.36"/>
    <s v="Medium"/>
    <x v="551"/>
    <n v="703.62"/>
    <n v="0.25700000000000001"/>
    <n v="20"/>
    <n v="180.83034000000001"/>
    <n v="10455.7932"/>
    <n v="10274.96286"/>
    <n v="7147.2000000000007"/>
    <n v="3308.5931999999993"/>
    <n v="3127.7628599999989"/>
    <n v="1.4629215916722631"/>
  </r>
  <r>
    <x v="554"/>
    <x v="415"/>
    <d v="2023-09-18T00:00:00"/>
    <d v="2023-10-08T00:00:00"/>
    <d v="2023-10-08T00:00:00"/>
    <n v="20"/>
    <x v="0"/>
    <x v="4"/>
    <x v="6"/>
    <s v="Small Business"/>
    <s v="Direct"/>
    <s v="B. Chen"/>
    <s v="Components"/>
    <s v="CMP-1009"/>
    <n v="825.64"/>
    <s v="Medium"/>
    <x v="552"/>
    <n v="1108.43"/>
    <n v="0.114"/>
    <n v="7"/>
    <n v="126.36102000000001"/>
    <n v="6874.4828600000001"/>
    <n v="6748.1218399999998"/>
    <n v="5779.48"/>
    <n v="1095.0028600000005"/>
    <n v="968.64184000000023"/>
    <n v="1.1894639067874619"/>
  </r>
  <r>
    <x v="555"/>
    <x v="415"/>
    <d v="2024-08-28T00:00:00"/>
    <d v="2024-09-25T00:00:00"/>
    <d v="2024-09-25T00:00:00"/>
    <n v="28"/>
    <x v="2"/>
    <x v="6"/>
    <x v="8"/>
    <s v="Non-Profit"/>
    <s v="Online"/>
    <s v="L. Okafor"/>
    <s v="Accessories"/>
    <s v="ACC-4490"/>
    <n v="1394.65"/>
    <s v="High"/>
    <x v="553"/>
    <n v="3144.1"/>
    <n v="0.13400000000000001"/>
    <n v="13"/>
    <n v="421.30940000000004"/>
    <n v="35396.277799999996"/>
    <n v="34974.968399999998"/>
    <n v="18130.45"/>
    <n v="17265.827799999995"/>
    <n v="16844.518399999997"/>
    <n v="1.9523110457820956"/>
  </r>
  <r>
    <x v="556"/>
    <x v="415"/>
    <d v="2024-06-30T00:00:00"/>
    <d v="2024-06-30T00:00:00"/>
    <d v="2024-06-28T00:00:00"/>
    <n v="-2"/>
    <x v="2"/>
    <x v="6"/>
    <x v="8"/>
    <s v="Small Business"/>
    <s v="Direct"/>
    <s v="L. Okafor"/>
    <s v="Accessories"/>
    <s v="ACC-9162"/>
    <n v="1112.98"/>
    <s v="High"/>
    <x v="554"/>
    <n v="2095.73"/>
    <n v="7.1999999999999995E-2"/>
    <n v="17"/>
    <n v="150.89256"/>
    <n v="33062.236480000007"/>
    <n v="32911.343920000007"/>
    <n v="18920.66"/>
    <n v="14141.576480000007"/>
    <n v="13990.683920000007"/>
    <n v="1.7474145447357547"/>
  </r>
  <r>
    <x v="557"/>
    <x v="416"/>
    <d v="2023-05-20T00:00:00"/>
    <d v="2023-05-20T00:00:00"/>
    <d v="2023-05-18T00:00:00"/>
    <n v="-2"/>
    <x v="3"/>
    <x v="11"/>
    <x v="34"/>
    <s v="Corporate"/>
    <s v="Distributor"/>
    <s v="A. Patel"/>
    <s v="Components"/>
    <s v="CMP-5208"/>
    <n v="917.88"/>
    <s v="Medium"/>
    <x v="555"/>
    <n v="1347.92"/>
    <n v="0.34300000000000003"/>
    <n v="5"/>
    <n v="462.33656000000008"/>
    <n v="4427.9172000000008"/>
    <n v="3965.5806400000006"/>
    <n v="4589.3999999999996"/>
    <n v="-161.48279999999886"/>
    <n v="-623.81935999999905"/>
    <n v="0.9648139626094917"/>
  </r>
  <r>
    <x v="558"/>
    <x v="417"/>
    <d v="2024-12-15T00:00:00"/>
    <d v="2024-12-20T00:00:00"/>
    <d v="2024-12-20T00:00:00"/>
    <n v="5"/>
    <x v="0"/>
    <x v="3"/>
    <x v="35"/>
    <s v="Small Business"/>
    <s v="Direct"/>
    <s v="J. Njeri"/>
    <s v="Networking"/>
    <s v="NET-1846"/>
    <n v="717.55"/>
    <s v="Low"/>
    <x v="556"/>
    <n v="546.42999999999995"/>
    <n v="4.7E-2"/>
    <n v="18"/>
    <n v="25.682209999999998"/>
    <n v="9373.460219999999"/>
    <n v="9347.7780099999982"/>
    <n v="12915.9"/>
    <n v="-3542.4397800000006"/>
    <n v="-3568.1219900000015"/>
    <n v="0.72573031844470759"/>
  </r>
  <r>
    <x v="559"/>
    <x v="418"/>
    <d v="2024-03-18T00:00:00"/>
    <d v="2024-03-21T00:00:00"/>
    <d v="2024-03-21T00:00:00"/>
    <n v="3"/>
    <x v="1"/>
    <x v="1"/>
    <x v="32"/>
    <s v="Small Business"/>
    <s v="Online"/>
    <s v="M. Rossi"/>
    <s v="Accessories"/>
    <s v="ACC-2761"/>
    <n v="910.63"/>
    <s v="Medium"/>
    <x v="557"/>
    <n v="1269.4000000000001"/>
    <n v="6.8000000000000005E-2"/>
    <n v="9"/>
    <n v="86.319200000000009"/>
    <n v="10647.727199999999"/>
    <n v="10561.407999999999"/>
    <n v="8195.67"/>
    <n v="2452.0571999999993"/>
    <n v="2365.7379999999994"/>
    <n v="1.299189352426342"/>
  </r>
  <r>
    <x v="560"/>
    <x v="418"/>
    <d v="2025-04-09T00:00:00"/>
    <d v="2025-05-06T00:00:00"/>
    <d v="2025-05-06T00:00:00"/>
    <n v="27"/>
    <x v="2"/>
    <x v="6"/>
    <x v="28"/>
    <s v="Enterprise"/>
    <s v="Marketplace"/>
    <s v="F. Müller"/>
    <s v="Laptops"/>
    <s v="LAP-4517"/>
    <n v="264.19"/>
    <s v="Low"/>
    <x v="558"/>
    <n v="620.92999999999995"/>
    <n v="0.14199999999999999"/>
    <n v="12"/>
    <n v="88.172059999999988"/>
    <n v="6393.0952799999995"/>
    <n v="6304.9232199999997"/>
    <n v="3170.2799999999997"/>
    <n v="3222.8152799999998"/>
    <n v="3134.6432199999999"/>
    <n v="2.0165711798326962"/>
  </r>
  <r>
    <x v="561"/>
    <x v="418"/>
    <d v="2024-04-12T00:00:00"/>
    <d v="2024-05-07T00:00:00"/>
    <d v="2024-05-07T00:00:00"/>
    <n v="25"/>
    <x v="3"/>
    <x v="11"/>
    <x v="19"/>
    <s v="Education"/>
    <s v="Distributor"/>
    <s v="A. Patel"/>
    <s v="Laptops"/>
    <s v="LAP-8489"/>
    <n v="1376.51"/>
    <s v="Medium"/>
    <x v="559"/>
    <n v="1455.91"/>
    <n v="0.185"/>
    <n v="17"/>
    <n v="269.34334999999999"/>
    <n v="20171.63305"/>
    <n v="19902.289700000001"/>
    <n v="23400.67"/>
    <n v="-3229.0369499999979"/>
    <n v="-3498.3802999999971"/>
    <n v="0.86201091891813364"/>
  </r>
  <r>
    <x v="562"/>
    <x v="419"/>
    <d v="2023-04-21T00:00:00"/>
    <d v="2023-05-10T00:00:00"/>
    <d v="2023-05-10T00:00:00"/>
    <n v="19"/>
    <x v="0"/>
    <x v="3"/>
    <x v="4"/>
    <s v="Corporate"/>
    <s v="Retail"/>
    <s v="A. Patel"/>
    <s v="Components"/>
    <s v="CMP-7371"/>
    <n v="882.33"/>
    <s v="Medium"/>
    <x v="560"/>
    <n v="1880.15"/>
    <n v="0.05"/>
    <n v="5"/>
    <n v="94.007500000000007"/>
    <n v="8930.7124999999996"/>
    <n v="8836.7049999999999"/>
    <n v="4411.6500000000005"/>
    <n v="4519.0624999999991"/>
    <n v="4425.0549999999994"/>
    <n v="2.0243474663674585"/>
  </r>
  <r>
    <x v="563"/>
    <x v="420"/>
    <d v="2023-08-19T00:00:00"/>
    <d v="2023-09-07T00:00:00"/>
    <d v="2023-09-07T00:00:00"/>
    <n v="19"/>
    <x v="3"/>
    <x v="11"/>
    <x v="19"/>
    <s v="Enterprise"/>
    <s v="Retail"/>
    <s v="D. Smith"/>
    <s v="Monitors"/>
    <s v="MON-2296"/>
    <n v="494.61"/>
    <s v="Low"/>
    <x v="561"/>
    <n v="605.23"/>
    <n v="0.20399999999999999"/>
    <n v="18"/>
    <n v="123.46692"/>
    <n v="8671.7354400000004"/>
    <n v="8548.2685199999996"/>
    <n v="8902.98"/>
    <n v="-231.24455999999918"/>
    <n v="-354.71147999999994"/>
    <n v="0.97402616202664738"/>
  </r>
  <r>
    <x v="564"/>
    <x v="421"/>
    <d v="2023-12-03T00:00:00"/>
    <d v="2023-12-26T00:00:00"/>
    <d v="2023-12-26T00:00:00"/>
    <n v="23"/>
    <x v="2"/>
    <x v="6"/>
    <x v="8"/>
    <s v="Education"/>
    <s v="Retail"/>
    <s v="O. Wang"/>
    <s v="Phones"/>
    <s v="PHN-4644"/>
    <n v="1303.1099999999999"/>
    <s v="Medium"/>
    <x v="562"/>
    <n v="1145.67"/>
    <n v="0.184"/>
    <n v="13"/>
    <n v="210.80328"/>
    <n v="12153.267360000002"/>
    <n v="11942.464080000002"/>
    <n v="16940.43"/>
    <n v="-4787.1626399999986"/>
    <n v="-4997.9659199999987"/>
    <n v="0.71741197596519102"/>
  </r>
  <r>
    <x v="565"/>
    <x v="421"/>
    <d v="2023-03-19T00:00:00"/>
    <d v="2023-04-09T00:00:00"/>
    <d v="2023-04-09T00:00:00"/>
    <n v="21"/>
    <x v="1"/>
    <x v="7"/>
    <x v="12"/>
    <s v="Consumer"/>
    <s v="Retail"/>
    <s v="L. Okafor"/>
    <s v="Accessories"/>
    <s v="ACC-9150"/>
    <n v="1082.17"/>
    <s v="Medium"/>
    <x v="563"/>
    <n v="1234.0999999999999"/>
    <n v="0.189"/>
    <n v="16"/>
    <n v="233.24489999999997"/>
    <n v="16013.681599999998"/>
    <n v="15780.436699999998"/>
    <n v="17314.72"/>
    <n v="-1301.0384000000031"/>
    <n v="-1534.2833000000028"/>
    <n v="0.92485940286646262"/>
  </r>
  <r>
    <x v="566"/>
    <x v="421"/>
    <d v="2024-05-22T00:00:00"/>
    <d v="2024-06-06T00:00:00"/>
    <d v="2024-06-06T00:00:00"/>
    <n v="15"/>
    <x v="0"/>
    <x v="0"/>
    <x v="1"/>
    <s v="Corporate"/>
    <s v="Distributor"/>
    <s v="C. Otieno"/>
    <s v="Monitors"/>
    <s v="MON-6870"/>
    <n v="673.88"/>
    <s v="Medium"/>
    <x v="564"/>
    <n v="1228.01"/>
    <n v="0.105"/>
    <n v="13"/>
    <n v="128.94104999999999"/>
    <n v="14287.896349999999"/>
    <n v="14158.9553"/>
    <n v="8760.44"/>
    <n v="5527.4563499999986"/>
    <n v="5398.5152999999991"/>
    <n v="1.6309564759304325"/>
  </r>
  <r>
    <x v="567"/>
    <x v="422"/>
    <d v="2023-02-15T00:00:00"/>
    <d v="2023-02-26T00:00:00"/>
    <d v="2023-02-26T00:00:00"/>
    <n v="11"/>
    <x v="3"/>
    <x v="11"/>
    <x v="19"/>
    <s v="Non-Profit"/>
    <s v="Retail"/>
    <s v="K. Singh"/>
    <s v="Laptops"/>
    <s v="LAP-3393"/>
    <n v="498.5"/>
    <s v="Medium"/>
    <x v="565"/>
    <n v="755.87"/>
    <n v="0.13"/>
    <n v="40"/>
    <n v="98.263100000000009"/>
    <n v="26304.275999999998"/>
    <n v="26206.012899999998"/>
    <n v="19940"/>
    <n v="6364.275999999998"/>
    <n v="6266.0128999999979"/>
    <n v="1.3191713139418253"/>
  </r>
  <r>
    <x v="568"/>
    <x v="423"/>
    <d v="2025-04-27T00:00:00"/>
    <d v="2025-05-25T00:00:00"/>
    <d v="2025-05-25T00:00:00"/>
    <n v="28"/>
    <x v="1"/>
    <x v="8"/>
    <x v="11"/>
    <s v="Small Business"/>
    <s v="Marketplace"/>
    <s v="I. Johnson"/>
    <s v="Phones"/>
    <s v="PHN-8350"/>
    <n v="603.45000000000005"/>
    <s v="Medium"/>
    <x v="566"/>
    <n v="1244.08"/>
    <n v="0.2"/>
    <n v="11"/>
    <n v="248.816"/>
    <n v="10947.904"/>
    <n v="10699.088"/>
    <n v="6637.9500000000007"/>
    <n v="4309.9539999999997"/>
    <n v="4061.137999999999"/>
    <n v="1.6492899163145247"/>
  </r>
  <r>
    <x v="569"/>
    <x v="423"/>
    <d v="2024-11-02T00:00:00"/>
    <d v="2024-11-18T00:00:00"/>
    <d v="2024-11-18T00:00:00"/>
    <n v="16"/>
    <x v="0"/>
    <x v="4"/>
    <x v="30"/>
    <s v="Small Business"/>
    <s v="Distributor"/>
    <s v="O. Wang"/>
    <s v="Monitors"/>
    <s v="MON-5188"/>
    <n v="1233.58"/>
    <s v="Medium"/>
    <x v="567"/>
    <n v="1912.51"/>
    <n v="0.255"/>
    <n v="51"/>
    <n v="487.69004999999999"/>
    <n v="72665.817450000002"/>
    <n v="72178.127399999998"/>
    <n v="62912.579999999994"/>
    <n v="9753.2374500000078"/>
    <n v="9265.5474000000031"/>
    <n v="1.1550284132362718"/>
  </r>
  <r>
    <x v="570"/>
    <x v="424"/>
    <d v="2025-09-10T00:00:00"/>
    <d v="2025-09-12T00:00:00"/>
    <d v="2025-09-12T00:00:00"/>
    <n v="2"/>
    <x v="0"/>
    <x v="0"/>
    <x v="14"/>
    <s v="Consumer"/>
    <s v="Online"/>
    <s v="O. Wang"/>
    <s v="Components"/>
    <s v="CMP-6971"/>
    <n v="1470.15"/>
    <s v="High"/>
    <x v="568"/>
    <n v="2593.7800000000002"/>
    <n v="0.11"/>
    <n v="12"/>
    <n v="285.31580000000002"/>
    <n v="27701.570400000001"/>
    <n v="27416.2546"/>
    <n v="17641.800000000003"/>
    <n v="10059.770399999998"/>
    <n v="9774.4545999999973"/>
    <n v="1.5702235826276227"/>
  </r>
  <r>
    <x v="571"/>
    <x v="425"/>
    <d v="2025-05-02T00:00:00"/>
    <d v="2025-05-13T00:00:00"/>
    <d v="2025-05-13T00:00:00"/>
    <n v="11"/>
    <x v="3"/>
    <x v="5"/>
    <x v="9"/>
    <s v="Small Business"/>
    <s v="Online"/>
    <s v="A. Patel"/>
    <s v="Accessories"/>
    <s v="ACC-2252"/>
    <n v="1057.5999999999999"/>
    <s v="Medium"/>
    <x v="569"/>
    <n v="1437.06"/>
    <n v="0.20499999999999999"/>
    <n v="4"/>
    <n v="294.59729999999996"/>
    <n v="4569.8508000000002"/>
    <n v="4275.2534999999998"/>
    <n v="4230.3999999999996"/>
    <n v="339.45080000000053"/>
    <n v="44.853500000000167"/>
    <n v="1.0802408282904692"/>
  </r>
  <r>
    <x v="572"/>
    <x v="425"/>
    <d v="2024-03-10T00:00:00"/>
    <d v="2024-04-09T00:00:00"/>
    <d v="2024-04-09T00:00:00"/>
    <n v="30"/>
    <x v="1"/>
    <x v="8"/>
    <x v="24"/>
    <s v="Corporate"/>
    <s v="Direct"/>
    <s v="I. Johnson"/>
    <s v="Components"/>
    <s v="CMP-8002"/>
    <n v="1176.56"/>
    <s v="Medium"/>
    <x v="570"/>
    <n v="1911.89"/>
    <n v="0.11899999999999999"/>
    <n v="20"/>
    <n v="227.51491000000001"/>
    <n v="33687.501800000005"/>
    <n v="33459.986890000007"/>
    <n v="23531.199999999997"/>
    <n v="10156.301800000008"/>
    <n v="9928.7868900000103"/>
    <n v="1.431610024138166"/>
  </r>
  <r>
    <x v="573"/>
    <x v="426"/>
    <d v="2025-06-09T00:00:00"/>
    <d v="2025-06-18T00:00:00"/>
    <d v="2025-06-18T00:00:00"/>
    <n v="9"/>
    <x v="1"/>
    <x v="8"/>
    <x v="22"/>
    <s v="Small Business"/>
    <s v="Marketplace"/>
    <s v="H. Kim"/>
    <s v="Accessories"/>
    <s v="ACC-1770"/>
    <n v="1225.5"/>
    <s v="Low"/>
    <x v="571"/>
    <n v="-5.27"/>
    <n v="7.4999999999999997E-2"/>
    <n v="56"/>
    <n v="0.39524999999999993"/>
    <n v="272.98599999999999"/>
    <n v="272.59075000000001"/>
    <n v="68628"/>
    <n v="-68355.013999999996"/>
    <n v="-68355.409249999997"/>
    <n v="3.9777641778865769E-3"/>
  </r>
  <r>
    <x v="574"/>
    <x v="427"/>
    <d v="2024-12-17T00:00:00"/>
    <d v="2024-12-18T00:00:00"/>
    <d v="2024-12-18T00:00:00"/>
    <n v="1"/>
    <x v="1"/>
    <x v="1"/>
    <x v="32"/>
    <s v="Education"/>
    <s v="Retail"/>
    <s v="L. Okafor"/>
    <s v="Accessories"/>
    <s v="ACC-5780"/>
    <n v="346.82"/>
    <s v="Medium"/>
    <x v="572"/>
    <n v="701.95"/>
    <n v="0.14699999999999999"/>
    <n v="8"/>
    <n v="103.18665"/>
    <n v="4790.1068000000005"/>
    <n v="4686.9201500000008"/>
    <n v="2774.56"/>
    <n v="2015.5468000000005"/>
    <n v="1912.3601500000009"/>
    <n v="1.7264383541894932"/>
  </r>
  <r>
    <x v="575"/>
    <x v="428"/>
    <d v="2025-01-21T00:00:00"/>
    <d v="2025-02-16T00:00:00"/>
    <d v="2025-02-16T00:00:00"/>
    <n v="26"/>
    <x v="1"/>
    <x v="8"/>
    <x v="24"/>
    <s v="Corporate"/>
    <s v="Distributor"/>
    <s v="O. Wang"/>
    <s v="Laptops"/>
    <s v="LAP-3779"/>
    <n v="204.11"/>
    <s v="Low"/>
    <x v="573"/>
    <n v="236.87"/>
    <n v="0.182"/>
    <n v="13"/>
    <n v="43.110340000000001"/>
    <n v="2518.8755800000004"/>
    <n v="2475.7652400000002"/>
    <n v="2653.4300000000003"/>
    <n v="-134.55441999999994"/>
    <n v="-177.66476000000011"/>
    <n v="0.94929038263681353"/>
  </r>
  <r>
    <x v="576"/>
    <x v="428"/>
    <d v="2023-08-30T00:00:00"/>
    <d v="2023-09-01T00:00:00"/>
    <d v="2023-09-01T00:00:00"/>
    <n v="2"/>
    <x v="1"/>
    <x v="1"/>
    <x v="32"/>
    <s v="Corporate"/>
    <s v="Direct"/>
    <s v="N. Brown"/>
    <s v="Networking"/>
    <s v="NET-9989"/>
    <n v="44.42"/>
    <s v="Low"/>
    <x v="574"/>
    <n v="41.9"/>
    <n v="0.14399999999999999"/>
    <n v="6"/>
    <n v="6.033599999999999"/>
    <n v="215.19839999999996"/>
    <n v="209.16479999999996"/>
    <n v="266.52"/>
    <n v="-51.321600000000018"/>
    <n v="-57.355200000000025"/>
    <n v="0.80743809095002239"/>
  </r>
  <r>
    <x v="577"/>
    <x v="428"/>
    <d v="2025-04-06T00:00:00"/>
    <d v="2025-04-30T00:00:00"/>
    <d v="2025-04-30T00:00:00"/>
    <n v="24"/>
    <x v="2"/>
    <x v="6"/>
    <x v="28"/>
    <s v="Education"/>
    <s v="Online"/>
    <s v="K. Singh"/>
    <s v="Monitors"/>
    <s v="MON-4925"/>
    <n v="855.78"/>
    <s v="Medium"/>
    <x v="575"/>
    <n v="977.38"/>
    <n v="0.14699999999999999"/>
    <n v="38"/>
    <n v="143.67486"/>
    <n v="31680.795320000001"/>
    <n v="31537.120460000002"/>
    <n v="32519.64"/>
    <n v="-838.84467999999833"/>
    <n v="-982.51953999999751"/>
    <n v="0.97420498258898325"/>
  </r>
  <r>
    <x v="578"/>
    <x v="428"/>
    <d v="2025-02-09T00:00:00"/>
    <d v="2025-03-01T00:00:00"/>
    <d v="2025-03-01T00:00:00"/>
    <n v="20"/>
    <x v="2"/>
    <x v="6"/>
    <x v="26"/>
    <s v="Corporate"/>
    <s v="Distributor"/>
    <s v="B. Chen"/>
    <s v="Laptops"/>
    <s v="LAP-6989"/>
    <n v="1154.6400000000001"/>
    <s v="High"/>
    <x v="576"/>
    <n v="2794.13"/>
    <n v="3.5000000000000003E-2"/>
    <n v="11"/>
    <n v="97.794550000000015"/>
    <n v="29659.68995"/>
    <n v="29561.895400000001"/>
    <n v="12701.04"/>
    <n v="16958.649949999999"/>
    <n v="16860.8554"/>
    <n v="2.3352174270768375"/>
  </r>
  <r>
    <x v="579"/>
    <x v="429"/>
    <d v="2023-03-31T00:00:00"/>
    <d v="2023-04-05T00:00:00"/>
    <d v="2023-04-05T00:00:00"/>
    <n v="5"/>
    <x v="3"/>
    <x v="5"/>
    <x v="9"/>
    <s v="Education"/>
    <s v="Marketplace"/>
    <s v="B. Chen"/>
    <s v="Laptops"/>
    <s v="LAP-7819"/>
    <n v="533.26"/>
    <s v="Low"/>
    <x v="577"/>
    <n v="385.72"/>
    <n v="0"/>
    <n v="15"/>
    <n v="0"/>
    <n v="5785.8"/>
    <n v="5785.8"/>
    <n v="7998.9"/>
    <n v="-2213.0999999999995"/>
    <n v="-2213.0999999999995"/>
    <n v="0.72332445711285309"/>
  </r>
  <r>
    <x v="580"/>
    <x v="430"/>
    <d v="2024-10-17T00:00:00"/>
    <d v="2024-11-06T00:00:00"/>
    <d v="2024-11-06T00:00:00"/>
    <n v="20"/>
    <x v="0"/>
    <x v="4"/>
    <x v="31"/>
    <s v="Enterprise"/>
    <s v="Distributor"/>
    <s v="O. Wang"/>
    <s v="Monitors"/>
    <s v="MON-4330"/>
    <n v="72.94"/>
    <s v="Low"/>
    <x v="578"/>
    <n v="106.3"/>
    <n v="0.29499999999999998"/>
    <n v="8"/>
    <n v="31.358499999999996"/>
    <n v="599.53200000000004"/>
    <n v="568.17349999999999"/>
    <n v="583.52"/>
    <n v="16.012000000000057"/>
    <n v="-15.346499999999992"/>
    <n v="1.0274403619413217"/>
  </r>
  <r>
    <x v="581"/>
    <x v="431"/>
    <d v="2023-07-10T00:00:00"/>
    <d v="2023-08-01T00:00:00"/>
    <d v="2023-08-01T00:00:00"/>
    <n v="22"/>
    <x v="1"/>
    <x v="8"/>
    <x v="22"/>
    <s v="Consumer"/>
    <s v="Marketplace"/>
    <s v="B. Chen"/>
    <s v="Printers"/>
    <s v="PRN-1504"/>
    <n v="1303.56"/>
    <s v="Medium"/>
    <x v="579"/>
    <n v="1791.37"/>
    <n v="0.126"/>
    <n v="22"/>
    <n v="225.71261999999999"/>
    <n v="34444.462359999998"/>
    <n v="34218.749739999999"/>
    <n v="28678.32"/>
    <n v="5766.142359999998"/>
    <n v="5540.4297399999996"/>
    <n v="1.2010627665776794"/>
  </r>
  <r>
    <x v="582"/>
    <x v="431"/>
    <d v="2024-11-06T00:00:00"/>
    <d v="2024-11-22T00:00:00"/>
    <d v="2024-11-22T00:00:00"/>
    <n v="16"/>
    <x v="2"/>
    <x v="2"/>
    <x v="21"/>
    <s v="Non-Profit"/>
    <s v="Distributor"/>
    <s v="D. Smith"/>
    <s v="Accessories"/>
    <s v="ACC-6348"/>
    <n v="1454.11"/>
    <s v="High"/>
    <x v="580"/>
    <n v="2629.75"/>
    <n v="0.29199999999999998"/>
    <n v="8"/>
    <n v="767.88699999999994"/>
    <n v="14894.903999999999"/>
    <n v="14127.016999999998"/>
    <n v="11632.88"/>
    <n v="3262.0239999999994"/>
    <n v="2494.1369999999988"/>
    <n v="1.2804141364821093"/>
  </r>
  <r>
    <x v="583"/>
    <x v="432"/>
    <d v="2024-05-14T00:00:00"/>
    <d v="2024-05-28T00:00:00"/>
    <d v="2024-05-28T00:00:00"/>
    <n v="14"/>
    <x v="1"/>
    <x v="7"/>
    <x v="38"/>
    <s v="Consumer"/>
    <s v="Retail"/>
    <s v="B. Chen"/>
    <s v="Networking"/>
    <s v="NET-2365"/>
    <n v="1421.14"/>
    <s v="High"/>
    <x v="581"/>
    <n v="3524"/>
    <n v="0"/>
    <n v="31"/>
    <n v="0"/>
    <n v="109244"/>
    <n v="109244"/>
    <n v="44055.340000000004"/>
    <n v="65188.659999999996"/>
    <n v="65188.659999999996"/>
    <n v="2.479699396259341"/>
  </r>
  <r>
    <x v="584"/>
    <x v="432"/>
    <d v="2024-10-14T00:00:00"/>
    <d v="2024-11-08T00:00:00"/>
    <d v="2024-11-08T00:00:00"/>
    <n v="25"/>
    <x v="3"/>
    <x v="9"/>
    <x v="36"/>
    <s v="Enterprise"/>
    <s v="Online"/>
    <s v="O. Wang"/>
    <s v="Networking"/>
    <s v="NET-5268"/>
    <n v="859.35"/>
    <s v="Medium"/>
    <x v="582"/>
    <n v="1825.61"/>
    <n v="0.187"/>
    <n v="24"/>
    <n v="341.38907"/>
    <n v="35621.302319999995"/>
    <n v="35279.913249999998"/>
    <n v="20624.400000000001"/>
    <n v="14996.902319999994"/>
    <n v="14655.513249999996"/>
    <n v="1.7271436899982542"/>
  </r>
  <r>
    <x v="585"/>
    <x v="433"/>
    <d v="2023-06-23T00:00:00"/>
    <d v="2023-07-03T00:00:00"/>
    <d v="2023-07-03T00:00:00"/>
    <n v="10"/>
    <x v="3"/>
    <x v="9"/>
    <x v="25"/>
    <s v="Consumer"/>
    <s v="Online"/>
    <s v="J. Njeri"/>
    <s v="Printers"/>
    <s v="PRN-2542"/>
    <n v="337.75"/>
    <s v="Low"/>
    <x v="583"/>
    <n v="548.89"/>
    <n v="0"/>
    <n v="13"/>
    <n v="0"/>
    <n v="7135.57"/>
    <n v="7135.57"/>
    <n v="4390.75"/>
    <n v="2744.8199999999997"/>
    <n v="2744.8199999999997"/>
    <n v="1.6251369356032568"/>
  </r>
  <r>
    <x v="586"/>
    <x v="434"/>
    <d v="2024-05-20T00:00:00"/>
    <d v="2024-06-02T00:00:00"/>
    <d v="2024-06-02T00:00:00"/>
    <n v="13"/>
    <x v="2"/>
    <x v="2"/>
    <x v="3"/>
    <s v="Enterprise"/>
    <s v="Marketplace"/>
    <s v="K. Singh"/>
    <s v="Components"/>
    <s v="CMP-5946"/>
    <n v="675.43"/>
    <s v="Medium"/>
    <x v="584"/>
    <n v="996.36"/>
    <n v="0.182"/>
    <n v="22"/>
    <n v="181.33751999999998"/>
    <n v="17930.494560000003"/>
    <n v="17749.157040000002"/>
    <n v="14859.46"/>
    <n v="3071.0345600000037"/>
    <n v="2889.6970400000027"/>
    <n v="1.2066720163451434"/>
  </r>
  <r>
    <x v="587"/>
    <x v="434"/>
    <d v="2023-04-19T00:00:00"/>
    <d v="2023-04-30T00:00:00"/>
    <d v="2023-04-30T00:00:00"/>
    <n v="11"/>
    <x v="0"/>
    <x v="4"/>
    <x v="6"/>
    <s v="Small Business"/>
    <s v="Retail"/>
    <s v="A. Patel"/>
    <s v="Networking"/>
    <s v="NET-2062"/>
    <n v="826.55"/>
    <s v="Medium"/>
    <x v="585"/>
    <n v="1397.05"/>
    <n v="0.16900000000000001"/>
    <n v="28"/>
    <n v="236.10145"/>
    <n v="32506.559399999998"/>
    <n v="32270.45795"/>
    <n v="23143.399999999998"/>
    <n v="9363.1594000000005"/>
    <n v="9127.0579500000022"/>
    <n v="1.4045714717802917"/>
  </r>
  <r>
    <x v="588"/>
    <x v="435"/>
    <d v="2025-05-29T00:00:00"/>
    <d v="2025-06-20T00:00:00"/>
    <d v="2025-06-20T00:00:00"/>
    <n v="22"/>
    <x v="1"/>
    <x v="1"/>
    <x v="33"/>
    <s v="Corporate"/>
    <s v="Direct"/>
    <s v="A. Patel"/>
    <s v="Printers"/>
    <s v="PRN-9787"/>
    <n v="483.47"/>
    <s v="Medium"/>
    <x v="586"/>
    <n v="1135.43"/>
    <n v="0.14599999999999999"/>
    <n v="11"/>
    <n v="165.77278000000001"/>
    <n v="10666.229420000001"/>
    <n v="10500.456640000002"/>
    <n v="5318.17"/>
    <n v="5348.0594200000014"/>
    <n v="5182.2866400000021"/>
    <n v="2.005620245309947"/>
  </r>
  <r>
    <x v="589"/>
    <x v="436"/>
    <d v="2024-10-25T00:00:00"/>
    <d v="2024-11-14T00:00:00"/>
    <d v="2024-11-14T00:00:00"/>
    <n v="20"/>
    <x v="3"/>
    <x v="5"/>
    <x v="20"/>
    <s v="Corporate"/>
    <s v="Direct"/>
    <s v="H. Kim"/>
    <s v="Printers"/>
    <s v="PRN-3143"/>
    <n v="1396.48"/>
    <s v="High"/>
    <x v="587"/>
    <n v="3204.5"/>
    <n v="0.318"/>
    <n v="14"/>
    <n v="1019.0310000000001"/>
    <n v="30596.565999999999"/>
    <n v="29577.535"/>
    <n v="19550.72"/>
    <n v="11045.845999999998"/>
    <n v="10026.814999999999"/>
    <n v="1.5649841028872593"/>
  </r>
  <r>
    <x v="590"/>
    <x v="437"/>
    <d v="2024-01-11T00:00:00"/>
    <d v="2024-02-02T00:00:00"/>
    <d v="2024-02-02T00:00:00"/>
    <n v="22"/>
    <x v="3"/>
    <x v="11"/>
    <x v="34"/>
    <s v="Consumer"/>
    <s v="Online"/>
    <s v="K. Singh"/>
    <s v="Networking"/>
    <s v="NET-1412"/>
    <n v="1206.2"/>
    <s v="Medium"/>
    <x v="588"/>
    <n v="1759.79"/>
    <n v="0"/>
    <n v="6"/>
    <n v="0"/>
    <n v="10558.74"/>
    <n v="10558.74"/>
    <n v="7237.2000000000007"/>
    <n v="3321.5399999999991"/>
    <n v="3321.5399999999991"/>
    <n v="1.4589537390150886"/>
  </r>
  <r>
    <x v="591"/>
    <x v="438"/>
    <d v="2024-08-27T00:00:00"/>
    <d v="2024-09-19T00:00:00"/>
    <d v="2024-09-19T00:00:00"/>
    <n v="23"/>
    <x v="1"/>
    <x v="1"/>
    <x v="33"/>
    <s v="Small Business"/>
    <s v="Direct"/>
    <s v="D. Smith"/>
    <s v="Monitors"/>
    <s v="MON-9967"/>
    <n v="1024.01"/>
    <s v="Medium"/>
    <x v="589"/>
    <n v="1580.97"/>
    <n v="3.6999999999999998E-2"/>
    <n v="27"/>
    <n v="58.495889999999996"/>
    <n v="41106.800970000004"/>
    <n v="41048.305080000006"/>
    <n v="27648.27"/>
    <n v="13458.530970000003"/>
    <n v="13400.035080000005"/>
    <n v="1.4867766037441041"/>
  </r>
  <r>
    <x v="592"/>
    <x v="439"/>
    <d v="2023-06-17T00:00:00"/>
    <d v="2023-06-24T00:00:00"/>
    <d v="2023-06-24T00:00:00"/>
    <n v="7"/>
    <x v="2"/>
    <x v="10"/>
    <x v="23"/>
    <s v="Corporate"/>
    <s v="Retail"/>
    <s v="I. Johnson"/>
    <s v="Printers"/>
    <s v="PRN-6536"/>
    <n v="313.99"/>
    <s v="Low"/>
    <x v="590"/>
    <n v="454.42"/>
    <n v="0.129"/>
    <n v="9"/>
    <n v="58.620180000000005"/>
    <n v="3562.1983800000003"/>
    <n v="3503.5782000000004"/>
    <n v="2825.91"/>
    <n v="736.28838000000042"/>
    <n v="677.66820000000052"/>
    <n v="1.2605491257683368"/>
  </r>
  <r>
    <x v="593"/>
    <x v="440"/>
    <d v="2024-04-19T00:00:00"/>
    <d v="2024-05-06T00:00:00"/>
    <d v="2024-05-06T00:00:00"/>
    <n v="17"/>
    <x v="3"/>
    <x v="9"/>
    <x v="13"/>
    <s v="Non-Profit"/>
    <s v="Online"/>
    <s v="A. Patel"/>
    <s v="Printers"/>
    <s v="PRN-7303"/>
    <n v="865.33"/>
    <s v="Medium"/>
    <x v="591"/>
    <n v="1395.64"/>
    <n v="0.17499999999999999"/>
    <n v="13"/>
    <n v="244.23699999999999"/>
    <n v="14968.239"/>
    <n v="14724.002"/>
    <n v="11249.29"/>
    <n v="3718.9489999999987"/>
    <n v="3474.7119999999995"/>
    <n v="1.3305941086059652"/>
  </r>
  <r>
    <x v="594"/>
    <x v="441"/>
    <d v="2025-06-24T00:00:00"/>
    <d v="2025-07-10T00:00:00"/>
    <d v="2025-07-10T00:00:00"/>
    <n v="16"/>
    <x v="0"/>
    <x v="3"/>
    <x v="4"/>
    <s v="Enterprise"/>
    <s v="Direct"/>
    <s v="N. Brown"/>
    <s v="Components"/>
    <s v="CMP-8390"/>
    <n v="757.19"/>
    <s v="Medium"/>
    <x v="592"/>
    <n v="1735.41"/>
    <n v="0.13600000000000001"/>
    <n v="8"/>
    <n v="236.01576000000003"/>
    <n v="11995.153920000001"/>
    <n v="11759.13816"/>
    <n v="6057.52"/>
    <n v="5937.6339200000002"/>
    <n v="5701.61816"/>
    <n v="1.9802087190797555"/>
  </r>
  <r>
    <x v="595"/>
    <x v="442"/>
    <d v="2023-03-27T00:00:00"/>
    <d v="2023-04-22T00:00:00"/>
    <d v="2023-04-22T00:00:00"/>
    <n v="26"/>
    <x v="0"/>
    <x v="4"/>
    <x v="6"/>
    <s v="Non-Profit"/>
    <s v="Marketplace"/>
    <s v="J. Njeri"/>
    <s v="Printers"/>
    <s v="PRN-4506"/>
    <n v="178.53"/>
    <s v="Low"/>
    <x v="593"/>
    <n v="199.37"/>
    <n v="0.10100000000000001"/>
    <n v="37"/>
    <n v="20.136370000000003"/>
    <n v="6631.6443100000006"/>
    <n v="6611.5079400000004"/>
    <n v="6605.61"/>
    <n v="26.034310000000914"/>
    <n v="5.8979400000007445"/>
    <n v="1.0039412423682295"/>
  </r>
  <r>
    <x v="596"/>
    <x v="442"/>
    <d v="2024-03-07T00:00:00"/>
    <d v="2024-03-25T00:00:00"/>
    <d v="2024-03-25T00:00:00"/>
    <n v="18"/>
    <x v="1"/>
    <x v="1"/>
    <x v="32"/>
    <s v="Corporate"/>
    <s v="Online"/>
    <s v="B. Chen"/>
    <s v="Components"/>
    <s v="CMP-7617"/>
    <n v="712.84"/>
    <s v="Medium"/>
    <x v="594"/>
    <n v="927.51"/>
    <n v="0.24299999999999999"/>
    <n v="27"/>
    <n v="225.38493"/>
    <n v="18957.37689"/>
    <n v="18731.991959999999"/>
    <n v="19246.68"/>
    <n v="-289.30311000000074"/>
    <n v="-514.68804000000091"/>
    <n v="0.98496867459738502"/>
  </r>
  <r>
    <x v="597"/>
    <x v="443"/>
    <d v="2024-08-23T00:00:00"/>
    <d v="2024-08-23T00:00:00"/>
    <d v="2024-08-21T00:00:00"/>
    <n v="-2"/>
    <x v="3"/>
    <x v="11"/>
    <x v="19"/>
    <s v="Education"/>
    <s v="Retail"/>
    <s v="E. Garcia"/>
    <s v="Components"/>
    <s v="CMP-1559"/>
    <n v="1432.52"/>
    <s v="High"/>
    <x v="595"/>
    <n v="3036.87"/>
    <n v="0"/>
    <n v="9"/>
    <n v="0"/>
    <n v="27331.829999999998"/>
    <n v="27331.829999999998"/>
    <n v="12892.68"/>
    <n v="14439.149999999998"/>
    <n v="14439.149999999998"/>
    <n v="2.1199494596934074"/>
  </r>
  <r>
    <x v="598"/>
    <x v="444"/>
    <d v="2024-04-18T00:00:00"/>
    <d v="2024-05-08T00:00:00"/>
    <d v="2024-05-08T00:00:00"/>
    <n v="20"/>
    <x v="1"/>
    <x v="7"/>
    <x v="10"/>
    <s v="Non-Profit"/>
    <s v="Distributor"/>
    <s v="D. Smith"/>
    <s v="Laptops"/>
    <s v="LAP-9932"/>
    <n v="645.33000000000004"/>
    <s v="Medium"/>
    <x v="596"/>
    <n v="1321.85"/>
    <n v="0"/>
    <n v="10"/>
    <n v="0"/>
    <n v="13218.5"/>
    <n v="13218.5"/>
    <n v="6453.3"/>
    <n v="6765.2"/>
    <n v="6765.2"/>
    <n v="2.0483318612182915"/>
  </r>
  <r>
    <x v="599"/>
    <x v="445"/>
    <d v="2023-02-23T00:00:00"/>
    <d v="2023-03-25T00:00:00"/>
    <d v="2023-03-25T00:00:00"/>
    <n v="30"/>
    <x v="2"/>
    <x v="2"/>
    <x v="29"/>
    <s v="Enterprise"/>
    <s v="Online"/>
    <s v="D. Smith"/>
    <s v="Phones"/>
    <s v="PHN-4854"/>
    <n v="1242.6600000000001"/>
    <s v="Medium"/>
    <x v="597"/>
    <n v="1794.07"/>
    <n v="8.8999999999999996E-2"/>
    <n v="16"/>
    <n v="159.67222999999998"/>
    <n v="26150.364320000001"/>
    <n v="25990.69209"/>
    <n v="19882.560000000001"/>
    <n v="6267.8043199999993"/>
    <n v="6108.1320899999992"/>
    <n v="1.3152413129898766"/>
  </r>
  <r>
    <x v="600"/>
    <x v="445"/>
    <d v="2025-07-24T00:00:00"/>
    <d v="2025-08-06T00:00:00"/>
    <d v="2025-08-06T00:00:00"/>
    <n v="13"/>
    <x v="3"/>
    <x v="11"/>
    <x v="19"/>
    <s v="Education"/>
    <s v="Marketplace"/>
    <s v="D. Smith"/>
    <s v="Networking"/>
    <s v="NET-7966"/>
    <n v="1463.9"/>
    <s v="High"/>
    <x v="598"/>
    <n v="2633.02"/>
    <n v="8.4000000000000005E-2"/>
    <n v="4"/>
    <n v="221.17368000000002"/>
    <n v="9647.3852800000004"/>
    <n v="9426.2116000000005"/>
    <n v="5855.6"/>
    <n v="3791.7852800000001"/>
    <n v="3570.6116000000002"/>
    <n v="1.6475485483981145"/>
  </r>
  <r>
    <x v="601"/>
    <x v="446"/>
    <d v="2024-12-27T00:00:00"/>
    <d v="2025-01-15T00:00:00"/>
    <d v="2025-01-15T00:00:00"/>
    <n v="19"/>
    <x v="0"/>
    <x v="4"/>
    <x v="6"/>
    <s v="Non-Profit"/>
    <s v="Distributor"/>
    <s v="G. Dubois"/>
    <s v="Components"/>
    <s v="CMP-6919"/>
    <n v="495.59"/>
    <s v="Medium"/>
    <x v="599"/>
    <n v="631.78"/>
    <n v="8.6999999999999994E-2"/>
    <n v="17"/>
    <n v="54.964859999999994"/>
    <n v="9805.8573800000013"/>
    <n v="9750.8925200000012"/>
    <n v="8425.0299999999988"/>
    <n v="1380.8273800000024"/>
    <n v="1325.8625200000024"/>
    <n v="1.1638958413204465"/>
  </r>
  <r>
    <x v="602"/>
    <x v="447"/>
    <d v="2025-04-07T00:00:00"/>
    <d v="2025-04-11T00:00:00"/>
    <d v="2025-04-11T00:00:00"/>
    <n v="4"/>
    <x v="1"/>
    <x v="8"/>
    <x v="24"/>
    <s v="Education"/>
    <s v="Retail"/>
    <s v="E. Garcia"/>
    <s v="Networking"/>
    <s v="NET-9716"/>
    <n v="754.77"/>
    <s v="Medium"/>
    <x v="600"/>
    <n v="1666.18"/>
    <n v="0.13900000000000001"/>
    <n v="14"/>
    <n v="231.59902000000002"/>
    <n v="20084.133720000002"/>
    <n v="19852.5347"/>
    <n v="10566.779999999999"/>
    <n v="9517.3537200000028"/>
    <n v="9285.7547000000013"/>
    <n v="1.9006862752891613"/>
  </r>
  <r>
    <x v="603"/>
    <x v="448"/>
    <d v="2024-07-19T00:00:00"/>
    <d v="2024-07-19T00:00:00"/>
    <d v="2024-07-19T00:00:00"/>
    <n v="0"/>
    <x v="3"/>
    <x v="5"/>
    <x v="15"/>
    <s v="Small Business"/>
    <s v="Retail"/>
    <s v="A. Patel"/>
    <s v="Phones"/>
    <s v="PHN-6854"/>
    <n v="857.24"/>
    <s v="Medium"/>
    <x v="601"/>
    <n v="758.23"/>
    <n v="0.125"/>
    <n v="6"/>
    <n v="94.778750000000002"/>
    <n v="3980.7075"/>
    <n v="3885.92875"/>
    <n v="5143.4400000000005"/>
    <n v="-1162.7325000000005"/>
    <n v="-1257.5112500000005"/>
    <n v="0.77393874527553541"/>
  </r>
  <r>
    <x v="604"/>
    <x v="448"/>
    <d v="2023-04-14T00:00:00"/>
    <d v="2023-05-14T00:00:00"/>
    <d v="2023-05-14T00:00:00"/>
    <n v="30"/>
    <x v="3"/>
    <x v="5"/>
    <x v="9"/>
    <s v="Consumer"/>
    <s v="Marketplace"/>
    <s v="M. Rossi"/>
    <s v="Phones"/>
    <s v="PHN-1784"/>
    <n v="209.25"/>
    <s v="Low"/>
    <x v="602"/>
    <n v="434.8"/>
    <n v="0"/>
    <n v="9"/>
    <n v="0"/>
    <n v="3913.2000000000003"/>
    <n v="3913.2000000000003"/>
    <n v="1883.25"/>
    <n v="2029.9500000000003"/>
    <n v="2029.9500000000003"/>
    <n v="2.0778972520908008"/>
  </r>
  <r>
    <x v="605"/>
    <x v="449"/>
    <d v="2024-11-30T00:00:00"/>
    <d v="2024-12-30T00:00:00"/>
    <d v="2024-12-30T00:00:00"/>
    <n v="30"/>
    <x v="1"/>
    <x v="8"/>
    <x v="22"/>
    <s v="Consumer"/>
    <s v="Marketplace"/>
    <s v="F. Müller"/>
    <s v="Printers"/>
    <s v="PRN-4170"/>
    <n v="117.64"/>
    <s v="Low"/>
    <x v="603"/>
    <n v="175.67"/>
    <n v="0"/>
    <n v="10"/>
    <n v="0"/>
    <n v="1756.6999999999998"/>
    <n v="1756.6999999999998"/>
    <n v="1176.4000000000001"/>
    <n v="580.29999999999973"/>
    <n v="580.29999999999973"/>
    <n v="1.4932845970758242"/>
  </r>
  <r>
    <x v="606"/>
    <x v="450"/>
    <d v="2023-02-07T00:00:00"/>
    <d v="2023-02-12T00:00:00"/>
    <d v="2023-02-12T00:00:00"/>
    <n v="5"/>
    <x v="2"/>
    <x v="6"/>
    <x v="26"/>
    <s v="Education"/>
    <s v="Online"/>
    <s v="N. Brown"/>
    <s v="Components"/>
    <s v="CMP-2693"/>
    <n v="948.55"/>
    <s v="Medium"/>
    <x v="604"/>
    <n v="2089.16"/>
    <n v="7.0000000000000001E-3"/>
    <n v="12"/>
    <n v="14.62412"/>
    <n v="24894.430559999997"/>
    <n v="24879.806439999997"/>
    <n v="11382.599999999999"/>
    <n v="13511.830559999999"/>
    <n v="13497.206439999998"/>
    <n v="2.1870601233461597"/>
  </r>
  <r>
    <x v="607"/>
    <x v="450"/>
    <d v="2024-06-30T00:00:00"/>
    <d v="2024-07-14T00:00:00"/>
    <d v="2024-07-14T00:00:00"/>
    <n v="14"/>
    <x v="2"/>
    <x v="6"/>
    <x v="28"/>
    <s v="Education"/>
    <s v="Retail"/>
    <s v="C. Otieno"/>
    <s v="Accessories"/>
    <s v="ACC-8683"/>
    <n v="1491.85"/>
    <s v="High"/>
    <x v="605"/>
    <n v="2583.02"/>
    <n v="0.16800000000000001"/>
    <n v="4"/>
    <n v="433.94736"/>
    <n v="8596.2905599999995"/>
    <n v="8162.3431999999993"/>
    <n v="5967.4"/>
    <n v="2628.8905599999998"/>
    <n v="2194.9431999999997"/>
    <n v="1.4405420384086871"/>
  </r>
  <r>
    <x v="608"/>
    <x v="451"/>
    <d v="2024-05-18T00:00:00"/>
    <d v="2024-05-23T00:00:00"/>
    <d v="2024-05-23T00:00:00"/>
    <n v="5"/>
    <x v="2"/>
    <x v="10"/>
    <x v="16"/>
    <s v="Enterprise"/>
    <s v="Retail"/>
    <s v="H. Kim"/>
    <s v="Laptops"/>
    <s v="LAP-4987"/>
    <n v="1274.5899999999999"/>
    <s v="High"/>
    <x v="606"/>
    <n v="2553.69"/>
    <n v="0.01"/>
    <n v="8"/>
    <n v="25.536900000000003"/>
    <n v="20225.2248"/>
    <n v="20199.687900000001"/>
    <n v="10196.719999999999"/>
    <n v="10028.504800000001"/>
    <n v="10002.967900000001"/>
    <n v="1.9835030088106764"/>
  </r>
  <r>
    <x v="609"/>
    <x v="452"/>
    <d v="2025-06-14T00:00:00"/>
    <d v="2025-06-29T00:00:00"/>
    <d v="2025-06-29T00:00:00"/>
    <n v="15"/>
    <x v="3"/>
    <x v="9"/>
    <x v="13"/>
    <s v="Consumer"/>
    <s v="Marketplace"/>
    <s v="M. Rossi"/>
    <s v="Accessories"/>
    <s v="ACC-3961"/>
    <n v="730.99"/>
    <s v="Medium"/>
    <x v="607"/>
    <n v="1242.8399999999999"/>
    <n v="0.12"/>
    <n v="10"/>
    <n v="149.14079999999998"/>
    <n v="10936.992"/>
    <n v="10787.851200000001"/>
    <n v="7309.9"/>
    <n v="3627.0920000000006"/>
    <n v="3477.9512000000013"/>
    <n v="1.4961890039535426"/>
  </r>
  <r>
    <x v="610"/>
    <x v="453"/>
    <d v="2023-05-11T00:00:00"/>
    <d v="2023-05-28T00:00:00"/>
    <d v="2023-05-28T00:00:00"/>
    <n v="17"/>
    <x v="0"/>
    <x v="3"/>
    <x v="35"/>
    <s v="Enterprise"/>
    <s v="Marketplace"/>
    <s v="E. Garcia"/>
    <s v="Networking"/>
    <s v="NET-3255"/>
    <n v="1331.19"/>
    <s v="High"/>
    <x v="608"/>
    <n v="2903.09"/>
    <n v="0.14299999999999999"/>
    <n v="8"/>
    <n v="415.14186999999998"/>
    <n v="19903.585040000002"/>
    <n v="19488.443170000002"/>
    <n v="10649.52"/>
    <n v="9254.0650400000013"/>
    <n v="8838.9231700000018"/>
    <n v="1.868965459476108"/>
  </r>
  <r>
    <x v="611"/>
    <x v="454"/>
    <d v="2024-07-25T00:00:00"/>
    <d v="2024-07-25T00:00:00"/>
    <d v="2024-07-24T00:00:00"/>
    <n v="-1"/>
    <x v="3"/>
    <x v="5"/>
    <x v="20"/>
    <s v="Non-Profit"/>
    <s v="Direct"/>
    <s v="J. Njeri"/>
    <s v="Laptops"/>
    <s v="LAP-9815"/>
    <n v="1494.4"/>
    <s v="High"/>
    <x v="609"/>
    <n v="3661.07"/>
    <n v="7.1999999999999995E-2"/>
    <n v="7"/>
    <n v="263.59703999999999"/>
    <n v="23782.310720000001"/>
    <n v="23518.713680000001"/>
    <n v="10460.800000000001"/>
    <n v="13321.51072"/>
    <n v="13057.91368"/>
    <n v="2.2734695931477513"/>
  </r>
  <r>
    <x v="612"/>
    <x v="455"/>
    <d v="2025-05-21T00:00:00"/>
    <d v="2025-05-21T00:00:00"/>
    <d v="2025-05-19T00:00:00"/>
    <n v="-2"/>
    <x v="1"/>
    <x v="7"/>
    <x v="38"/>
    <s v="Enterprise"/>
    <s v="Online"/>
    <s v="M. Rossi"/>
    <s v="Laptops"/>
    <s v="LAP-3385"/>
    <n v="1015.16"/>
    <s v="High"/>
    <x v="610"/>
    <n v="2148.14"/>
    <n v="3.7999999999999999E-2"/>
    <n v="19"/>
    <n v="81.629319999999993"/>
    <n v="39263.702919999996"/>
    <n v="39182.073599999996"/>
    <n v="19288.04"/>
    <n v="19975.662919999995"/>
    <n v="19894.033599999995"/>
    <n v="2.0356502226250046"/>
  </r>
  <r>
    <x v="613"/>
    <x v="456"/>
    <d v="2025-09-08T00:00:00"/>
    <d v="2025-09-16T00:00:00"/>
    <d v="2025-09-16T00:00:00"/>
    <n v="8"/>
    <x v="0"/>
    <x v="0"/>
    <x v="0"/>
    <s v="Corporate"/>
    <s v="Distributor"/>
    <s v="C. Otieno"/>
    <s v="Phones"/>
    <s v="PHN-1197"/>
    <n v="1225.57"/>
    <s v="High"/>
    <x v="611"/>
    <n v="2705.57"/>
    <n v="0.183"/>
    <n v="16"/>
    <n v="495.11931000000004"/>
    <n v="35367.211040000002"/>
    <n v="34872.09173"/>
    <n v="19609.12"/>
    <n v="15758.091040000003"/>
    <n v="15262.971730000001"/>
    <n v="1.8036103119364868"/>
  </r>
  <r>
    <x v="614"/>
    <x v="456"/>
    <d v="2025-07-20T00:00:00"/>
    <d v="2025-08-05T00:00:00"/>
    <d v="2025-08-05T00:00:00"/>
    <n v="16"/>
    <x v="2"/>
    <x v="6"/>
    <x v="28"/>
    <s v="Enterprise"/>
    <s v="Marketplace"/>
    <s v="G. Dubois"/>
    <s v="Accessories"/>
    <s v="ACC-8098"/>
    <n v="1068.17"/>
    <s v="High"/>
    <x v="612"/>
    <n v="2375.37"/>
    <n v="0.109"/>
    <n v="18"/>
    <n v="258.91532999999998"/>
    <n v="38096.18406"/>
    <n v="37837.268729999996"/>
    <n v="19227.060000000001"/>
    <n v="18869.124059999998"/>
    <n v="18610.208729999995"/>
    <n v="1.9813837404158512"/>
  </r>
  <r>
    <x v="615"/>
    <x v="457"/>
    <d v="2024-12-10T00:00:00"/>
    <d v="2025-01-08T00:00:00"/>
    <d v="2025-01-08T00:00:00"/>
    <n v="29"/>
    <x v="1"/>
    <x v="8"/>
    <x v="22"/>
    <s v="Small Business"/>
    <s v="Retail"/>
    <s v="K. Singh"/>
    <s v="Printers"/>
    <s v="PRN-6791"/>
    <n v="891.08"/>
    <s v="High"/>
    <x v="613"/>
    <n v="1040.0999999999999"/>
    <n v="0.109"/>
    <n v="28"/>
    <n v="113.37089999999999"/>
    <n v="25948.414799999995"/>
    <n v="25835.043899999993"/>
    <n v="24950.240000000002"/>
    <n v="998.17479999999341"/>
    <n v="884.8038999999917"/>
    <n v="1.0400066211787939"/>
  </r>
  <r>
    <x v="616"/>
    <x v="458"/>
    <d v="2025-09-01T00:00:00"/>
    <d v="2025-09-30T00:00:00"/>
    <d v="2025-09-30T00:00:00"/>
    <n v="29"/>
    <x v="2"/>
    <x v="6"/>
    <x v="28"/>
    <s v="Education"/>
    <s v="Retail"/>
    <s v="K. Singh"/>
    <s v="Accessories"/>
    <s v="ACC-1663"/>
    <n v="780.59"/>
    <s v="Medium"/>
    <x v="614"/>
    <n v="631.57000000000005"/>
    <n v="0"/>
    <n v="12"/>
    <n v="0"/>
    <n v="7578.84"/>
    <n v="7578.84"/>
    <n v="9367.08"/>
    <n v="-1788.2399999999998"/>
    <n v="-1788.2399999999998"/>
    <n v="0.80909312186935523"/>
  </r>
  <r>
    <x v="617"/>
    <x v="458"/>
    <d v="2023-04-23T00:00:00"/>
    <d v="2023-04-23T00:00:00"/>
    <d v="2023-04-22T00:00:00"/>
    <n v="-1"/>
    <x v="3"/>
    <x v="5"/>
    <x v="7"/>
    <s v="Small Business"/>
    <s v="Direct"/>
    <s v="E. Garcia"/>
    <s v="Laptops"/>
    <s v="LAP-1698"/>
    <n v="756.51"/>
    <s v="High"/>
    <x v="615"/>
    <n v="850.8"/>
    <n v="7.3999999999999996E-2"/>
    <n v="9"/>
    <n v="62.959199999999996"/>
    <n v="7090.5672000000004"/>
    <n v="7027.6080000000002"/>
    <n v="6808.59"/>
    <n v="281.97720000000027"/>
    <n v="219.01800000000003"/>
    <n v="1.0414149185073562"/>
  </r>
  <r>
    <x v="618"/>
    <x v="459"/>
    <d v="2025-03-06T00:00:00"/>
    <d v="2025-03-31T00:00:00"/>
    <d v="2025-03-31T00:00:00"/>
    <n v="25"/>
    <x v="2"/>
    <x v="6"/>
    <x v="28"/>
    <s v="Non-Profit"/>
    <s v="Online"/>
    <s v="J. Njeri"/>
    <s v="Components"/>
    <s v="CMP-3693"/>
    <n v="331.57"/>
    <s v="Low"/>
    <x v="616"/>
    <n v="548.4"/>
    <n v="9.4E-2"/>
    <n v="10"/>
    <n v="51.549599999999998"/>
    <n v="4968.5039999999999"/>
    <n v="4916.9543999999996"/>
    <n v="3315.7"/>
    <n v="1652.8040000000001"/>
    <n v="1601.2543999999998"/>
    <n v="1.4984781494103809"/>
  </r>
  <r>
    <x v="619"/>
    <x v="459"/>
    <d v="2024-01-20T00:00:00"/>
    <d v="2024-02-13T00:00:00"/>
    <d v="2024-02-13T00:00:00"/>
    <n v="24"/>
    <x v="1"/>
    <x v="8"/>
    <x v="22"/>
    <s v="Corporate"/>
    <s v="Retail"/>
    <s v="H. Kim"/>
    <s v="Printers"/>
    <s v="PRN-8392"/>
    <n v="643.53"/>
    <s v="High"/>
    <x v="617"/>
    <n v="1439.01"/>
    <n v="0"/>
    <n v="15"/>
    <n v="0"/>
    <n v="21585.15"/>
    <n v="21585.15"/>
    <n v="9652.9499999999989"/>
    <n v="11932.200000000003"/>
    <n v="11932.200000000003"/>
    <n v="2.2361195282271229"/>
  </r>
  <r>
    <x v="620"/>
    <x v="460"/>
    <d v="2025-01-03T00:00:00"/>
    <d v="2025-01-23T00:00:00"/>
    <d v="2025-01-23T00:00:00"/>
    <n v="20"/>
    <x v="0"/>
    <x v="0"/>
    <x v="0"/>
    <s v="Corporate"/>
    <s v="Distributor"/>
    <s v="F. Müller"/>
    <s v="Phones"/>
    <s v="PHN-7019"/>
    <n v="908.6"/>
    <s v="Medium"/>
    <x v="618"/>
    <n v="691.37"/>
    <n v="0.25"/>
    <n v="20"/>
    <n v="172.8425"/>
    <n v="10370.549999999999"/>
    <n v="10197.707499999999"/>
    <n v="18172"/>
    <n v="-7801.4500000000007"/>
    <n v="-7974.2925000000014"/>
    <n v="0.5706884217477437"/>
  </r>
  <r>
    <x v="621"/>
    <x v="461"/>
    <d v="2024-01-28T00:00:00"/>
    <d v="2024-02-09T00:00:00"/>
    <d v="2024-02-09T00:00:00"/>
    <n v="12"/>
    <x v="1"/>
    <x v="1"/>
    <x v="33"/>
    <s v="Corporate"/>
    <s v="Online"/>
    <s v="G. Dubois"/>
    <s v="Accessories"/>
    <s v="ACC-7938"/>
    <n v="644.16999999999996"/>
    <s v="Medium"/>
    <x v="619"/>
    <n v="700.12"/>
    <n v="6.0000000000000001E-3"/>
    <n v="23"/>
    <n v="4.2007200000000005"/>
    <n v="16006.14344"/>
    <n v="16001.942719999999"/>
    <n v="14815.91"/>
    <n v="1190.23344"/>
    <n v="1186.0327199999992"/>
    <n v="1.0803348184485462"/>
  </r>
  <r>
    <x v="622"/>
    <x v="462"/>
    <d v="2024-05-04T00:00:00"/>
    <d v="2024-05-29T00:00:00"/>
    <d v="2024-05-29T00:00:00"/>
    <n v="25"/>
    <x v="3"/>
    <x v="9"/>
    <x v="25"/>
    <s v="Non-Profit"/>
    <s v="Marketplace"/>
    <s v="O. Wang"/>
    <s v="Monitors"/>
    <s v="MON-6892"/>
    <n v="1295.3399999999999"/>
    <s v="High"/>
    <x v="620"/>
    <n v="2530.81"/>
    <n v="3.1E-2"/>
    <n v="6"/>
    <n v="78.455110000000005"/>
    <n v="14714.12934"/>
    <n v="14635.674229999999"/>
    <n v="7772.0399999999991"/>
    <n v="6942.0893400000004"/>
    <n v="6863.6342299999997"/>
    <n v="1.8932132799110659"/>
  </r>
  <r>
    <x v="623"/>
    <x v="462"/>
    <d v="2025-05-21T00:00:00"/>
    <d v="2025-06-09T00:00:00"/>
    <d v="2025-06-09T00:00:00"/>
    <n v="19"/>
    <x v="2"/>
    <x v="6"/>
    <x v="26"/>
    <s v="Non-Profit"/>
    <s v="Online"/>
    <s v="A. Patel"/>
    <s v="Components"/>
    <s v="CMP-3731"/>
    <n v="1331.38"/>
    <s v="High"/>
    <x v="621"/>
    <n v="2309.56"/>
    <n v="0.14899999999999999"/>
    <n v="31"/>
    <n v="344.12443999999999"/>
    <n v="60928.502359999999"/>
    <n v="60584.377919999999"/>
    <n v="41272.780000000006"/>
    <n v="19655.722359999992"/>
    <n v="19311.597919999993"/>
    <n v="1.4762393606633717"/>
  </r>
  <r>
    <x v="624"/>
    <x v="463"/>
    <d v="2024-12-27T00:00:00"/>
    <d v="2025-01-14T00:00:00"/>
    <d v="2025-01-14T00:00:00"/>
    <n v="18"/>
    <x v="0"/>
    <x v="4"/>
    <x v="31"/>
    <s v="Small Business"/>
    <s v="Marketplace"/>
    <s v="E. Garcia"/>
    <s v="Monitors"/>
    <s v="MON-8629"/>
    <n v="586.07000000000005"/>
    <s v="High"/>
    <x v="622"/>
    <n v="845.97"/>
    <n v="0.14699999999999999"/>
    <n v="4"/>
    <n v="124.35759"/>
    <n v="2886.4496399999998"/>
    <n v="2762.0920499999997"/>
    <n v="2344.2800000000002"/>
    <n v="542.16963999999962"/>
    <n v="417.81204999999954"/>
    <n v="1.2312734144385482"/>
  </r>
  <r>
    <x v="625"/>
    <x v="463"/>
    <d v="2023-01-15T00:00:00"/>
    <d v="2023-01-15T00:00:00"/>
    <d v="2023-01-13T00:00:00"/>
    <n v="-2"/>
    <x v="3"/>
    <x v="9"/>
    <x v="25"/>
    <s v="Education"/>
    <s v="Online"/>
    <s v="O. Wang"/>
    <s v="Printers"/>
    <s v="PRN-6276"/>
    <n v="28.38"/>
    <s v="Low"/>
    <x v="623"/>
    <n v="47.22"/>
    <n v="0.19400000000000001"/>
    <n v="18"/>
    <n v="9.1606799999999993"/>
    <n v="685.06776000000002"/>
    <n v="675.90708000000006"/>
    <n v="510.84"/>
    <n v="174.22776000000005"/>
    <n v="165.06708000000009"/>
    <n v="1.3410613107822411"/>
  </r>
  <r>
    <x v="626"/>
    <x v="464"/>
    <d v="2023-01-02T00:00:00"/>
    <d v="2023-01-05T00:00:00"/>
    <d v="2023-01-05T00:00:00"/>
    <n v="3"/>
    <x v="2"/>
    <x v="2"/>
    <x v="21"/>
    <s v="Corporate"/>
    <s v="Distributor"/>
    <s v="B. Chen"/>
    <s v="Laptops"/>
    <s v="LAP-8555"/>
    <n v="315.87"/>
    <s v="Medium"/>
    <x v="624"/>
    <n v="591.67999999999995"/>
    <n v="0"/>
    <n v="7"/>
    <n v="0"/>
    <n v="4141.7599999999993"/>
    <n v="4141.7599999999993"/>
    <n v="2211.09"/>
    <n v="1930.6699999999992"/>
    <n v="1930.6699999999992"/>
    <n v="1.873175673536581"/>
  </r>
  <r>
    <x v="627"/>
    <x v="465"/>
    <d v="2023-12-06T00:00:00"/>
    <d v="2023-12-31T00:00:00"/>
    <d v="2023-12-31T00:00:00"/>
    <n v="25"/>
    <x v="0"/>
    <x v="0"/>
    <x v="0"/>
    <s v="Consumer"/>
    <s v="Retail"/>
    <s v="L. Okafor"/>
    <s v="Printers"/>
    <s v="PRN-8041"/>
    <n v="663.03"/>
    <s v="High"/>
    <x v="625"/>
    <n v="813.51"/>
    <n v="0.10199999999999999"/>
    <n v="15"/>
    <n v="82.978020000000001"/>
    <n v="10957.9797"/>
    <n v="10875.001679999999"/>
    <n v="9945.4499999999989"/>
    <n v="1012.529700000001"/>
    <n v="929.55168000000049"/>
    <n v="1.101808334464504"/>
  </r>
  <r>
    <x v="628"/>
    <x v="466"/>
    <d v="2023-02-28T00:00:00"/>
    <d v="2023-03-25T00:00:00"/>
    <d v="2023-03-25T00:00:00"/>
    <n v="25"/>
    <x v="3"/>
    <x v="5"/>
    <x v="7"/>
    <s v="Corporate"/>
    <s v="Retail"/>
    <s v="I. Johnson"/>
    <s v="Networking"/>
    <s v="NET-9666"/>
    <n v="1460.76"/>
    <s v="Low"/>
    <x v="626"/>
    <n v="-30.66"/>
    <n v="0.13100000000000001"/>
    <n v="12"/>
    <n v="4.0164600000000004"/>
    <n v="319.72248000000002"/>
    <n v="315.70602000000002"/>
    <n v="17529.12"/>
    <n v="-17209.397519999999"/>
    <n v="-17213.413979999998"/>
    <n v="1.8239505462909721E-2"/>
  </r>
  <r>
    <x v="629"/>
    <x v="466"/>
    <d v="2025-03-29T00:00:00"/>
    <d v="2025-04-02T00:00:00"/>
    <d v="2025-04-02T00:00:00"/>
    <n v="4"/>
    <x v="3"/>
    <x v="9"/>
    <x v="36"/>
    <s v="Non-Profit"/>
    <s v="Marketplace"/>
    <s v="G. Dubois"/>
    <s v="Phones"/>
    <s v="PHN-4556"/>
    <n v="259.93"/>
    <s v="Low"/>
    <x v="627"/>
    <n v="255.94"/>
    <n v="7.1999999999999995E-2"/>
    <n v="22"/>
    <n v="18.427679999999999"/>
    <n v="5225.2710400000005"/>
    <n v="5206.8433600000008"/>
    <n v="5718.46"/>
    <n v="-493.1889599999995"/>
    <n v="-511.61663999999928"/>
    <n v="0.91375493402069796"/>
  </r>
  <r>
    <x v="630"/>
    <x v="467"/>
    <d v="2024-03-11T00:00:00"/>
    <d v="2024-04-06T00:00:00"/>
    <d v="2024-04-06T00:00:00"/>
    <n v="26"/>
    <x v="3"/>
    <x v="5"/>
    <x v="15"/>
    <s v="Corporate"/>
    <s v="Retail"/>
    <s v="C. Otieno"/>
    <s v="Components"/>
    <s v="CMP-8270"/>
    <n v="279.24"/>
    <s v="Low"/>
    <x v="628"/>
    <n v="608.9"/>
    <n v="0.112"/>
    <n v="9"/>
    <n v="68.196799999999996"/>
    <n v="4866.3287999999993"/>
    <n v="4798.1319999999996"/>
    <n v="2513.16"/>
    <n v="2353.1687999999995"/>
    <n v="2284.9719999999998"/>
    <n v="2.0679896826780979"/>
  </r>
  <r>
    <x v="631"/>
    <x v="467"/>
    <d v="2024-10-23T00:00:00"/>
    <d v="2024-10-23T00:00:00"/>
    <d v="2024-10-22T00:00:00"/>
    <n v="-1"/>
    <x v="3"/>
    <x v="9"/>
    <x v="13"/>
    <s v="Education"/>
    <s v="Online"/>
    <s v="J. Njeri"/>
    <s v="Printers"/>
    <s v="PRN-9322"/>
    <n v="1084.3900000000001"/>
    <s v="Low"/>
    <x v="629"/>
    <n v="759.33"/>
    <n v="0.23699999999999999"/>
    <n v="31"/>
    <n v="179.96120999999999"/>
    <n v="17960.432489999999"/>
    <n v="17780.471279999998"/>
    <n v="33616.090000000004"/>
    <n v="-15655.657510000005"/>
    <n v="-15835.618720000006"/>
    <n v="0.534280830697442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s v="ORD -2025-739842"/>
    <d v="2023-01-02T00:00:00"/>
    <x v="0"/>
    <x v="0"/>
    <x v="0"/>
    <d v="2025-02-28T00:00:00"/>
    <d v="2025-03-10T00:00:00"/>
    <d v="2025-03-10T00:00:00"/>
    <n v="10"/>
    <x v="0"/>
    <x v="0"/>
    <s v="Osaka"/>
    <s v="Education"/>
    <x v="0"/>
    <x v="0"/>
    <x v="0"/>
    <x v="0"/>
    <n v="51.86"/>
    <s v="Low"/>
    <n v="45.98"/>
    <n v="45.98"/>
    <n v="0.17299999999999999"/>
    <n v="7"/>
    <n v="7.9545399999999988"/>
    <n v="266.17821999999995"/>
    <n v="258.22367999999994"/>
    <n v="363.02"/>
    <n v="-96.841780000000028"/>
    <n v="-104.79632000000004"/>
    <n v="0.73323293482452745"/>
  </r>
  <r>
    <s v="ORD-2025-728935"/>
    <d v="2023-01-07T00:00:00"/>
    <x v="0"/>
    <x v="1"/>
    <x v="1"/>
    <d v="2023-11-19T00:00:00"/>
    <d v="2023-12-19T00:00:00"/>
    <d v="2023-12-19T00:00:00"/>
    <n v="30"/>
    <x v="0"/>
    <x v="0"/>
    <s v="Nagoya"/>
    <s v="Consumer"/>
    <x v="1"/>
    <x v="1"/>
    <x v="1"/>
    <x v="1"/>
    <n v="807.11"/>
    <s v="Medium"/>
    <n v="1853.86"/>
    <n v="1853.86"/>
    <n v="0.13900000000000001"/>
    <n v="8"/>
    <n v="257.68654000000004"/>
    <n v="12769.38768"/>
    <n v="12511.701139999999"/>
    <n v="6456.88"/>
    <n v="6312.5076799999997"/>
    <n v="6054.8211399999991"/>
    <n v="1.9776405446593401"/>
  </r>
  <r>
    <s v="ORD-2023-455933"/>
    <d v="2023-01-10T00:00:00"/>
    <x v="0"/>
    <x v="1"/>
    <x v="2"/>
    <d v="2023-12-07T00:00:00"/>
    <d v="2024-01-02T00:00:00"/>
    <d v="2024-01-02T00:00:00"/>
    <n v="26"/>
    <x v="1"/>
    <x v="1"/>
    <s v="Frankfurt"/>
    <s v="Enterprise"/>
    <x v="0"/>
    <x v="2"/>
    <x v="2"/>
    <x v="2"/>
    <n v="1071.99"/>
    <s v="High"/>
    <n v="2397.3000000000002"/>
    <n v="2397.3000000000002"/>
    <n v="6.2E-2"/>
    <n v="18"/>
    <n v="148.6326"/>
    <n v="40476.013200000001"/>
    <n v="40327.380600000004"/>
    <n v="19295.82"/>
    <n v="21180.193200000002"/>
    <n v="21031.560600000004"/>
    <n v="2.0976570676965269"/>
  </r>
  <r>
    <s v="ORD-2023-961864"/>
    <d v="2023-01-12T00:00:00"/>
    <x v="0"/>
    <x v="1"/>
    <x v="3"/>
    <d v="2023-06-23T00:00:00"/>
    <d v="2023-07-18T00:00:00"/>
    <d v="2023-07-18T00:00:00"/>
    <n v="25"/>
    <x v="2"/>
    <x v="2"/>
    <s v="Vancouver"/>
    <s v="Enterprise"/>
    <x v="2"/>
    <x v="0"/>
    <x v="1"/>
    <x v="3"/>
    <n v="807.02"/>
    <s v="Medium"/>
    <n v="1435.54"/>
    <n v="1435.54"/>
    <n v="0"/>
    <n v="23"/>
    <n v="0"/>
    <n v="33017.42"/>
    <n v="33017.42"/>
    <n v="18561.46"/>
    <n v="14455.96"/>
    <n v="14455.96"/>
    <n v="1.7788158905603331"/>
  </r>
  <r>
    <s v="ORD-2023-921939"/>
    <d v="2023-01-13T00:00:00"/>
    <x v="0"/>
    <x v="1"/>
    <x v="4"/>
    <d v="2023-08-03T00:00:00"/>
    <d v="2023-08-30T00:00:00"/>
    <d v="2023-08-30T00:00:00"/>
    <n v="27"/>
    <x v="0"/>
    <x v="3"/>
    <s v="Shanghai"/>
    <s v="Consumer"/>
    <x v="0"/>
    <x v="0"/>
    <x v="3"/>
    <x v="4"/>
    <n v="226.04"/>
    <s v="Low"/>
    <n v="545.72"/>
    <n v="545.72"/>
    <n v="0.151"/>
    <n v="11"/>
    <n v="82.403720000000007"/>
    <n v="5096.4790800000001"/>
    <n v="5014.0753599999998"/>
    <n v="2486.44"/>
    <n v="2610.03908"/>
    <n v="2527.6353599999998"/>
    <n v="2.0497092549991152"/>
  </r>
  <r>
    <s v="ORD-2023-548934"/>
    <d v="2023-01-15T00:00:00"/>
    <x v="0"/>
    <x v="1"/>
    <x v="2"/>
    <d v="2023-12-22T00:00:00"/>
    <d v="2024-01-16T00:00:00"/>
    <d v="2024-01-16T00:00:00"/>
    <n v="25"/>
    <x v="0"/>
    <x v="4"/>
    <s v="Hyderabad"/>
    <s v="Small Business"/>
    <x v="1"/>
    <x v="3"/>
    <x v="2"/>
    <x v="5"/>
    <n v="1346.81"/>
    <s v="Medium"/>
    <n v="978.09"/>
    <n v="978.09"/>
    <n v="0.159"/>
    <n v="17"/>
    <n v="155.51631"/>
    <n v="13983.752729999998"/>
    <n v="13828.236419999997"/>
    <n v="22895.77"/>
    <n v="-8912.0172700000021"/>
    <n v="-9067.533580000003"/>
    <n v="0.61075704071101333"/>
  </r>
  <r>
    <s v="ORD-2023-249805"/>
    <d v="2023-01-19T00:00:00"/>
    <x v="0"/>
    <x v="1"/>
    <x v="1"/>
    <d v="2023-11-19T00:00:00"/>
    <d v="2023-12-12T00:00:00"/>
    <d v="2023-12-12T00:00:00"/>
    <n v="23"/>
    <x v="0"/>
    <x v="4"/>
    <s v="Delhi"/>
    <s v="Small Business"/>
    <x v="3"/>
    <x v="4"/>
    <x v="4"/>
    <x v="6"/>
    <n v="1349.04"/>
    <s v="High"/>
    <n v="2636.6"/>
    <n v="2636.6"/>
    <n v="0.114"/>
    <n v="14"/>
    <n v="300.57240000000002"/>
    <n v="32704.386400000003"/>
    <n v="32403.814000000002"/>
    <n v="18886.559999999998"/>
    <n v="13817.826400000005"/>
    <n v="13517.254000000004"/>
    <n v="1.7316221905947937"/>
  </r>
  <r>
    <s v="ORD-2023-561823"/>
    <d v="2023-01-20T00:00:00"/>
    <x v="0"/>
    <x v="1"/>
    <x v="4"/>
    <d v="2023-08-03T00:00:00"/>
    <d v="2023-08-03T00:00:00"/>
    <d v="2023-08-02T00:00:00"/>
    <n v="-1"/>
    <x v="0"/>
    <x v="3"/>
    <s v="Shanghai"/>
    <s v="Non-Profit"/>
    <x v="3"/>
    <x v="5"/>
    <x v="4"/>
    <x v="7"/>
    <n v="1021.97"/>
    <s v="High"/>
    <n v="2296.25"/>
    <n v="2296.25"/>
    <n v="0.161"/>
    <n v="26"/>
    <n v="369.69625000000002"/>
    <n v="50090.397499999999"/>
    <n v="49720.701249999998"/>
    <n v="26571.22"/>
    <n v="23519.177499999998"/>
    <n v="23149.481249999997"/>
    <n v="1.8851372838733034"/>
  </r>
  <r>
    <s v="ORD-2025-649633"/>
    <d v="2023-01-22T00:00:00"/>
    <x v="0"/>
    <x v="2"/>
    <x v="5"/>
    <d v="2024-07-28T00:00:00"/>
    <d v="2024-08-23T00:00:00"/>
    <d v="2024-08-23T00:00:00"/>
    <n v="26"/>
    <x v="0"/>
    <x v="4"/>
    <s v="Hyderabad"/>
    <s v="Corporate"/>
    <x v="1"/>
    <x v="5"/>
    <x v="4"/>
    <x v="8"/>
    <n v="1339.24"/>
    <s v="Medium"/>
    <n v="1558.89"/>
    <n v="1558.89"/>
    <n v="0.192"/>
    <n v="24"/>
    <n v="299.30688000000004"/>
    <n v="30229.994880000002"/>
    <n v="29930.688000000002"/>
    <n v="32141.760000000002"/>
    <n v="-1911.76512"/>
    <n v="-2211.0720000000001"/>
    <n v="0.94052083271108988"/>
  </r>
  <r>
    <s v="ORD-2023-885216"/>
    <d v="2023-01-22T00:00:00"/>
    <x v="0"/>
    <x v="0"/>
    <x v="5"/>
    <d v="2025-07-19T00:00:00"/>
    <d v="2025-07-31T00:00:00"/>
    <d v="2025-07-31T00:00:00"/>
    <n v="12"/>
    <x v="3"/>
    <x v="5"/>
    <s v="Nairobi"/>
    <s v="Small Business"/>
    <x v="4"/>
    <x v="6"/>
    <x v="5"/>
    <x v="9"/>
    <n v="619.64"/>
    <s v="Medium"/>
    <n v="861.16"/>
    <n v="861.16"/>
    <n v="0.113"/>
    <n v="14"/>
    <n v="97.311080000000004"/>
    <n v="10693.88488"/>
    <n v="10596.5738"/>
    <n v="8674.9599999999991"/>
    <n v="2018.9248800000005"/>
    <n v="1921.613800000001"/>
    <n v="1.2327301659027823"/>
  </r>
  <r>
    <s v="ORD-2024-817997"/>
    <d v="2023-01-26T00:00:00"/>
    <x v="0"/>
    <x v="0"/>
    <x v="6"/>
    <d v="2025-04-17T00:00:00"/>
    <d v="2025-05-03T00:00:00"/>
    <d v="2025-05-03T00:00:00"/>
    <n v="16"/>
    <x v="2"/>
    <x v="6"/>
    <s v="Rio de Janeiro"/>
    <s v="Consumer"/>
    <x v="4"/>
    <x v="5"/>
    <x v="4"/>
    <x v="10"/>
    <n v="168.68"/>
    <s v="Low"/>
    <n v="413.34"/>
    <n v="413.34"/>
    <n v="0.186"/>
    <n v="7"/>
    <n v="76.881239999999991"/>
    <n v="2355.2113199999999"/>
    <n v="2278.3300799999997"/>
    <n v="1180.76"/>
    <n v="1174.4513199999999"/>
    <n v="1097.5700799999997"/>
    <n v="1.9946571022053592"/>
  </r>
  <r>
    <s v="ORD-2025-907040"/>
    <d v="2023-01-27T00:00:00"/>
    <x v="0"/>
    <x v="1"/>
    <x v="7"/>
    <d v="2023-09-08T00:00:00"/>
    <d v="2023-09-14T00:00:00"/>
    <d v="2023-09-14T00:00:00"/>
    <n v="6"/>
    <x v="3"/>
    <x v="5"/>
    <s v="Nakuru"/>
    <s v="Education"/>
    <x v="3"/>
    <x v="7"/>
    <x v="5"/>
    <x v="11"/>
    <n v="251.03"/>
    <s v="Low"/>
    <n v="411.48"/>
    <n v="411.48"/>
    <n v="0.16500000000000001"/>
    <n v="3"/>
    <n v="67.894200000000012"/>
    <n v="1030.7574"/>
    <n v="962.86320000000001"/>
    <n v="753.09"/>
    <n v="277.66739999999993"/>
    <n v="209.77319999999997"/>
    <n v="1.3687041389475361"/>
  </r>
  <r>
    <s v="ORD-2024-756884"/>
    <d v="2023-01-29T00:00:00"/>
    <x v="0"/>
    <x v="0"/>
    <x v="5"/>
    <d v="2025-07-11T00:00:00"/>
    <d v="2025-07-16T00:00:00"/>
    <d v="2025-07-16T00:00:00"/>
    <n v="5"/>
    <x v="1"/>
    <x v="7"/>
    <s v="London"/>
    <s v="Enterprise"/>
    <x v="2"/>
    <x v="8"/>
    <x v="6"/>
    <x v="12"/>
    <n v="930.03"/>
    <s v="Medium"/>
    <n v="1086.68"/>
    <n v="1086.68"/>
    <n v="0.109"/>
    <n v="26"/>
    <n v="118.44812"/>
    <n v="25174.028880000002"/>
    <n v="25055.580760000001"/>
    <n v="24180.78"/>
    <n v="993.24888000000283"/>
    <n v="874.8007600000019"/>
    <n v="1.0410759652914423"/>
  </r>
  <r>
    <s v="ORD-2023-755337"/>
    <d v="2023-01-29T00:00:00"/>
    <x v="0"/>
    <x v="2"/>
    <x v="8"/>
    <d v="2024-10-13T00:00:00"/>
    <d v="2024-10-24T00:00:00"/>
    <d v="2024-10-24T00:00:00"/>
    <n v="11"/>
    <x v="1"/>
    <x v="8"/>
    <s v="Paris"/>
    <s v="Education"/>
    <x v="0"/>
    <x v="9"/>
    <x v="2"/>
    <x v="13"/>
    <n v="816.7"/>
    <s v="Medium"/>
    <n v="1010.75"/>
    <n v="1010.75"/>
    <n v="4.7E-2"/>
    <n v="43"/>
    <n v="47.505249999999997"/>
    <n v="41419.524249999995"/>
    <n v="41372.018999999993"/>
    <n v="35118.1"/>
    <n v="6301.4242499999964"/>
    <n v="6253.9189999999944"/>
    <n v="1.1794352271335864"/>
  </r>
  <r>
    <s v="ORD-2025-150713"/>
    <d v="2023-01-30T00:00:00"/>
    <x v="0"/>
    <x v="2"/>
    <x v="2"/>
    <d v="2024-12-17T00:00:00"/>
    <d v="2025-01-16T00:00:00"/>
    <d v="2025-01-16T00:00:00"/>
    <n v="30"/>
    <x v="1"/>
    <x v="7"/>
    <s v="Manchester"/>
    <s v="Corporate"/>
    <x v="1"/>
    <x v="10"/>
    <x v="3"/>
    <x v="14"/>
    <n v="722.87"/>
    <s v="Low"/>
    <n v="33.659999999999997"/>
    <n v="-33.659999999999997"/>
    <n v="0.10199999999999999"/>
    <n v="28"/>
    <n v="3.4333199999999993"/>
    <n v="846.34703999999988"/>
    <n v="842.9137199999999"/>
    <n v="20240.36"/>
    <n v="-19394.01296"/>
    <n v="-19397.44628"/>
    <n v="4.1814821475507344E-2"/>
  </r>
  <r>
    <s v="ORD-2024-930679"/>
    <d v="2023-02-05T00:00:00"/>
    <x v="0"/>
    <x v="1"/>
    <x v="8"/>
    <d v="2023-10-09T00:00:00"/>
    <d v="2023-10-11T00:00:00"/>
    <d v="2023-10-11T00:00:00"/>
    <n v="2"/>
    <x v="3"/>
    <x v="9"/>
    <s v="Port Harcourt"/>
    <s v="Education"/>
    <x v="4"/>
    <x v="8"/>
    <x v="4"/>
    <x v="15"/>
    <n v="391.16"/>
    <s v="Medium"/>
    <n v="902.47"/>
    <n v="902.47"/>
    <n v="4.0000000000000001E-3"/>
    <n v="12"/>
    <n v="3.60988"/>
    <n v="10786.32144"/>
    <n v="10782.71156"/>
    <n v="4693.92"/>
    <n v="6092.4014399999996"/>
    <n v="6088.7915599999997"/>
    <n v="2.2979346558952858"/>
  </r>
  <r>
    <s v="ORD-2023-502205"/>
    <d v="2023-02-07T00:00:00"/>
    <x v="0"/>
    <x v="0"/>
    <x v="9"/>
    <d v="2025-03-11T00:00:00"/>
    <d v="2025-03-27T00:00:00"/>
    <d v="2025-03-27T00:00:00"/>
    <n v="16"/>
    <x v="0"/>
    <x v="0"/>
    <s v="Tokyo"/>
    <s v="Enterprise"/>
    <x v="0"/>
    <x v="11"/>
    <x v="6"/>
    <x v="16"/>
    <n v="1317.58"/>
    <s v="Medium"/>
    <n v="1897.74"/>
    <n v="1897.74"/>
    <n v="8.1000000000000003E-2"/>
    <n v="6"/>
    <n v="153.71693999999999"/>
    <n v="10464.138360000001"/>
    <n v="10310.421420000001"/>
    <n v="7905.48"/>
    <n v="2558.6583600000013"/>
    <n v="2404.941420000001"/>
    <n v="1.3236562941149685"/>
  </r>
  <r>
    <s v="ORD-2025-532859"/>
    <d v="2023-02-08T00:00:00"/>
    <x v="0"/>
    <x v="1"/>
    <x v="5"/>
    <d v="2023-07-30T00:00:00"/>
    <d v="2023-08-19T00:00:00"/>
    <d v="2023-08-19T00:00:00"/>
    <n v="20"/>
    <x v="1"/>
    <x v="8"/>
    <s v="Paris"/>
    <s v="Enterprise"/>
    <x v="4"/>
    <x v="12"/>
    <x v="4"/>
    <x v="17"/>
    <n v="1418.51"/>
    <s v="High"/>
    <n v="2789.61"/>
    <n v="2789.61"/>
    <n v="0.17100000000000001"/>
    <n v="8"/>
    <n v="477.02331000000004"/>
    <n v="18500.693520000001"/>
    <n v="18023.67021"/>
    <n v="11348.08"/>
    <n v="7152.6135200000008"/>
    <n v="6675.5902100000003"/>
    <n v="1.6302928354400039"/>
  </r>
  <r>
    <s v="ORD-2023-451931"/>
    <d v="2023-02-11T00:00:00"/>
    <x v="0"/>
    <x v="2"/>
    <x v="3"/>
    <d v="2024-06-25T00:00:00"/>
    <d v="2024-06-30T00:00:00"/>
    <d v="2024-06-30T00:00:00"/>
    <n v="5"/>
    <x v="3"/>
    <x v="5"/>
    <s v="Kisumu"/>
    <s v="Education"/>
    <x v="3"/>
    <x v="13"/>
    <x v="4"/>
    <x v="18"/>
    <n v="1323.55"/>
    <s v="High"/>
    <n v="3230.35"/>
    <n v="3230.35"/>
    <n v="2.1999999999999999E-2"/>
    <n v="26"/>
    <n v="71.067699999999988"/>
    <n v="82141.339799999987"/>
    <n v="82070.272099999987"/>
    <n v="34412.299999999996"/>
    <n v="47729.039799999991"/>
    <n v="47657.972099999992"/>
    <n v="2.3869761625930264"/>
  </r>
  <r>
    <s v="ORD-2024-341535"/>
    <d v="2023-02-15T00:00:00"/>
    <x v="0"/>
    <x v="2"/>
    <x v="8"/>
    <d v="2024-10-19T00:00:00"/>
    <d v="2024-11-06T00:00:00"/>
    <d v="2024-11-06T00:00:00"/>
    <n v="18"/>
    <x v="2"/>
    <x v="10"/>
    <s v="Chicago"/>
    <s v="Education"/>
    <x v="2"/>
    <x v="4"/>
    <x v="3"/>
    <x v="19"/>
    <n v="942.02"/>
    <s v="Medium"/>
    <n v="1028.46"/>
    <n v="1028.46"/>
    <n v="0"/>
    <n v="9"/>
    <n v="0"/>
    <n v="9256.14"/>
    <n v="9256.14"/>
    <n v="8478.18"/>
    <n v="777.95999999999913"/>
    <n v="777.95999999999913"/>
    <n v="1.0917602598670939"/>
  </r>
  <r>
    <s v="ORD-2024-741404"/>
    <d v="2023-02-19T00:00:00"/>
    <x v="0"/>
    <x v="2"/>
    <x v="0"/>
    <d v="2024-02-01T00:00:00"/>
    <d v="2024-02-01T00:00:00"/>
    <d v="2024-02-01T00:00:00"/>
    <n v="0"/>
    <x v="2"/>
    <x v="10"/>
    <s v="Austin"/>
    <s v="Consumer"/>
    <x v="0"/>
    <x v="14"/>
    <x v="6"/>
    <x v="20"/>
    <n v="714.43"/>
    <s v="Medium"/>
    <n v="1595.52"/>
    <n v="1595.52"/>
    <n v="0.19400000000000001"/>
    <n v="14"/>
    <n v="309.53088000000002"/>
    <n v="18003.847679999999"/>
    <n v="17694.316800000001"/>
    <n v="10002.019999999999"/>
    <n v="8001.8276800000003"/>
    <n v="7692.2968000000019"/>
    <n v="1.8000211637249277"/>
  </r>
  <r>
    <s v="ORD-2024-331408"/>
    <d v="2023-02-20T00:00:00"/>
    <x v="0"/>
    <x v="1"/>
    <x v="6"/>
    <d v="2023-04-16T00:00:00"/>
    <d v="2023-04-23T00:00:00"/>
    <d v="2023-04-23T00:00:00"/>
    <n v="7"/>
    <x v="2"/>
    <x v="10"/>
    <s v="Austin"/>
    <s v="Corporate"/>
    <x v="0"/>
    <x v="6"/>
    <x v="6"/>
    <x v="21"/>
    <n v="1099.1500000000001"/>
    <s v="Medium"/>
    <n v="1431.37"/>
    <n v="1431.37"/>
    <n v="0.104"/>
    <n v="8"/>
    <n v="148.86247999999998"/>
    <n v="10260.060159999999"/>
    <n v="10111.197679999999"/>
    <n v="8793.2000000000007"/>
    <n v="1466.8601599999984"/>
    <n v="1317.9976799999986"/>
    <n v="1.1668175590228811"/>
  </r>
  <r>
    <s v="ORD-2023-664790"/>
    <d v="2023-02-21T00:00:00"/>
    <x v="0"/>
    <x v="2"/>
    <x v="10"/>
    <d v="2024-01-28T00:00:00"/>
    <d v="2024-01-28T00:00:00"/>
    <d v="2024-01-27T00:00:00"/>
    <n v="-1"/>
    <x v="3"/>
    <x v="11"/>
    <s v="Cape Town"/>
    <s v="Enterprise"/>
    <x v="3"/>
    <x v="6"/>
    <x v="2"/>
    <x v="22"/>
    <n v="109.75"/>
    <s v="Low"/>
    <n v="124.25"/>
    <n v="124.25"/>
    <n v="0.12"/>
    <n v="19"/>
    <n v="14.91"/>
    <n v="2077.46"/>
    <n v="2062.5500000000002"/>
    <n v="2085.25"/>
    <n v="-7.7899999999999636"/>
    <n v="-22.699999999999818"/>
    <n v="0.99626423690205013"/>
  </r>
  <r>
    <s v="ORD-2025-262434"/>
    <d v="2023-02-23T00:00:00"/>
    <x v="0"/>
    <x v="1"/>
    <x v="6"/>
    <d v="2023-04-22T00:00:00"/>
    <d v="2023-05-14T00:00:00"/>
    <d v="2023-05-14T00:00:00"/>
    <n v="22"/>
    <x v="0"/>
    <x v="0"/>
    <s v="Nagoya"/>
    <s v="Enterprise"/>
    <x v="1"/>
    <x v="3"/>
    <x v="5"/>
    <x v="23"/>
    <n v="1209.22"/>
    <s v="Medium"/>
    <n v="1404.33"/>
    <n v="1404.33"/>
    <n v="0.10299999999999999"/>
    <n v="11"/>
    <n v="144.64598999999998"/>
    <n v="13856.52411"/>
    <n v="13711.878120000001"/>
    <n v="13301.42"/>
    <n v="555.10411000000022"/>
    <n v="410.45812000000114"/>
    <n v="1.0417326954565753"/>
  </r>
  <r>
    <s v="ORD-2024-266562"/>
    <d v="2023-02-23T00:00:00"/>
    <x v="0"/>
    <x v="0"/>
    <x v="3"/>
    <d v="2025-06-19T00:00:00"/>
    <d v="2025-06-21T00:00:00"/>
    <d v="2025-06-21T00:00:00"/>
    <n v="2"/>
    <x v="3"/>
    <x v="11"/>
    <s v="Johannesburg"/>
    <s v="Small Business"/>
    <x v="1"/>
    <x v="14"/>
    <x v="1"/>
    <x v="24"/>
    <n v="1466.27"/>
    <s v="High"/>
    <n v="3589.89"/>
    <n v="3589.89"/>
    <n v="9.7000000000000003E-2"/>
    <n v="9"/>
    <n v="348.21933000000001"/>
    <n v="29175.036029999999"/>
    <n v="28826.816699999999"/>
    <n v="13196.43"/>
    <n v="15978.606029999999"/>
    <n v="15630.386699999999"/>
    <n v="2.2108279307358125"/>
  </r>
  <r>
    <s v="ORD-2024-838925"/>
    <d v="2023-02-23T00:00:00"/>
    <x v="0"/>
    <x v="2"/>
    <x v="1"/>
    <d v="2024-11-27T00:00:00"/>
    <d v="2024-12-24T00:00:00"/>
    <d v="2024-12-24T00:00:00"/>
    <n v="27"/>
    <x v="3"/>
    <x v="5"/>
    <s v="Mombasa"/>
    <s v="Corporate"/>
    <x v="0"/>
    <x v="11"/>
    <x v="6"/>
    <x v="25"/>
    <n v="143.33000000000001"/>
    <s v="Low"/>
    <n v="233.51"/>
    <n v="233.51"/>
    <n v="0.16300000000000001"/>
    <n v="14"/>
    <n v="38.062130000000003"/>
    <n v="2736.27018"/>
    <n v="2698.2080500000002"/>
    <n v="2006.6200000000001"/>
    <n v="729.65017999999986"/>
    <n v="691.58805000000007"/>
    <n v="1.3636215028256471"/>
  </r>
  <r>
    <s v="ORD-2023-107265"/>
    <d v="2023-02-24T00:00:00"/>
    <x v="0"/>
    <x v="1"/>
    <x v="7"/>
    <d v="2023-09-17T00:00:00"/>
    <d v="2023-10-02T00:00:00"/>
    <d v="2023-10-02T00:00:00"/>
    <n v="15"/>
    <x v="2"/>
    <x v="6"/>
    <s v="Rio de Janeiro"/>
    <s v="Small Business"/>
    <x v="1"/>
    <x v="11"/>
    <x v="0"/>
    <x v="26"/>
    <n v="689.33"/>
    <s v="Medium"/>
    <n v="668.27"/>
    <n v="668.27"/>
    <n v="0.186"/>
    <n v="13"/>
    <n v="124.29822"/>
    <n v="7071.6331400000008"/>
    <n v="6947.3349200000011"/>
    <n v="8961.2900000000009"/>
    <n v="-1889.6568600000001"/>
    <n v="-2013.9550799999997"/>
    <n v="0.78913115634021447"/>
  </r>
  <r>
    <s v="ORD-2023-552115"/>
    <d v="2023-02-27T00:00:00"/>
    <x v="0"/>
    <x v="1"/>
    <x v="6"/>
    <d v="2023-04-10T00:00:00"/>
    <d v="2023-04-25T00:00:00"/>
    <d v="2023-04-25T00:00:00"/>
    <n v="15"/>
    <x v="1"/>
    <x v="7"/>
    <s v="London"/>
    <s v="Small Business"/>
    <x v="1"/>
    <x v="10"/>
    <x v="6"/>
    <x v="27"/>
    <n v="405.66"/>
    <s v="Medium"/>
    <n v="962.51"/>
    <n v="962.51"/>
    <n v="0.19"/>
    <n v="7"/>
    <n v="182.87690000000001"/>
    <n v="5457.4317000000001"/>
    <n v="5274.5547999999999"/>
    <n v="2839.6200000000003"/>
    <n v="2617.8116999999997"/>
    <n v="2434.9347999999995"/>
    <n v="1.9218880343144504"/>
  </r>
  <r>
    <s v="ORD-2024-550400"/>
    <d v="2023-02-28T00:00:00"/>
    <x v="0"/>
    <x v="2"/>
    <x v="9"/>
    <d v="2024-03-09T00:00:00"/>
    <d v="2024-03-22T00:00:00"/>
    <d v="2024-03-22T00:00:00"/>
    <n v="13"/>
    <x v="1"/>
    <x v="7"/>
    <s v="Manchester"/>
    <s v="Consumer"/>
    <x v="2"/>
    <x v="2"/>
    <x v="0"/>
    <x v="28"/>
    <n v="985.45"/>
    <s v="Medium"/>
    <n v="1802.44"/>
    <n v="1802.44"/>
    <n v="8.9999999999999993E-3"/>
    <n v="19"/>
    <n v="16.221959999999999"/>
    <n v="33938.142760000002"/>
    <n v="33921.9208"/>
    <n v="18723.55"/>
    <n v="15214.592760000003"/>
    <n v="15198.370800000001"/>
    <n v="1.8125912425795323"/>
  </r>
  <r>
    <s v="ORD-2025-189846"/>
    <d v="2023-02-28T00:00:00"/>
    <x v="0"/>
    <x v="2"/>
    <x v="4"/>
    <d v="2024-08-19T00:00:00"/>
    <d v="2024-09-02T00:00:00"/>
    <d v="2024-09-02T00:00:00"/>
    <n v="14"/>
    <x v="2"/>
    <x v="2"/>
    <s v="Toronto"/>
    <s v="Consumer"/>
    <x v="0"/>
    <x v="4"/>
    <x v="6"/>
    <x v="29"/>
    <n v="1337.01"/>
    <s v="Medium"/>
    <n v="1269.78"/>
    <n v="1269.78"/>
    <n v="0.16"/>
    <n v="7"/>
    <n v="203.16480000000001"/>
    <n v="7466.3063999999986"/>
    <n v="7263.141599999999"/>
    <n v="9359.07"/>
    <n v="-1892.7636000000011"/>
    <n v="-2095.9284000000007"/>
    <n v="0.79776157246393054"/>
  </r>
  <r>
    <s v="ORD-2025-752192"/>
    <d v="2023-02-28T00:00:00"/>
    <x v="0"/>
    <x v="0"/>
    <x v="4"/>
    <d v="2025-08-11T00:00:00"/>
    <d v="2025-08-28T00:00:00"/>
    <d v="2025-08-28T00:00:00"/>
    <n v="17"/>
    <x v="1"/>
    <x v="8"/>
    <s v="Paris"/>
    <s v="Education"/>
    <x v="2"/>
    <x v="9"/>
    <x v="4"/>
    <x v="30"/>
    <n v="416.16"/>
    <s v="Low"/>
    <n v="571.9"/>
    <n v="571.9"/>
    <n v="7.0999999999999994E-2"/>
    <n v="2"/>
    <n v="40.604899999999994"/>
    <n v="1062.5902000000001"/>
    <n v="1021.9853000000001"/>
    <n v="832.32"/>
    <n v="230.27020000000005"/>
    <n v="189.6653"/>
    <n v="1.276660659361784"/>
  </r>
  <r>
    <s v="ORD-2023-294716"/>
    <d v="2023-02-28T00:00:00"/>
    <x v="0"/>
    <x v="0"/>
    <x v="11"/>
    <d v="2025-05-16T00:00:00"/>
    <d v="2025-05-18T00:00:00"/>
    <d v="2025-05-18T00:00:00"/>
    <n v="2"/>
    <x v="0"/>
    <x v="0"/>
    <s v="Tokyo"/>
    <s v="Enterprise"/>
    <x v="1"/>
    <x v="5"/>
    <x v="6"/>
    <x v="31"/>
    <n v="1144.3800000000001"/>
    <s v="High"/>
    <n v="2755.04"/>
    <n v="2755.04"/>
    <n v="0.15"/>
    <n v="17"/>
    <n v="413.25599999999997"/>
    <n v="39810.328000000001"/>
    <n v="39397.072"/>
    <n v="19454.460000000003"/>
    <n v="20355.867999999999"/>
    <n v="19942.611999999997"/>
    <n v="2.0463342595990839"/>
  </r>
  <r>
    <s v="ORD-2024-907733"/>
    <d v="2023-03-02T00:00:00"/>
    <x v="0"/>
    <x v="2"/>
    <x v="4"/>
    <d v="2024-08-17T00:00:00"/>
    <d v="2024-08-17T00:00:00"/>
    <d v="2024-08-15T00:00:00"/>
    <n v="-2"/>
    <x v="2"/>
    <x v="6"/>
    <s v="Rio de Janeiro"/>
    <s v="Consumer"/>
    <x v="3"/>
    <x v="13"/>
    <x v="3"/>
    <x v="32"/>
    <n v="165.3"/>
    <s v="Low"/>
    <n v="275.07"/>
    <n v="275.07"/>
    <n v="0.13300000000000001"/>
    <n v="25"/>
    <n v="36.584310000000002"/>
    <n v="5962.1422499999999"/>
    <n v="5925.5579399999997"/>
    <n v="4132.5"/>
    <n v="1829.6422499999999"/>
    <n v="1793.0579399999997"/>
    <n v="1.4427446460980036"/>
  </r>
  <r>
    <s v="ORD-2024-585443"/>
    <d v="2023-03-03T00:00:00"/>
    <x v="0"/>
    <x v="0"/>
    <x v="9"/>
    <d v="2025-03-10T00:00:00"/>
    <d v="2025-04-04T00:00:00"/>
    <d v="2025-04-04T00:00:00"/>
    <n v="25"/>
    <x v="0"/>
    <x v="0"/>
    <s v="Osaka"/>
    <s v="Corporate"/>
    <x v="3"/>
    <x v="14"/>
    <x v="6"/>
    <x v="33"/>
    <n v="783.72"/>
    <s v="Medium"/>
    <n v="1355.94"/>
    <n v="1355.94"/>
    <n v="0.187"/>
    <n v="4"/>
    <n v="253.56078000000002"/>
    <n v="4409.5168800000001"/>
    <n v="4155.9561000000003"/>
    <n v="3134.88"/>
    <n v="1274.63688"/>
    <n v="1021.0761000000002"/>
    <n v="1.406598300413413"/>
  </r>
  <r>
    <s v="ORD-2025-683247"/>
    <d v="2023-03-04T00:00:00"/>
    <x v="0"/>
    <x v="1"/>
    <x v="10"/>
    <d v="2023-01-07T00:00:00"/>
    <d v="2023-01-30T00:00:00"/>
    <d v="2023-01-30T00:00:00"/>
    <n v="23"/>
    <x v="3"/>
    <x v="11"/>
    <s v="Cape Town"/>
    <s v="Consumer"/>
    <x v="2"/>
    <x v="3"/>
    <x v="6"/>
    <x v="34"/>
    <n v="299.02"/>
    <s v="Medium"/>
    <n v="724.7"/>
    <n v="724.7"/>
    <n v="0.14000000000000001"/>
    <n v="5"/>
    <n v="101.45800000000001"/>
    <n v="3116.21"/>
    <n v="3014.752"/>
    <n v="1495.1"/>
    <n v="1621.1100000000001"/>
    <n v="1519.652"/>
    <n v="2.0842819878269014"/>
  </r>
  <r>
    <s v="ORD-2023-689428"/>
    <d v="2023-03-06T00:00:00"/>
    <x v="0"/>
    <x v="0"/>
    <x v="0"/>
    <d v="2025-02-17T00:00:00"/>
    <d v="2025-02-17T00:00:00"/>
    <d v="2025-02-15T00:00:00"/>
    <n v="-2"/>
    <x v="2"/>
    <x v="2"/>
    <s v="Toronto"/>
    <s v="Small Business"/>
    <x v="1"/>
    <x v="10"/>
    <x v="2"/>
    <x v="35"/>
    <n v="1133.47"/>
    <s v="Medium"/>
    <n v="1698.75"/>
    <n v="1698.75"/>
    <n v="4.2999999999999997E-2"/>
    <n v="5"/>
    <n v="73.046250000000001"/>
    <n v="8128.5187499999993"/>
    <n v="8055.4724999999989"/>
    <n v="5667.35"/>
    <n v="2461.1687499999989"/>
    <n v="2388.1224999999986"/>
    <n v="1.4342715290215002"/>
  </r>
  <r>
    <s v="ORD-2025-705398"/>
    <d v="2023-03-07T00:00:00"/>
    <x v="0"/>
    <x v="2"/>
    <x v="3"/>
    <d v="2024-06-30T00:00:00"/>
    <d v="2024-07-21T00:00:00"/>
    <d v="2024-07-21T00:00:00"/>
    <n v="21"/>
    <x v="3"/>
    <x v="5"/>
    <s v="Kisumu"/>
    <s v="Small Business"/>
    <x v="1"/>
    <x v="8"/>
    <x v="0"/>
    <x v="36"/>
    <n v="753.43"/>
    <s v="Medium"/>
    <n v="1787.2"/>
    <n v="1787.2"/>
    <n v="7.2999999999999995E-2"/>
    <n v="9"/>
    <n v="130.46559999999999"/>
    <n v="14910.609600000002"/>
    <n v="14780.144000000002"/>
    <n v="6780.87"/>
    <n v="8129.7396000000017"/>
    <n v="7999.2740000000022"/>
    <n v="2.198922793092922"/>
  </r>
  <r>
    <s v="ORD-2024-442776"/>
    <d v="2023-03-13T00:00:00"/>
    <x v="0"/>
    <x v="0"/>
    <x v="3"/>
    <d v="2025-06-15T00:00:00"/>
    <d v="2025-07-12T00:00:00"/>
    <d v="2025-07-12T00:00:00"/>
    <n v="27"/>
    <x v="1"/>
    <x v="8"/>
    <s v="Marseille"/>
    <s v="Consumer"/>
    <x v="3"/>
    <x v="4"/>
    <x v="5"/>
    <x v="37"/>
    <n v="318.83"/>
    <s v="Medium"/>
    <n v="699.5"/>
    <n v="699.5"/>
    <n v="0.08"/>
    <n v="13"/>
    <n v="55.96"/>
    <n v="8366.02"/>
    <n v="8310.0600000000013"/>
    <n v="4144.79"/>
    <n v="4221.2300000000005"/>
    <n v="4165.2700000000013"/>
    <n v="2.018442430135182"/>
  </r>
  <r>
    <s v="ORD-2024-947056"/>
    <d v="2023-03-14T00:00:00"/>
    <x v="0"/>
    <x v="1"/>
    <x v="0"/>
    <d v="2023-02-27T00:00:00"/>
    <d v="2023-02-27T00:00:00"/>
    <d v="2023-02-26T00:00:00"/>
    <n v="-1"/>
    <x v="2"/>
    <x v="10"/>
    <s v="San Francisco"/>
    <s v="Non-Profit"/>
    <x v="2"/>
    <x v="1"/>
    <x v="4"/>
    <x v="38"/>
    <n v="1015.91"/>
    <s v="High"/>
    <n v="2331.48"/>
    <n v="2331.48"/>
    <n v="0.14599999999999999"/>
    <n v="26"/>
    <n v="340.39607999999998"/>
    <n v="51768.181920000003"/>
    <n v="51427.785840000004"/>
    <n v="26413.66"/>
    <n v="25354.521920000003"/>
    <n v="25014.125840000004"/>
    <n v="1.9599018810721422"/>
  </r>
  <r>
    <s v="ORD-2025-856556"/>
    <d v="2023-03-14T00:00:00"/>
    <x v="0"/>
    <x v="2"/>
    <x v="5"/>
    <d v="2024-07-31T00:00:00"/>
    <d v="2024-08-15T00:00:00"/>
    <d v="2024-08-15T00:00:00"/>
    <n v="15"/>
    <x v="0"/>
    <x v="0"/>
    <s v="Tokyo"/>
    <s v="Corporate"/>
    <x v="4"/>
    <x v="9"/>
    <x v="3"/>
    <x v="39"/>
    <n v="1252.52"/>
    <s v="Medium"/>
    <n v="1417.24"/>
    <n v="1417.24"/>
    <n v="0.192"/>
    <n v="5"/>
    <n v="272.11007999999998"/>
    <n v="5725.6496000000006"/>
    <n v="5453.5395200000003"/>
    <n v="6262.6"/>
    <n v="-536.95039999999972"/>
    <n v="-809.0604800000001"/>
    <n v="0.91426078625491014"/>
  </r>
  <r>
    <s v="ORD-2023-619493"/>
    <d v="2023-03-17T00:00:00"/>
    <x v="0"/>
    <x v="0"/>
    <x v="4"/>
    <d v="2025-08-30T00:00:00"/>
    <d v="2025-09-22T00:00:00"/>
    <d v="2025-09-22T00:00:00"/>
    <n v="23"/>
    <x v="1"/>
    <x v="8"/>
    <s v="Marseille"/>
    <s v="Corporate"/>
    <x v="3"/>
    <x v="2"/>
    <x v="2"/>
    <x v="40"/>
    <n v="663.9"/>
    <s v="Medium"/>
    <n v="947.77"/>
    <n v="947.77"/>
    <n v="0.17399999999999999"/>
    <n v="15"/>
    <n v="164.91197999999997"/>
    <n v="11742.8703"/>
    <n v="11577.95832"/>
    <n v="9958.5"/>
    <n v="1784.3703000000005"/>
    <n v="1619.4583199999997"/>
    <n v="1.1791806296128935"/>
  </r>
  <r>
    <s v="ORD-2025-993993"/>
    <d v="2023-03-19T00:00:00"/>
    <x v="0"/>
    <x v="1"/>
    <x v="6"/>
    <d v="2023-04-03T00:00:00"/>
    <d v="2023-04-16T00:00:00"/>
    <d v="2023-04-16T00:00:00"/>
    <n v="13"/>
    <x v="1"/>
    <x v="8"/>
    <s v="Marseille"/>
    <s v="Non-Profit"/>
    <x v="4"/>
    <x v="13"/>
    <x v="5"/>
    <x v="41"/>
    <n v="790.54"/>
    <s v="Low"/>
    <n v="601.49"/>
    <n v="601.49"/>
    <n v="0"/>
    <n v="15"/>
    <n v="0"/>
    <n v="9022.35"/>
    <n v="9022.35"/>
    <n v="11858.099999999999"/>
    <n v="-2835.7499999999982"/>
    <n v="-2835.7499999999982"/>
    <n v="0.76085966554507056"/>
  </r>
  <r>
    <s v="ORD-2023-727290"/>
    <d v="2023-03-23T00:00:00"/>
    <x v="0"/>
    <x v="0"/>
    <x v="0"/>
    <d v="2025-02-15T00:00:00"/>
    <d v="2025-02-27T00:00:00"/>
    <d v="2025-02-27T00:00:00"/>
    <n v="12"/>
    <x v="1"/>
    <x v="8"/>
    <s v="Lyon"/>
    <s v="Non-Profit"/>
    <x v="3"/>
    <x v="8"/>
    <x v="5"/>
    <x v="42"/>
    <n v="1027.26"/>
    <s v="High"/>
    <n v="2200.41"/>
    <n v="2200.41"/>
    <n v="8.7999999999999995E-2"/>
    <n v="6"/>
    <n v="193.63607999999996"/>
    <n v="12040.64352"/>
    <n v="11847.007439999999"/>
    <n v="6163.5599999999995"/>
    <n v="5877.0835200000001"/>
    <n v="5683.4474399999999"/>
    <n v="1.9535209391974768"/>
  </r>
  <r>
    <s v="ORD-2025-281062"/>
    <d v="2023-03-25T00:00:00"/>
    <x v="0"/>
    <x v="2"/>
    <x v="3"/>
    <d v="2024-06-16T00:00:00"/>
    <d v="2024-06-21T00:00:00"/>
    <d v="2024-06-21T00:00:00"/>
    <n v="5"/>
    <x v="0"/>
    <x v="0"/>
    <s v="Tokyo"/>
    <s v="Small Business"/>
    <x v="0"/>
    <x v="9"/>
    <x v="1"/>
    <x v="43"/>
    <n v="1367.13"/>
    <s v="High"/>
    <n v="3062.01"/>
    <n v="3062.01"/>
    <n v="0.10299999999999999"/>
    <n v="25"/>
    <n v="315.38702999999998"/>
    <n v="68665.574250000005"/>
    <n v="68350.187220000007"/>
    <n v="34178.25"/>
    <n v="34487.324250000005"/>
    <n v="34171.937220000007"/>
    <n v="2.0090430098088699"/>
  </r>
  <r>
    <s v="ORD-2024-572312"/>
    <d v="2023-03-27T00:00:00"/>
    <x v="0"/>
    <x v="2"/>
    <x v="9"/>
    <d v="2024-03-13T00:00:00"/>
    <d v="2024-04-06T00:00:00"/>
    <d v="2024-04-06T00:00:00"/>
    <n v="24"/>
    <x v="3"/>
    <x v="9"/>
    <s v="Abuja"/>
    <s v="Consumer"/>
    <x v="0"/>
    <x v="1"/>
    <x v="2"/>
    <x v="44"/>
    <n v="1232.78"/>
    <s v="Medium"/>
    <n v="1731.75"/>
    <n v="1731.75"/>
    <n v="9.2999999999999999E-2"/>
    <n v="16"/>
    <n v="161.05275"/>
    <n v="25131.155999999999"/>
    <n v="24970.10325"/>
    <n v="19724.48"/>
    <n v="5406.6759999999995"/>
    <n v="5245.6232500000006"/>
    <n v="1.2741099385129544"/>
  </r>
  <r>
    <s v="ORD-2023-378676"/>
    <d v="2023-03-31T00:00:00"/>
    <x v="0"/>
    <x v="0"/>
    <x v="6"/>
    <d v="2025-04-17T00:00:00"/>
    <d v="2025-04-17T00:00:00"/>
    <d v="2025-04-17T00:00:00"/>
    <n v="0"/>
    <x v="2"/>
    <x v="6"/>
    <s v="São Paulo"/>
    <s v="Corporate"/>
    <x v="0"/>
    <x v="1"/>
    <x v="1"/>
    <x v="45"/>
    <n v="719.41"/>
    <s v="Medium"/>
    <n v="1125.99"/>
    <n v="1125.99"/>
    <n v="4.1000000000000002E-2"/>
    <n v="21"/>
    <n v="46.165590000000002"/>
    <n v="22676.312610000001"/>
    <n v="22630.14702"/>
    <n v="15107.609999999999"/>
    <n v="7568.7026100000021"/>
    <n v="7522.5370200000016"/>
    <n v="1.5009860997206046"/>
  </r>
  <r>
    <s v="ORD-2024-243988"/>
    <d v="2023-03-31T00:00:00"/>
    <x v="0"/>
    <x v="1"/>
    <x v="11"/>
    <d v="2023-05-03T00:00:00"/>
    <d v="2023-05-16T00:00:00"/>
    <d v="2023-05-16T00:00:00"/>
    <n v="13"/>
    <x v="2"/>
    <x v="10"/>
    <s v="New York"/>
    <s v="Corporate"/>
    <x v="4"/>
    <x v="1"/>
    <x v="1"/>
    <x v="46"/>
    <n v="64.5"/>
    <s v="Low"/>
    <n v="123.62"/>
    <n v="123.62"/>
    <n v="0"/>
    <n v="3"/>
    <n v="0"/>
    <n v="370.86"/>
    <n v="370.86"/>
    <n v="193.5"/>
    <n v="177.36"/>
    <n v="177.36"/>
    <n v="1.9165891472868217"/>
  </r>
  <r>
    <s v="ORD-2025-246692"/>
    <d v="2023-04-03T00:00:00"/>
    <x v="1"/>
    <x v="2"/>
    <x v="4"/>
    <d v="2024-08-03T00:00:00"/>
    <d v="2024-08-09T00:00:00"/>
    <d v="2024-08-09T00:00:00"/>
    <n v="6"/>
    <x v="3"/>
    <x v="5"/>
    <s v="Mombasa"/>
    <s v="Consumer"/>
    <x v="4"/>
    <x v="14"/>
    <x v="0"/>
    <x v="47"/>
    <n v="643.21"/>
    <s v="Medium"/>
    <n v="1112.81"/>
    <n v="1112.81"/>
    <n v="0.14099999999999999"/>
    <n v="4"/>
    <n v="156.90620999999999"/>
    <n v="3823.6151599999998"/>
    <n v="3666.7089499999997"/>
    <n v="2572.84"/>
    <n v="1250.7751599999997"/>
    <n v="1093.8689499999996"/>
    <n v="1.4861457222369054"/>
  </r>
  <r>
    <s v="ORD-2024-689872"/>
    <d v="2023-04-05T00:00:00"/>
    <x v="1"/>
    <x v="2"/>
    <x v="7"/>
    <d v="2024-09-06T00:00:00"/>
    <d v="2024-09-06T00:00:00"/>
    <d v="2024-09-04T00:00:00"/>
    <n v="-2"/>
    <x v="0"/>
    <x v="0"/>
    <s v="Osaka"/>
    <s v="Corporate"/>
    <x v="3"/>
    <x v="3"/>
    <x v="0"/>
    <x v="48"/>
    <n v="1368.17"/>
    <s v="High"/>
    <n v="2307.75"/>
    <n v="2307.75"/>
    <n v="0.16300000000000001"/>
    <n v="21"/>
    <n v="376.16325000000001"/>
    <n v="40563.321749999996"/>
    <n v="40187.158499999998"/>
    <n v="28731.57"/>
    <n v="11831.751749999996"/>
    <n v="11455.588499999998"/>
    <n v="1.4118031750440367"/>
  </r>
  <r>
    <s v="ORD-2023-856322"/>
    <d v="2023-04-06T00:00:00"/>
    <x v="1"/>
    <x v="1"/>
    <x v="3"/>
    <d v="2023-06-03T00:00:00"/>
    <d v="2023-07-01T00:00:00"/>
    <d v="2023-07-01T00:00:00"/>
    <n v="28"/>
    <x v="2"/>
    <x v="6"/>
    <s v="Brasília"/>
    <s v="Small Business"/>
    <x v="4"/>
    <x v="3"/>
    <x v="2"/>
    <x v="49"/>
    <n v="860.4"/>
    <s v="High"/>
    <n v="2066.6"/>
    <n v="2066.6"/>
    <n v="0.01"/>
    <n v="3"/>
    <n v="20.666"/>
    <n v="6137.8019999999988"/>
    <n v="6117.1359999999986"/>
    <n v="2581.1999999999998"/>
    <n v="3556.601999999999"/>
    <n v="3535.9359999999988"/>
    <n v="2.3778870292887024"/>
  </r>
  <r>
    <s v="ORD-2024-594527"/>
    <d v="2023-04-06T00:00:00"/>
    <x v="1"/>
    <x v="1"/>
    <x v="10"/>
    <d v="2023-01-29T00:00:00"/>
    <d v="2023-02-06T00:00:00"/>
    <d v="2023-02-06T00:00:00"/>
    <n v="8"/>
    <x v="2"/>
    <x v="6"/>
    <s v="Brasília"/>
    <s v="Corporate"/>
    <x v="4"/>
    <x v="10"/>
    <x v="3"/>
    <x v="50"/>
    <n v="41.84"/>
    <s v="Low"/>
    <n v="86.2"/>
    <n v="86.2"/>
    <n v="0.22600000000000001"/>
    <n v="27"/>
    <n v="19.481200000000001"/>
    <n v="1801.4076000000002"/>
    <n v="1781.9264000000003"/>
    <n v="1129.68"/>
    <n v="671.72760000000017"/>
    <n v="652.24640000000022"/>
    <n v="1.5946175908221798"/>
  </r>
  <r>
    <s v="ORD-2023-244375"/>
    <d v="2023-04-10T00:00:00"/>
    <x v="1"/>
    <x v="0"/>
    <x v="5"/>
    <d v="2025-07-11T00:00:00"/>
    <d v="2025-08-03T00:00:00"/>
    <d v="2025-08-03T00:00:00"/>
    <n v="23"/>
    <x v="3"/>
    <x v="5"/>
    <s v="Nakuru"/>
    <s v="Small Business"/>
    <x v="1"/>
    <x v="4"/>
    <x v="1"/>
    <x v="51"/>
    <n v="389.93"/>
    <s v="Low"/>
    <n v="486.13"/>
    <n v="486.13"/>
    <n v="0.13200000000000001"/>
    <n v="17"/>
    <n v="64.169160000000005"/>
    <n v="7173.3342799999991"/>
    <n v="7109.1651199999988"/>
    <n v="6628.81"/>
    <n v="544.52427999999873"/>
    <n v="480.35511999999835"/>
    <n v="1.0821451029671991"/>
  </r>
  <r>
    <s v="ORD-2025-155182"/>
    <d v="2023-04-12T00:00:00"/>
    <x v="1"/>
    <x v="2"/>
    <x v="1"/>
    <d v="2024-11-11T00:00:00"/>
    <d v="2024-11-24T00:00:00"/>
    <d v="2024-11-24T00:00:00"/>
    <n v="13"/>
    <x v="1"/>
    <x v="7"/>
    <s v="London"/>
    <s v="Corporate"/>
    <x v="1"/>
    <x v="2"/>
    <x v="4"/>
    <x v="52"/>
    <n v="164.53"/>
    <s v="Low"/>
    <n v="327.72"/>
    <n v="327.72"/>
    <n v="6.7000000000000004E-2"/>
    <n v="14"/>
    <n v="21.957240000000002"/>
    <n v="4280.6786400000001"/>
    <n v="4258.7214000000004"/>
    <n v="2303.42"/>
    <n v="1977.25864"/>
    <n v="1955.3014000000003"/>
    <n v="1.8584012642071355"/>
  </r>
  <r>
    <s v="ORD-2023-713614"/>
    <d v="2023-04-13T00:00:00"/>
    <x v="1"/>
    <x v="0"/>
    <x v="4"/>
    <d v="2025-08-03T00:00:00"/>
    <d v="2025-08-16T00:00:00"/>
    <d v="2025-08-16T00:00:00"/>
    <n v="13"/>
    <x v="2"/>
    <x v="2"/>
    <s v="Montreal"/>
    <s v="Enterprise"/>
    <x v="0"/>
    <x v="6"/>
    <x v="4"/>
    <x v="53"/>
    <n v="698.66"/>
    <s v="Medium"/>
    <n v="868.62"/>
    <n v="868.62"/>
    <n v="7.1999999999999995E-2"/>
    <n v="15"/>
    <n v="62.540639999999996"/>
    <n v="12091.190399999999"/>
    <n v="12028.64976"/>
    <n v="10479.9"/>
    <n v="1611.2903999999999"/>
    <n v="1548.7497600000006"/>
    <n v="1.1537505510548764"/>
  </r>
  <r>
    <s v="ORD-2023-173313"/>
    <d v="2023-04-13T00:00:00"/>
    <x v="1"/>
    <x v="1"/>
    <x v="4"/>
    <d v="2023-08-02T00:00:00"/>
    <d v="2023-08-19T00:00:00"/>
    <d v="2023-08-19T00:00:00"/>
    <n v="17"/>
    <x v="2"/>
    <x v="2"/>
    <s v="Vancouver"/>
    <s v="Corporate"/>
    <x v="2"/>
    <x v="9"/>
    <x v="4"/>
    <x v="54"/>
    <n v="175.38"/>
    <s v="Low"/>
    <n v="347.9"/>
    <n v="347.9"/>
    <n v="7.1999999999999995E-2"/>
    <n v="43"/>
    <n v="25.048799999999996"/>
    <n v="13882.6016"/>
    <n v="13857.552799999999"/>
    <n v="7541.34"/>
    <n v="6341.2615999999998"/>
    <n v="6316.2127999999993"/>
    <n v="1.8408666894742844"/>
  </r>
  <r>
    <s v="ORD-2024-496601"/>
    <d v="2023-04-13T00:00:00"/>
    <x v="1"/>
    <x v="1"/>
    <x v="3"/>
    <d v="2023-06-15T00:00:00"/>
    <d v="2023-07-12T00:00:00"/>
    <d v="2023-07-12T00:00:00"/>
    <n v="27"/>
    <x v="1"/>
    <x v="7"/>
    <s v="Manchester"/>
    <s v="Consumer"/>
    <x v="3"/>
    <x v="7"/>
    <x v="5"/>
    <x v="55"/>
    <n v="751.28"/>
    <s v="Medium"/>
    <n v="1111.8800000000001"/>
    <n v="1111.8800000000001"/>
    <n v="0.13500000000000001"/>
    <n v="7"/>
    <n v="150.10380000000004"/>
    <n v="6732.4334000000008"/>
    <n v="6582.3296000000009"/>
    <n v="5258.96"/>
    <n v="1473.4734000000008"/>
    <n v="1323.3696000000009"/>
    <n v="1.2801834202960283"/>
  </r>
  <r>
    <s v="ORD-2023-340056"/>
    <d v="2023-04-14T00:00:00"/>
    <x v="1"/>
    <x v="1"/>
    <x v="2"/>
    <d v="2023-12-19T00:00:00"/>
    <d v="2024-01-01T00:00:00"/>
    <d v="2024-01-01T00:00:00"/>
    <n v="13"/>
    <x v="2"/>
    <x v="2"/>
    <s v="Toronto"/>
    <s v="Enterprise"/>
    <x v="1"/>
    <x v="8"/>
    <x v="3"/>
    <x v="56"/>
    <n v="856.1"/>
    <s v="Medium"/>
    <n v="901.48"/>
    <n v="901.48"/>
    <n v="5.6000000000000001E-2"/>
    <n v="17"/>
    <n v="50.482880000000002"/>
    <n v="14466.95104"/>
    <n v="14416.46816"/>
    <n v="14553.7"/>
    <n v="-86.748960000000807"/>
    <n v="-137.23184000000037"/>
    <n v="0.99403938792197166"/>
  </r>
  <r>
    <s v="ORD-2025-281413"/>
    <d v="2023-04-14T00:00:00"/>
    <x v="1"/>
    <x v="1"/>
    <x v="6"/>
    <d v="2023-04-26T00:00:00"/>
    <d v="2023-04-26T00:00:00"/>
    <d v="2023-04-26T00:00:00"/>
    <n v="0"/>
    <x v="1"/>
    <x v="8"/>
    <s v="Marseille"/>
    <s v="Consumer"/>
    <x v="3"/>
    <x v="13"/>
    <x v="2"/>
    <x v="57"/>
    <n v="81.489999999999995"/>
    <s v="Low"/>
    <n v="113.08"/>
    <n v="113.08"/>
    <n v="0.121"/>
    <n v="5"/>
    <n v="13.68268"/>
    <n v="496.98660000000001"/>
    <n v="483.30392000000001"/>
    <n v="407.45"/>
    <n v="89.536600000000021"/>
    <n v="75.853920000000016"/>
    <n v="1.2197486808197326"/>
  </r>
  <r>
    <s v="ORD-2024-355095"/>
    <d v="2023-04-16T00:00:00"/>
    <x v="1"/>
    <x v="0"/>
    <x v="9"/>
    <d v="2025-03-24T00:00:00"/>
    <d v="2025-04-04T00:00:00"/>
    <d v="2025-04-04T00:00:00"/>
    <n v="11"/>
    <x v="0"/>
    <x v="4"/>
    <s v="Mumbai"/>
    <s v="Education"/>
    <x v="4"/>
    <x v="5"/>
    <x v="1"/>
    <x v="58"/>
    <n v="23.83"/>
    <s v="Low"/>
    <n v="47.29"/>
    <n v="47.29"/>
    <n v="6.4000000000000001E-2"/>
    <n v="19"/>
    <n v="3.0265599999999999"/>
    <n v="841.00536"/>
    <n v="837.97879999999998"/>
    <n v="452.77"/>
    <n v="388.23536000000001"/>
    <n v="385.2088"/>
    <n v="1.8574670583298365"/>
  </r>
  <r>
    <s v="ORD-2023-126505"/>
    <d v="2023-04-16T00:00:00"/>
    <x v="1"/>
    <x v="2"/>
    <x v="10"/>
    <d v="2024-01-02T00:00:00"/>
    <d v="2024-01-02T00:00:00"/>
    <d v="2024-01-02T00:00:00"/>
    <n v="0"/>
    <x v="2"/>
    <x v="2"/>
    <s v="Vancouver"/>
    <s v="Education"/>
    <x v="3"/>
    <x v="3"/>
    <x v="0"/>
    <x v="59"/>
    <n v="444.41"/>
    <s v="Medium"/>
    <n v="754.24"/>
    <n v="754.24"/>
    <n v="0.20699999999999999"/>
    <n v="32"/>
    <n v="156.12768"/>
    <n v="19139.594240000002"/>
    <n v="18983.466560000001"/>
    <n v="14221.12"/>
    <n v="4918.4742400000014"/>
    <n v="4762.34656"/>
    <n v="1.3458570239193539"/>
  </r>
  <r>
    <s v="ORD-2025-177994"/>
    <d v="2023-04-18T00:00:00"/>
    <x v="1"/>
    <x v="1"/>
    <x v="3"/>
    <d v="2023-06-01T00:00:00"/>
    <d v="2023-06-01T00:00:00"/>
    <d v="2023-06-01T00:00:00"/>
    <n v="0"/>
    <x v="0"/>
    <x v="4"/>
    <s v="Bengaluru"/>
    <s v="Corporate"/>
    <x v="1"/>
    <x v="2"/>
    <x v="5"/>
    <x v="60"/>
    <n v="669.37"/>
    <s v="Medium"/>
    <n v="997.2"/>
    <n v="997.2"/>
    <n v="8.2000000000000003E-2"/>
    <n v="5"/>
    <n v="81.770400000000009"/>
    <n v="4577.1480000000001"/>
    <n v="4495.3775999999998"/>
    <n v="3346.85"/>
    <n v="1230.2980000000002"/>
    <n v="1148.5275999999999"/>
    <n v="1.3675987869190434"/>
  </r>
  <r>
    <s v="ORD-2025-929414"/>
    <d v="2023-04-19T00:00:00"/>
    <x v="1"/>
    <x v="2"/>
    <x v="0"/>
    <d v="2024-02-08T00:00:00"/>
    <d v="2024-02-09T00:00:00"/>
    <d v="2024-02-09T00:00:00"/>
    <n v="1"/>
    <x v="3"/>
    <x v="5"/>
    <s v="Mombasa"/>
    <s v="Corporate"/>
    <x v="3"/>
    <x v="9"/>
    <x v="2"/>
    <x v="61"/>
    <n v="1233.52"/>
    <s v="Medium"/>
    <n v="1543.76"/>
    <n v="1543.76"/>
    <n v="0.126"/>
    <n v="13"/>
    <n v="194.51375999999999"/>
    <n v="17540.201120000002"/>
    <n v="17345.68736"/>
    <n v="16035.76"/>
    <n v="1504.4411200000013"/>
    <n v="1309.9273599999997"/>
    <n v="1.0938178870225048"/>
  </r>
  <r>
    <s v="ORD-2024-766980"/>
    <d v="2023-04-19T00:00:00"/>
    <x v="1"/>
    <x v="0"/>
    <x v="3"/>
    <d v="2025-06-26T00:00:00"/>
    <d v="2025-07-11T00:00:00"/>
    <d v="2025-07-11T00:00:00"/>
    <n v="15"/>
    <x v="3"/>
    <x v="9"/>
    <s v="Port Harcourt"/>
    <s v="Small Business"/>
    <x v="2"/>
    <x v="3"/>
    <x v="0"/>
    <x v="62"/>
    <n v="1170.1500000000001"/>
    <s v="High"/>
    <n v="2115.19"/>
    <n v="2115.19"/>
    <n v="9.1999999999999998E-2"/>
    <n v="23"/>
    <n v="194.59747999999999"/>
    <n v="44173.627960000005"/>
    <n v="43979.030480000009"/>
    <n v="26913.45"/>
    <n v="17260.177960000005"/>
    <n v="17065.580480000008"/>
    <n v="1.6413216425244628"/>
  </r>
  <r>
    <s v="ORD-2024-437164"/>
    <d v="2023-04-19T00:00:00"/>
    <x v="1"/>
    <x v="2"/>
    <x v="1"/>
    <d v="2024-11-04T00:00:00"/>
    <d v="2024-11-07T00:00:00"/>
    <d v="2024-11-07T00:00:00"/>
    <n v="3"/>
    <x v="1"/>
    <x v="8"/>
    <s v="Lyon"/>
    <s v="Corporate"/>
    <x v="2"/>
    <x v="6"/>
    <x v="3"/>
    <x v="63"/>
    <n v="740.68"/>
    <s v="Medium"/>
    <n v="1837.19"/>
    <n v="1837.19"/>
    <n v="0.19700000000000001"/>
    <n v="17"/>
    <n v="361.92643000000004"/>
    <n v="25079.480689999997"/>
    <n v="24717.554259999997"/>
    <n v="12591.56"/>
    <n v="12487.920689999997"/>
    <n v="12125.994259999998"/>
    <n v="1.9917691445698547"/>
  </r>
  <r>
    <s v="ORD-2025-169093"/>
    <d v="2023-04-19T00:00:00"/>
    <x v="1"/>
    <x v="2"/>
    <x v="0"/>
    <d v="2024-02-20T00:00:00"/>
    <d v="2024-02-20T00:00:00"/>
    <d v="2024-02-20T00:00:00"/>
    <n v="0"/>
    <x v="2"/>
    <x v="10"/>
    <s v="New York"/>
    <s v="Enterprise"/>
    <x v="2"/>
    <x v="4"/>
    <x v="4"/>
    <x v="64"/>
    <n v="1407.05"/>
    <s v="High"/>
    <n v="2858.93"/>
    <n v="2858.93"/>
    <n v="0"/>
    <n v="12"/>
    <n v="0"/>
    <n v="34307.159999999996"/>
    <n v="34307.159999999996"/>
    <n v="16884.599999999999"/>
    <n v="17422.559999999998"/>
    <n v="17422.559999999998"/>
    <n v="2.0318609857503285"/>
  </r>
  <r>
    <s v="ORD-2023-868460"/>
    <d v="2023-04-19T00:00:00"/>
    <x v="1"/>
    <x v="0"/>
    <x v="6"/>
    <d v="2025-04-13T00:00:00"/>
    <d v="2025-04-14T00:00:00"/>
    <d v="2025-04-14T00:00:00"/>
    <n v="1"/>
    <x v="0"/>
    <x v="0"/>
    <s v="Osaka"/>
    <s v="Enterprise"/>
    <x v="2"/>
    <x v="12"/>
    <x v="2"/>
    <x v="65"/>
    <n v="138.9"/>
    <s v="Low"/>
    <n v="289.92"/>
    <n v="289.92"/>
    <n v="2.9000000000000001E-2"/>
    <n v="12"/>
    <n v="8.4076800000000009"/>
    <n v="3378.1478400000001"/>
    <n v="3369.7401600000003"/>
    <n v="1666.8000000000002"/>
    <n v="1711.3478399999999"/>
    <n v="1702.9401600000001"/>
    <n v="2.0267265658747298"/>
  </r>
  <r>
    <s v="ORD-2024-207669"/>
    <d v="2023-04-21T00:00:00"/>
    <x v="1"/>
    <x v="0"/>
    <x v="0"/>
    <d v="2025-02-04T00:00:00"/>
    <d v="2025-02-08T00:00:00"/>
    <d v="2025-02-08T00:00:00"/>
    <n v="4"/>
    <x v="1"/>
    <x v="7"/>
    <s v="Manchester"/>
    <s v="Enterprise"/>
    <x v="4"/>
    <x v="1"/>
    <x v="4"/>
    <x v="66"/>
    <n v="586.21"/>
    <s v="Medium"/>
    <n v="727.22"/>
    <n v="727.22"/>
    <n v="6.8000000000000005E-2"/>
    <n v="15"/>
    <n v="49.450960000000002"/>
    <n v="10166.535600000001"/>
    <n v="10117.084640000001"/>
    <n v="8793.1500000000015"/>
    <n v="1373.3855999999996"/>
    <n v="1323.9346399999995"/>
    <n v="1.1561881237099332"/>
  </r>
  <r>
    <s v="ORD-2024-979401"/>
    <d v="2023-04-21T00:00:00"/>
    <x v="1"/>
    <x v="2"/>
    <x v="10"/>
    <d v="2024-01-24T00:00:00"/>
    <d v="2024-02-04T00:00:00"/>
    <d v="2024-02-04T00:00:00"/>
    <n v="11"/>
    <x v="1"/>
    <x v="7"/>
    <s v="Manchester"/>
    <s v="Consumer"/>
    <x v="1"/>
    <x v="11"/>
    <x v="0"/>
    <x v="67"/>
    <n v="525.34"/>
    <s v="Medium"/>
    <n v="1233.79"/>
    <n v="1233.79"/>
    <n v="0.14299999999999999"/>
    <n v="4"/>
    <n v="176.43196999999998"/>
    <n v="4229.4321199999995"/>
    <n v="4053.0001499999994"/>
    <n v="2101.36"/>
    <n v="2128.0721199999994"/>
    <n v="1951.6401499999993"/>
    <n v="2.012711824723036"/>
  </r>
  <r>
    <s v="ORD-2025-659650"/>
    <d v="2023-04-22T00:00:00"/>
    <x v="1"/>
    <x v="1"/>
    <x v="6"/>
    <d v="2023-04-13T00:00:00"/>
    <d v="2023-05-02T00:00:00"/>
    <d v="2023-05-02T00:00:00"/>
    <n v="19"/>
    <x v="2"/>
    <x v="2"/>
    <s v="Montreal"/>
    <s v="Consumer"/>
    <x v="0"/>
    <x v="2"/>
    <x v="3"/>
    <x v="68"/>
    <n v="671.05"/>
    <s v="Medium"/>
    <n v="1645.48"/>
    <n v="1645.48"/>
    <n v="0.13700000000000001"/>
    <n v="6"/>
    <n v="225.43076000000002"/>
    <n v="8520.2954399999999"/>
    <n v="8294.8646800000006"/>
    <n v="4026.2999999999997"/>
    <n v="4493.9954400000006"/>
    <n v="4268.5646800000013"/>
    <n v="2.1161601072945384"/>
  </r>
  <r>
    <s v="ORD-2023-356427"/>
    <d v="2023-04-23T00:00:00"/>
    <x v="1"/>
    <x v="2"/>
    <x v="1"/>
    <d v="2024-11-30T00:00:00"/>
    <d v="2024-12-19T00:00:00"/>
    <d v="2024-12-19T00:00:00"/>
    <n v="19"/>
    <x v="3"/>
    <x v="5"/>
    <s v="Kisumu"/>
    <s v="Corporate"/>
    <x v="2"/>
    <x v="1"/>
    <x v="1"/>
    <x v="69"/>
    <n v="1195.98"/>
    <s v="Medium"/>
    <n v="1841.9"/>
    <n v="1841.9"/>
    <n v="5.5E-2"/>
    <n v="19"/>
    <n v="101.3045"/>
    <n v="33071.3145"/>
    <n v="32970.01"/>
    <n v="22723.62"/>
    <n v="10347.694500000001"/>
    <n v="10246.390000000003"/>
    <n v="1.4553717453469122"/>
  </r>
  <r>
    <s v="ORD-2024-331226"/>
    <d v="2023-04-26T00:00:00"/>
    <x v="1"/>
    <x v="2"/>
    <x v="8"/>
    <d v="2024-10-25T00:00:00"/>
    <d v="2024-11-05T00:00:00"/>
    <d v="2024-11-05T00:00:00"/>
    <n v="11"/>
    <x v="2"/>
    <x v="10"/>
    <s v="New York"/>
    <s v="Corporate"/>
    <x v="0"/>
    <x v="0"/>
    <x v="2"/>
    <x v="70"/>
    <n v="446.66"/>
    <s v="Low"/>
    <n v="527.64"/>
    <n v="527.64"/>
    <n v="0.14499999999999999"/>
    <n v="15"/>
    <n v="76.507799999999989"/>
    <n v="6766.9829999999993"/>
    <n v="6690.4751999999989"/>
    <n v="6699.9000000000005"/>
    <n v="67.082999999998719"/>
    <n v="-9.4248000000015963"/>
    <n v="1.0100125375005595"/>
  </r>
  <r>
    <s v="ORD-2024-250862"/>
    <d v="2023-05-01T00:00:00"/>
    <x v="1"/>
    <x v="2"/>
    <x v="10"/>
    <d v="2024-01-08T00:00:00"/>
    <d v="2024-01-12T00:00:00"/>
    <d v="2024-01-12T00:00:00"/>
    <n v="4"/>
    <x v="0"/>
    <x v="4"/>
    <s v="Bengaluru"/>
    <s v="Corporate"/>
    <x v="3"/>
    <x v="2"/>
    <x v="6"/>
    <x v="71"/>
    <n v="802.32"/>
    <s v="Low"/>
    <n v="602.34"/>
    <n v="602.34"/>
    <n v="0.12"/>
    <n v="25"/>
    <n v="72.280799999999999"/>
    <n v="13251.48"/>
    <n v="13179.199199999999"/>
    <n v="20058"/>
    <n v="-6806.52"/>
    <n v="-6878.8008000000009"/>
    <n v="0.6606580915345498"/>
  </r>
  <r>
    <s v="ORD-2024-687073"/>
    <d v="2023-05-02T00:00:00"/>
    <x v="1"/>
    <x v="0"/>
    <x v="11"/>
    <d v="2025-05-14T00:00:00"/>
    <d v="2025-05-14T00:00:00"/>
    <d v="2025-05-12T00:00:00"/>
    <n v="-2"/>
    <x v="2"/>
    <x v="2"/>
    <s v="Vancouver"/>
    <s v="Non-Profit"/>
    <x v="0"/>
    <x v="9"/>
    <x v="6"/>
    <x v="72"/>
    <n v="883.5"/>
    <s v="High"/>
    <n v="1978.91"/>
    <n v="1978.91"/>
    <n v="5.3999999999999999E-2"/>
    <n v="27"/>
    <n v="106.86114000000001"/>
    <n v="50545.319219999998"/>
    <n v="50438.458079999997"/>
    <n v="23854.5"/>
    <n v="26690.819219999998"/>
    <n v="26583.958079999997"/>
    <n v="2.1189008036219579"/>
  </r>
  <r>
    <s v="ORD-2024-555229"/>
    <d v="2023-05-02T00:00:00"/>
    <x v="1"/>
    <x v="2"/>
    <x v="9"/>
    <d v="2024-03-11T00:00:00"/>
    <d v="2024-03-29T00:00:00"/>
    <d v="2024-03-29T00:00:00"/>
    <n v="18"/>
    <x v="2"/>
    <x v="10"/>
    <s v="New York"/>
    <s v="Corporate"/>
    <x v="1"/>
    <x v="13"/>
    <x v="3"/>
    <x v="73"/>
    <n v="710.98"/>
    <s v="Medium"/>
    <n v="1481.45"/>
    <n v="1481.45"/>
    <n v="0.21099999999999999"/>
    <n v="9"/>
    <n v="312.58595000000003"/>
    <n v="10519.776450000001"/>
    <n v="10207.190500000001"/>
    <n v="6398.82"/>
    <n v="4120.9564500000015"/>
    <n v="3808.3705000000009"/>
    <n v="1.6440181861655745"/>
  </r>
  <r>
    <s v="ORD-2024-872291"/>
    <d v="2023-05-02T00:00:00"/>
    <x v="1"/>
    <x v="2"/>
    <x v="11"/>
    <d v="2024-05-18T00:00:00"/>
    <d v="2024-05-22T00:00:00"/>
    <d v="2024-05-22T00:00:00"/>
    <n v="4"/>
    <x v="3"/>
    <x v="5"/>
    <s v="Nairobi"/>
    <s v="Corporate"/>
    <x v="3"/>
    <x v="14"/>
    <x v="5"/>
    <x v="74"/>
    <n v="857.42"/>
    <s v="Medium"/>
    <n v="1658.92"/>
    <n v="1658.92"/>
    <n v="0.122"/>
    <n v="9"/>
    <n v="202.38824"/>
    <n v="13108.78584"/>
    <n v="12906.3976"/>
    <n v="7716.78"/>
    <n v="5392.0058400000007"/>
    <n v="5189.6176000000005"/>
    <n v="1.698737794779688"/>
  </r>
  <r>
    <s v="ORD-2025-874124"/>
    <d v="2023-05-03T00:00:00"/>
    <x v="1"/>
    <x v="1"/>
    <x v="11"/>
    <d v="2023-05-07T00:00:00"/>
    <d v="2023-05-20T00:00:00"/>
    <d v="2023-05-20T00:00:00"/>
    <n v="13"/>
    <x v="0"/>
    <x v="4"/>
    <s v="Mumbai"/>
    <s v="Enterprise"/>
    <x v="1"/>
    <x v="10"/>
    <x v="5"/>
    <x v="75"/>
    <n v="1443.28"/>
    <s v="High"/>
    <n v="2580.5700000000002"/>
    <n v="2580.5700000000002"/>
    <n v="0"/>
    <n v="18"/>
    <n v="0"/>
    <n v="46450.26"/>
    <n v="46450.26"/>
    <n v="25979.040000000001"/>
    <n v="20471.22"/>
    <n v="20471.22"/>
    <n v="1.7879898564381131"/>
  </r>
  <r>
    <s v="ORD-2024-536442"/>
    <d v="2023-05-04T00:00:00"/>
    <x v="1"/>
    <x v="0"/>
    <x v="0"/>
    <d v="2025-02-15T00:00:00"/>
    <d v="2025-03-01T00:00:00"/>
    <d v="2025-03-01T00:00:00"/>
    <n v="14"/>
    <x v="3"/>
    <x v="5"/>
    <s v="Mombasa"/>
    <s v="Education"/>
    <x v="3"/>
    <x v="1"/>
    <x v="5"/>
    <x v="76"/>
    <n v="1162.8599999999999"/>
    <s v="Medium"/>
    <n v="1447.68"/>
    <n v="1447.68"/>
    <n v="8.6999999999999994E-2"/>
    <n v="12"/>
    <n v="125.94816"/>
    <n v="15860.782080000001"/>
    <n v="15734.833920000001"/>
    <n v="13954.32"/>
    <n v="1906.4620800000012"/>
    <n v="1780.5139200000012"/>
    <n v="1.1366216397502709"/>
  </r>
  <r>
    <s v="ORD-2023-957692"/>
    <d v="2023-05-04T00:00:00"/>
    <x v="1"/>
    <x v="2"/>
    <x v="4"/>
    <d v="2024-08-31T00:00:00"/>
    <d v="2024-09-26T00:00:00"/>
    <d v="2024-09-26T00:00:00"/>
    <n v="26"/>
    <x v="0"/>
    <x v="0"/>
    <s v="Tokyo"/>
    <s v="Education"/>
    <x v="2"/>
    <x v="7"/>
    <x v="1"/>
    <x v="77"/>
    <n v="1189.03"/>
    <s v="High"/>
    <n v="2949.62"/>
    <n v="2949.62"/>
    <n v="0.125"/>
    <n v="13"/>
    <n v="368.70249999999999"/>
    <n v="33551.927499999998"/>
    <n v="33183.224999999999"/>
    <n v="15457.39"/>
    <n v="18094.537499999999"/>
    <n v="17725.834999999999"/>
    <n v="2.1706075540566681"/>
  </r>
  <r>
    <s v="ORD-2025-332931"/>
    <d v="2023-05-06T00:00:00"/>
    <x v="1"/>
    <x v="0"/>
    <x v="0"/>
    <d v="2025-02-16T00:00:00"/>
    <d v="2025-03-17T00:00:00"/>
    <d v="2025-03-17T00:00:00"/>
    <n v="29"/>
    <x v="1"/>
    <x v="1"/>
    <s v="Munich"/>
    <s v="Consumer"/>
    <x v="1"/>
    <x v="1"/>
    <x v="5"/>
    <x v="78"/>
    <n v="730.42"/>
    <s v="Medium"/>
    <n v="956.7"/>
    <n v="956.7"/>
    <n v="4.2000000000000003E-2"/>
    <n v="22"/>
    <n v="40.181400000000004"/>
    <n v="20163.409200000002"/>
    <n v="20123.227800000001"/>
    <n v="16069.24"/>
    <n v="4094.1692000000021"/>
    <n v="4053.9878000000008"/>
    <n v="1.254783001560746"/>
  </r>
  <r>
    <s v="ORD-2025-419532"/>
    <d v="2023-05-07T00:00:00"/>
    <x v="1"/>
    <x v="2"/>
    <x v="2"/>
    <d v="2024-12-07T00:00:00"/>
    <d v="2024-12-26T00:00:00"/>
    <d v="2024-12-26T00:00:00"/>
    <n v="19"/>
    <x v="1"/>
    <x v="7"/>
    <s v="London"/>
    <s v="Enterprise"/>
    <x v="2"/>
    <x v="10"/>
    <x v="4"/>
    <x v="79"/>
    <n v="1035.24"/>
    <s v="High"/>
    <n v="2383.41"/>
    <n v="2383.41"/>
    <n v="0.17"/>
    <n v="15"/>
    <n v="405.17970000000003"/>
    <n v="29673.454499999993"/>
    <n v="29268.274799999992"/>
    <n v="15528.6"/>
    <n v="14144.854499999992"/>
    <n v="13739.674799999992"/>
    <n v="1.9108905181407205"/>
  </r>
  <r>
    <s v="ORD-2023-139236"/>
    <d v="2023-05-07T00:00:00"/>
    <x v="1"/>
    <x v="0"/>
    <x v="4"/>
    <d v="2025-08-06T00:00:00"/>
    <d v="2025-08-23T00:00:00"/>
    <d v="2025-08-23T00:00:00"/>
    <n v="17"/>
    <x v="2"/>
    <x v="6"/>
    <s v="Brasília"/>
    <s v="Consumer"/>
    <x v="0"/>
    <x v="3"/>
    <x v="3"/>
    <x v="80"/>
    <n v="86.64"/>
    <s v="Low"/>
    <n v="213.06"/>
    <n v="213.06"/>
    <n v="0.21199999999999999"/>
    <n v="11"/>
    <n v="45.16872"/>
    <n v="1846.8040799999999"/>
    <n v="1801.63536"/>
    <n v="953.04"/>
    <n v="893.76407999999992"/>
    <n v="848.59536000000003"/>
    <n v="1.937803324099723"/>
  </r>
  <r>
    <s v="ORD-2025-337268"/>
    <d v="2023-05-07T00:00:00"/>
    <x v="1"/>
    <x v="1"/>
    <x v="9"/>
    <d v="2023-03-03T00:00:00"/>
    <d v="2023-03-20T00:00:00"/>
    <d v="2023-03-20T00:00:00"/>
    <n v="17"/>
    <x v="0"/>
    <x v="0"/>
    <s v="Nagoya"/>
    <s v="Small Business"/>
    <x v="2"/>
    <x v="10"/>
    <x v="4"/>
    <x v="81"/>
    <n v="1171.17"/>
    <s v="High"/>
    <n v="2030.64"/>
    <n v="2030.64"/>
    <n v="0.157"/>
    <n v="11"/>
    <n v="318.81048000000004"/>
    <n v="18830.12472"/>
    <n v="18511.31424"/>
    <n v="12882.87"/>
    <n v="5947.254719999999"/>
    <n v="5628.4442399999989"/>
    <n v="1.461640513332821"/>
  </r>
  <r>
    <s v="ORD-2024-202877"/>
    <d v="2023-05-10T00:00:00"/>
    <x v="1"/>
    <x v="1"/>
    <x v="0"/>
    <d v="2023-02-28T00:00:00"/>
    <d v="2023-03-06T00:00:00"/>
    <d v="2023-03-06T00:00:00"/>
    <n v="6"/>
    <x v="1"/>
    <x v="1"/>
    <s v="Frankfurt"/>
    <s v="Small Business"/>
    <x v="4"/>
    <x v="10"/>
    <x v="6"/>
    <x v="82"/>
    <n v="880.02"/>
    <s v="Medium"/>
    <n v="1251.21"/>
    <n v="1251.21"/>
    <n v="0.123"/>
    <n v="29"/>
    <n v="153.89883"/>
    <n v="31822.023930000003"/>
    <n v="31668.125100000005"/>
    <n v="25520.579999999998"/>
    <n v="6301.4439300000049"/>
    <n v="6147.5451000000066"/>
    <n v="1.2469161723597193"/>
  </r>
  <r>
    <s v="ORD-2024-140633"/>
    <d v="2023-05-10T00:00:00"/>
    <x v="1"/>
    <x v="2"/>
    <x v="5"/>
    <d v="2024-07-13T00:00:00"/>
    <d v="2024-08-03T00:00:00"/>
    <d v="2024-08-03T00:00:00"/>
    <n v="21"/>
    <x v="2"/>
    <x v="6"/>
    <s v="Rio de Janeiro"/>
    <s v="Corporate"/>
    <x v="4"/>
    <x v="13"/>
    <x v="3"/>
    <x v="83"/>
    <n v="702.98"/>
    <s v="Medium"/>
    <n v="1104.8"/>
    <n v="1104.8"/>
    <n v="0.17499999999999999"/>
    <n v="12"/>
    <n v="193.33999999999997"/>
    <n v="10937.519999999999"/>
    <n v="10744.179999999998"/>
    <n v="8435.76"/>
    <n v="2501.7599999999984"/>
    <n v="2308.4199999999983"/>
    <n v="1.2965660473982188"/>
  </r>
  <r>
    <s v="ORD-2023-488227"/>
    <d v="2023-05-11T00:00:00"/>
    <x v="1"/>
    <x v="2"/>
    <x v="9"/>
    <d v="2024-03-04T00:00:00"/>
    <d v="2024-03-16T00:00:00"/>
    <d v="2024-03-16T00:00:00"/>
    <n v="12"/>
    <x v="3"/>
    <x v="11"/>
    <s v="Johannesburg"/>
    <s v="Enterprise"/>
    <x v="0"/>
    <x v="13"/>
    <x v="3"/>
    <x v="84"/>
    <n v="441.08"/>
    <s v="Medium"/>
    <n v="1054.29"/>
    <n v="1054.29"/>
    <n v="0.23699999999999999"/>
    <n v="6"/>
    <n v="249.86672999999999"/>
    <n v="4826.5396199999996"/>
    <n v="4576.6728899999998"/>
    <n v="2646.48"/>
    <n v="2180.0596199999995"/>
    <n v="1930.1928899999998"/>
    <n v="1.8237582071279586"/>
  </r>
  <r>
    <s v="ORD-2023-472078"/>
    <d v="2023-05-11T00:00:00"/>
    <x v="1"/>
    <x v="1"/>
    <x v="7"/>
    <d v="2023-09-08T00:00:00"/>
    <d v="2023-10-02T00:00:00"/>
    <d v="2023-10-02T00:00:00"/>
    <n v="24"/>
    <x v="2"/>
    <x v="2"/>
    <s v="Toronto"/>
    <s v="Education"/>
    <x v="3"/>
    <x v="3"/>
    <x v="5"/>
    <x v="85"/>
    <n v="1299.03"/>
    <s v="High"/>
    <n v="2451.2199999999998"/>
    <n v="2451.2199999999998"/>
    <n v="0.20799999999999999"/>
    <n v="8"/>
    <n v="509.85375999999991"/>
    <n v="15530.929919999999"/>
    <n v="15021.076159999999"/>
    <n v="10392.24"/>
    <n v="5138.6899199999989"/>
    <n v="4628.8361599999989"/>
    <n v="1.4944737534929908"/>
  </r>
  <r>
    <s v="ORD-2024-419248"/>
    <d v="2023-05-14T00:00:00"/>
    <x v="1"/>
    <x v="0"/>
    <x v="4"/>
    <d v="2025-08-20T00:00:00"/>
    <d v="2025-08-26T00:00:00"/>
    <d v="2025-08-26T00:00:00"/>
    <n v="6"/>
    <x v="2"/>
    <x v="10"/>
    <s v="New York"/>
    <s v="Corporate"/>
    <x v="1"/>
    <x v="13"/>
    <x v="4"/>
    <x v="86"/>
    <n v="1304.95"/>
    <s v="Medium"/>
    <n v="1712.03"/>
    <n v="1712.03"/>
    <n v="0.21199999999999999"/>
    <n v="8"/>
    <n v="362.95035999999999"/>
    <n v="10792.637119999999"/>
    <n v="10429.686759999999"/>
    <n v="10439.6"/>
    <n v="353.03711999999905"/>
    <n v="-9.9132400000016787"/>
    <n v="1.0338171117667343"/>
  </r>
  <r>
    <s v="ORD-2023-453699"/>
    <d v="2023-05-17T00:00:00"/>
    <x v="1"/>
    <x v="1"/>
    <x v="0"/>
    <d v="2023-02-11T00:00:00"/>
    <d v="2023-02-12T00:00:00"/>
    <d v="2023-02-12T00:00:00"/>
    <n v="1"/>
    <x v="3"/>
    <x v="9"/>
    <s v="Port Harcourt"/>
    <s v="Non-Profit"/>
    <x v="3"/>
    <x v="10"/>
    <x v="5"/>
    <x v="87"/>
    <n v="944.61"/>
    <s v="Medium"/>
    <n v="839.04"/>
    <n v="839.04"/>
    <n v="5.8999999999999997E-2"/>
    <n v="6"/>
    <n v="49.503359999999994"/>
    <n v="4737.2198399999997"/>
    <n v="4687.71648"/>
    <n v="5667.66"/>
    <n v="-930.44016000000011"/>
    <n v="-979.94351999999981"/>
    <n v="0.83583345507669826"/>
  </r>
  <r>
    <s v="ORD-2025-960931"/>
    <d v="2023-05-17T00:00:00"/>
    <x v="1"/>
    <x v="1"/>
    <x v="5"/>
    <d v="2023-07-01T00:00:00"/>
    <d v="2023-07-08T00:00:00"/>
    <d v="2023-07-08T00:00:00"/>
    <n v="7"/>
    <x v="1"/>
    <x v="1"/>
    <s v="Frankfurt"/>
    <s v="Small Business"/>
    <x v="0"/>
    <x v="0"/>
    <x v="0"/>
    <x v="88"/>
    <n v="460.21"/>
    <s v="Medium"/>
    <n v="1139.1500000000001"/>
    <n v="1139.1500000000001"/>
    <n v="0.115"/>
    <n v="14"/>
    <n v="131.00225"/>
    <n v="14114.068500000001"/>
    <n v="13983.066250000002"/>
    <n v="6442.94"/>
    <n v="7671.1285000000016"/>
    <n v="7540.1262500000021"/>
    <n v="2.1906254753264816"/>
  </r>
  <r>
    <s v="ORD-2023-286720"/>
    <d v="2023-05-20T00:00:00"/>
    <x v="1"/>
    <x v="1"/>
    <x v="10"/>
    <d v="2023-01-26T00:00:00"/>
    <d v="2023-02-15T00:00:00"/>
    <d v="2023-02-15T00:00:00"/>
    <n v="20"/>
    <x v="1"/>
    <x v="1"/>
    <s v="Berlin"/>
    <s v="Small Business"/>
    <x v="2"/>
    <x v="6"/>
    <x v="4"/>
    <x v="89"/>
    <n v="492.62"/>
    <s v="Low"/>
    <n v="366.7"/>
    <n v="366.7"/>
    <n v="8.8999999999999996E-2"/>
    <n v="10"/>
    <n v="32.636299999999999"/>
    <n v="3340.6370000000002"/>
    <n v="3308.0007000000001"/>
    <n v="4926.2"/>
    <n v="-1585.5629999999996"/>
    <n v="-1618.1992999999998"/>
    <n v="0.67813669765742368"/>
  </r>
  <r>
    <s v="ORD-2024-626925"/>
    <d v="2023-05-20T00:00:00"/>
    <x v="1"/>
    <x v="1"/>
    <x v="5"/>
    <d v="2023-07-08T00:00:00"/>
    <d v="2023-07-09T00:00:00"/>
    <d v="2023-07-09T00:00:00"/>
    <n v="1"/>
    <x v="3"/>
    <x v="5"/>
    <s v="Nairobi"/>
    <s v="Consumer"/>
    <x v="2"/>
    <x v="10"/>
    <x v="0"/>
    <x v="90"/>
    <n v="1258.72"/>
    <s v="High"/>
    <n v="2797.41"/>
    <n v="2797.41"/>
    <n v="0"/>
    <n v="7"/>
    <n v="0"/>
    <n v="19581.87"/>
    <n v="19581.87"/>
    <n v="8811.0400000000009"/>
    <n v="10770.829999999998"/>
    <n v="10770.829999999998"/>
    <n v="2.2224243676115414"/>
  </r>
  <r>
    <s v="ORD-2023-960380"/>
    <d v="2023-05-20T00:00:00"/>
    <x v="1"/>
    <x v="2"/>
    <x v="3"/>
    <d v="2024-06-07T00:00:00"/>
    <d v="2024-06-09T00:00:00"/>
    <d v="2024-06-09T00:00:00"/>
    <n v="2"/>
    <x v="0"/>
    <x v="3"/>
    <s v="Shanghai"/>
    <s v="Corporate"/>
    <x v="1"/>
    <x v="6"/>
    <x v="3"/>
    <x v="91"/>
    <n v="1370.28"/>
    <s v="High"/>
    <n v="2209.66"/>
    <n v="2209.66"/>
    <n v="0.13300000000000001"/>
    <n v="16"/>
    <n v="293.88477999999998"/>
    <n v="30652.403519999996"/>
    <n v="30358.518739999996"/>
    <n v="21924.48"/>
    <n v="8727.9235199999966"/>
    <n v="8434.0387399999963"/>
    <n v="1.3980903319029685"/>
  </r>
  <r>
    <s v="ORD-2023-974506"/>
    <d v="2023-05-23T00:00:00"/>
    <x v="1"/>
    <x v="1"/>
    <x v="5"/>
    <d v="2023-07-07T00:00:00"/>
    <d v="2023-07-13T00:00:00"/>
    <d v="2023-07-13T00:00:00"/>
    <n v="6"/>
    <x v="3"/>
    <x v="11"/>
    <s v="Cape Town"/>
    <s v="Small Business"/>
    <x v="4"/>
    <x v="11"/>
    <x v="5"/>
    <x v="92"/>
    <n v="612.59"/>
    <s v="Medium"/>
    <n v="1424.74"/>
    <n v="1424.74"/>
    <n v="4.3999999999999997E-2"/>
    <n v="15"/>
    <n v="62.688559999999995"/>
    <n v="20430.771599999996"/>
    <n v="20368.083039999998"/>
    <n v="9188.85"/>
    <n v="11241.921599999996"/>
    <n v="11179.233039999997"/>
    <n v="2.2234307448701411"/>
  </r>
  <r>
    <s v="ORD-2023-811823"/>
    <d v="2023-05-23T00:00:00"/>
    <x v="1"/>
    <x v="1"/>
    <x v="2"/>
    <d v="2023-12-28T00:00:00"/>
    <d v="2024-01-01T00:00:00"/>
    <d v="2024-01-01T00:00:00"/>
    <n v="4"/>
    <x v="3"/>
    <x v="11"/>
    <s v="Cape Town"/>
    <s v="Education"/>
    <x v="0"/>
    <x v="3"/>
    <x v="6"/>
    <x v="93"/>
    <n v="1141.8"/>
    <s v="High"/>
    <n v="2318.7399999999998"/>
    <n v="2318.7399999999998"/>
    <n v="0.107"/>
    <n v="32"/>
    <n v="248.10517999999996"/>
    <n v="66260.314239999992"/>
    <n v="66012.209059999994"/>
    <n v="36537.599999999999"/>
    <n v="29722.714239999994"/>
    <n v="29474.609059999995"/>
    <n v="1.8134829392187772"/>
  </r>
  <r>
    <s v="ORD-2023-621393"/>
    <d v="2023-05-24T00:00:00"/>
    <x v="1"/>
    <x v="2"/>
    <x v="4"/>
    <d v="2024-08-16T00:00:00"/>
    <d v="2024-08-26T00:00:00"/>
    <d v="2024-08-26T00:00:00"/>
    <n v="10"/>
    <x v="2"/>
    <x v="10"/>
    <s v="Chicago"/>
    <s v="Corporate"/>
    <x v="0"/>
    <x v="1"/>
    <x v="0"/>
    <x v="94"/>
    <n v="1291.7"/>
    <s v="High"/>
    <n v="2657.84"/>
    <n v="2657.84"/>
    <n v="8.6999999999999994E-2"/>
    <n v="21"/>
    <n v="231.23208"/>
    <n v="50958.766320000002"/>
    <n v="50727.534240000001"/>
    <n v="27125.7"/>
    <n v="23833.066320000002"/>
    <n v="23601.83424"/>
    <n v="1.8786157157234653"/>
  </r>
  <r>
    <s v="ORD-2024-353078"/>
    <d v="2023-05-27T00:00:00"/>
    <x v="1"/>
    <x v="1"/>
    <x v="5"/>
    <d v="2023-07-01T00:00:00"/>
    <d v="2023-07-11T00:00:00"/>
    <d v="2023-07-11T00:00:00"/>
    <n v="10"/>
    <x v="1"/>
    <x v="8"/>
    <s v="Paris"/>
    <s v="Corporate"/>
    <x v="3"/>
    <x v="9"/>
    <x v="4"/>
    <x v="95"/>
    <n v="479.5"/>
    <s v="Medium"/>
    <n v="656.66"/>
    <n v="656.66"/>
    <n v="0.14899999999999999"/>
    <n v="14"/>
    <n v="97.842339999999993"/>
    <n v="7823.4472399999995"/>
    <n v="7725.6048999999994"/>
    <n v="6713"/>
    <n v="1110.4472399999995"/>
    <n v="1012.6048999999994"/>
    <n v="1.1654174348279458"/>
  </r>
  <r>
    <s v="ORD-2023-215819"/>
    <d v="2023-05-29T00:00:00"/>
    <x v="1"/>
    <x v="0"/>
    <x v="10"/>
    <d v="2025-01-10T00:00:00"/>
    <d v="2025-02-06T00:00:00"/>
    <d v="2025-02-06T00:00:00"/>
    <n v="27"/>
    <x v="2"/>
    <x v="6"/>
    <s v="Brasília"/>
    <s v="Non-Profit"/>
    <x v="1"/>
    <x v="11"/>
    <x v="0"/>
    <x v="96"/>
    <n v="725.62"/>
    <s v="Medium"/>
    <n v="1559.19"/>
    <n v="1559.19"/>
    <n v="0.19"/>
    <n v="12"/>
    <n v="296.24610000000001"/>
    <n v="15155.326800000001"/>
    <n v="14859.0807"/>
    <n v="8707.44"/>
    <n v="6447.8868000000002"/>
    <n v="6151.6406999999999"/>
    <n v="1.7405031559218322"/>
  </r>
  <r>
    <s v="ORD-2025-312803"/>
    <d v="2023-06-01T00:00:00"/>
    <x v="1"/>
    <x v="1"/>
    <x v="4"/>
    <d v="2023-08-17T00:00:00"/>
    <d v="2023-09-03T00:00:00"/>
    <d v="2023-09-03T00:00:00"/>
    <n v="17"/>
    <x v="3"/>
    <x v="11"/>
    <s v="Durban"/>
    <s v="Enterprise"/>
    <x v="1"/>
    <x v="3"/>
    <x v="1"/>
    <x v="97"/>
    <n v="676.37"/>
    <s v="Medium"/>
    <n v="1276.67"/>
    <n v="1276.67"/>
    <n v="6.6000000000000003E-2"/>
    <n v="10"/>
    <n v="84.260220000000004"/>
    <n v="11924.0978"/>
    <n v="11839.837579999999"/>
    <n v="6763.7"/>
    <n v="5160.3977999999997"/>
    <n v="5076.1375799999996"/>
    <n v="1.7629548619838253"/>
  </r>
  <r>
    <s v="ORD-2025-149156"/>
    <d v="2023-06-01T00:00:00"/>
    <x v="1"/>
    <x v="0"/>
    <x v="3"/>
    <d v="2025-06-24T00:00:00"/>
    <d v="2025-07-14T00:00:00"/>
    <d v="2025-07-14T00:00:00"/>
    <n v="20"/>
    <x v="3"/>
    <x v="11"/>
    <s v="Johannesburg"/>
    <s v="Enterprise"/>
    <x v="4"/>
    <x v="5"/>
    <x v="0"/>
    <x v="98"/>
    <n v="1151.06"/>
    <s v="High"/>
    <n v="2821.36"/>
    <n v="2821.36"/>
    <n v="0.248"/>
    <n v="20"/>
    <n v="699.69727999999998"/>
    <n v="42433.254400000005"/>
    <n v="41733.557120000005"/>
    <n v="23021.199999999997"/>
    <n v="19412.054400000008"/>
    <n v="18712.357120000008"/>
    <n v="1.8432251316178137"/>
  </r>
  <r>
    <s v="ORD-2023-525643"/>
    <d v="2023-06-03T00:00:00"/>
    <x v="1"/>
    <x v="0"/>
    <x v="6"/>
    <d v="2025-04-22T00:00:00"/>
    <d v="2025-05-12T00:00:00"/>
    <d v="2025-05-12T00:00:00"/>
    <n v="20"/>
    <x v="1"/>
    <x v="8"/>
    <s v="Lyon"/>
    <s v="Enterprise"/>
    <x v="4"/>
    <x v="8"/>
    <x v="3"/>
    <x v="99"/>
    <n v="59.51"/>
    <s v="Low"/>
    <n v="67.040000000000006"/>
    <n v="67.040000000000006"/>
    <n v="0.114"/>
    <n v="9"/>
    <n v="7.6425600000000014"/>
    <n v="534.57695999999999"/>
    <n v="526.93439999999998"/>
    <n v="535.59"/>
    <n v="-1.0130400000000463"/>
    <n v="-8.6556000000000495"/>
    <n v="0.99810855318433866"/>
  </r>
  <r>
    <s v="ORD-2025-778145"/>
    <d v="2023-06-05T00:00:00"/>
    <x v="1"/>
    <x v="0"/>
    <x v="9"/>
    <d v="2025-03-11T00:00:00"/>
    <d v="2025-03-26T00:00:00"/>
    <d v="2025-03-26T00:00:00"/>
    <n v="15"/>
    <x v="1"/>
    <x v="1"/>
    <s v="Berlin"/>
    <s v="Small Business"/>
    <x v="2"/>
    <x v="7"/>
    <x v="1"/>
    <x v="100"/>
    <n v="116.97"/>
    <s v="Low"/>
    <n v="140.82"/>
    <n v="140.82"/>
    <n v="0.122"/>
    <n v="5"/>
    <n v="17.180039999999998"/>
    <n v="618.19979999999987"/>
    <n v="601.01975999999991"/>
    <n v="584.85"/>
    <n v="33.349799999999846"/>
    <n v="16.169759999999883"/>
    <n v="1.0570228263657346"/>
  </r>
  <r>
    <s v="ORD-2025-926547"/>
    <d v="2023-06-09T00:00:00"/>
    <x v="1"/>
    <x v="2"/>
    <x v="10"/>
    <d v="2024-01-25T00:00:00"/>
    <d v="2024-02-08T00:00:00"/>
    <d v="2024-02-08T00:00:00"/>
    <n v="14"/>
    <x v="0"/>
    <x v="0"/>
    <s v="Osaka"/>
    <s v="Consumer"/>
    <x v="4"/>
    <x v="7"/>
    <x v="4"/>
    <x v="101"/>
    <n v="937.16"/>
    <s v="Medium"/>
    <n v="1069.77"/>
    <n v="1069.77"/>
    <n v="3.7999999999999999E-2"/>
    <n v="9"/>
    <n v="40.651260000000001"/>
    <n v="9262.0686600000008"/>
    <n v="9221.4174000000003"/>
    <n v="8434.44"/>
    <n v="827.62866000000031"/>
    <n v="786.97739999999976"/>
    <n v="1.0981249093004397"/>
  </r>
  <r>
    <s v="ORD-2024-532184"/>
    <d v="2023-06-10T00:00:00"/>
    <x v="1"/>
    <x v="1"/>
    <x v="4"/>
    <d v="2023-08-24T00:00:00"/>
    <d v="2023-09-20T00:00:00"/>
    <d v="2023-09-20T00:00:00"/>
    <n v="27"/>
    <x v="3"/>
    <x v="11"/>
    <s v="Durban"/>
    <s v="Small Business"/>
    <x v="4"/>
    <x v="13"/>
    <x v="6"/>
    <x v="102"/>
    <n v="1399.64"/>
    <s v="High"/>
    <n v="3342.11"/>
    <n v="3342.11"/>
    <n v="0"/>
    <n v="10"/>
    <n v="0"/>
    <n v="33421.1"/>
    <n v="33421.1"/>
    <n v="13996.400000000001"/>
    <n v="19424.699999999997"/>
    <n v="19424.699999999997"/>
    <n v="2.3878354433997311"/>
  </r>
  <r>
    <s v="ORD-2023-640022"/>
    <d v="2023-06-13T00:00:00"/>
    <x v="1"/>
    <x v="2"/>
    <x v="3"/>
    <d v="2024-06-05T00:00:00"/>
    <d v="2024-06-23T00:00:00"/>
    <d v="2024-06-23T00:00:00"/>
    <n v="18"/>
    <x v="3"/>
    <x v="5"/>
    <s v="Nairobi"/>
    <s v="Consumer"/>
    <x v="0"/>
    <x v="10"/>
    <x v="0"/>
    <x v="103"/>
    <n v="1208.74"/>
    <s v="Medium"/>
    <n v="1594.78"/>
    <n v="1594.78"/>
    <n v="5.8999999999999997E-2"/>
    <n v="39"/>
    <n v="94.092019999999991"/>
    <n v="58526.83122"/>
    <n v="58432.739200000004"/>
    <n v="47140.86"/>
    <n v="11385.971219999999"/>
    <n v="11291.879200000003"/>
    <n v="1.2415308337607758"/>
  </r>
  <r>
    <s v="ORD-2024-713332"/>
    <d v="2023-06-14T00:00:00"/>
    <x v="1"/>
    <x v="1"/>
    <x v="10"/>
    <d v="2023-01-12T00:00:00"/>
    <d v="2023-01-26T00:00:00"/>
    <d v="2023-01-26T00:00:00"/>
    <n v="14"/>
    <x v="0"/>
    <x v="3"/>
    <s v="Shenzhen"/>
    <s v="Non-Profit"/>
    <x v="1"/>
    <x v="13"/>
    <x v="6"/>
    <x v="104"/>
    <n v="1083.0899999999999"/>
    <s v="Medium"/>
    <n v="1425.87"/>
    <n v="1425.87"/>
    <n v="0"/>
    <n v="8"/>
    <n v="0"/>
    <n v="11406.96"/>
    <n v="11406.96"/>
    <n v="8664.7199999999993"/>
    <n v="2742.24"/>
    <n v="2742.24"/>
    <n v="1.3164833947317398"/>
  </r>
  <r>
    <s v="ORD-2025-460466"/>
    <d v="2023-06-15T00:00:00"/>
    <x v="1"/>
    <x v="2"/>
    <x v="6"/>
    <d v="2024-04-16T00:00:00"/>
    <d v="2024-04-27T00:00:00"/>
    <d v="2024-04-27T00:00:00"/>
    <n v="11"/>
    <x v="3"/>
    <x v="5"/>
    <s v="Nakuru"/>
    <s v="Enterprise"/>
    <x v="2"/>
    <x v="10"/>
    <x v="6"/>
    <x v="105"/>
    <n v="401.3"/>
    <s v="Medium"/>
    <n v="826.47"/>
    <n v="826.47"/>
    <n v="0.22500000000000001"/>
    <n v="13"/>
    <n v="185.95575000000002"/>
    <n v="8326.6852500000005"/>
    <n v="8140.7295000000004"/>
    <n v="5216.9000000000005"/>
    <n v="3109.7852499999999"/>
    <n v="2923.8294999999998"/>
    <n v="1.5960983055071019"/>
  </r>
  <r>
    <s v="ORD-2023-700699"/>
    <d v="2023-06-15T00:00:00"/>
    <x v="1"/>
    <x v="0"/>
    <x v="0"/>
    <d v="2025-02-07T00:00:00"/>
    <d v="2025-02-16T00:00:00"/>
    <d v="2025-02-16T00:00:00"/>
    <n v="9"/>
    <x v="3"/>
    <x v="9"/>
    <s v="Lagos"/>
    <s v="Small Business"/>
    <x v="0"/>
    <x v="4"/>
    <x v="6"/>
    <x v="106"/>
    <n v="90.68"/>
    <s v="Low"/>
    <n v="118.17"/>
    <n v="118.17"/>
    <n v="0.13500000000000001"/>
    <n v="21"/>
    <n v="15.952950000000001"/>
    <n v="2146.5580500000001"/>
    <n v="2130.6051000000002"/>
    <n v="1904.2800000000002"/>
    <n v="242.27804999999989"/>
    <n v="226.32510000000002"/>
    <n v="1.1272281649757387"/>
  </r>
  <r>
    <s v="ORD-2024-364080"/>
    <d v="2023-06-17T00:00:00"/>
    <x v="1"/>
    <x v="2"/>
    <x v="10"/>
    <d v="2024-01-13T00:00:00"/>
    <d v="2024-01-15T00:00:00"/>
    <d v="2024-01-15T00:00:00"/>
    <n v="2"/>
    <x v="2"/>
    <x v="10"/>
    <s v="San Francisco"/>
    <s v="Non-Profit"/>
    <x v="3"/>
    <x v="2"/>
    <x v="2"/>
    <x v="107"/>
    <n v="1061.3699999999999"/>
    <s v="High"/>
    <n v="1938.33"/>
    <n v="1938.33"/>
    <n v="0.17"/>
    <n v="4"/>
    <n v="329.51609999999999"/>
    <n v="6435.2555999999995"/>
    <n v="6105.7394999999997"/>
    <n v="4245.4799999999996"/>
    <n v="2189.7755999999999"/>
    <n v="1860.2595000000001"/>
    <n v="1.5157898753497838"/>
  </r>
  <r>
    <s v="ORD-2024-468615"/>
    <d v="2023-06-20T00:00:00"/>
    <x v="1"/>
    <x v="1"/>
    <x v="11"/>
    <d v="2023-05-10T00:00:00"/>
    <d v="2023-05-27T00:00:00"/>
    <d v="2023-05-27T00:00:00"/>
    <n v="17"/>
    <x v="0"/>
    <x v="4"/>
    <s v="Mumbai"/>
    <s v="Consumer"/>
    <x v="1"/>
    <x v="13"/>
    <x v="0"/>
    <x v="108"/>
    <n v="1286.1600000000001"/>
    <s v="High"/>
    <n v="3101.11"/>
    <n v="3101.11"/>
    <n v="0.1"/>
    <n v="23"/>
    <n v="310.11100000000005"/>
    <n v="64192.976999999999"/>
    <n v="63882.866000000002"/>
    <n v="29581.68"/>
    <n v="34611.296999999999"/>
    <n v="34301.186000000002"/>
    <n v="2.1700247247620825"/>
  </r>
  <r>
    <s v="ORD-2024-833375"/>
    <d v="2023-06-20T00:00:00"/>
    <x v="1"/>
    <x v="2"/>
    <x v="5"/>
    <d v="2024-07-09T00:00:00"/>
    <d v="2024-07-12T00:00:00"/>
    <d v="2024-07-12T00:00:00"/>
    <n v="3"/>
    <x v="0"/>
    <x v="3"/>
    <s v="Shanghai"/>
    <s v="Small Business"/>
    <x v="1"/>
    <x v="10"/>
    <x v="5"/>
    <x v="109"/>
    <n v="748.39"/>
    <s v="Medium"/>
    <n v="979.42"/>
    <n v="979.42"/>
    <n v="0"/>
    <n v="23"/>
    <n v="0"/>
    <n v="22526.66"/>
    <n v="22526.66"/>
    <n v="17212.97"/>
    <n v="5313.6899999999987"/>
    <n v="5313.6899999999987"/>
    <n v="1.3087026817568379"/>
  </r>
  <r>
    <s v="ORD-2024-206311"/>
    <d v="2023-06-20T00:00:00"/>
    <x v="1"/>
    <x v="2"/>
    <x v="6"/>
    <d v="2024-04-24T00:00:00"/>
    <d v="2024-05-10T00:00:00"/>
    <d v="2024-05-10T00:00:00"/>
    <n v="16"/>
    <x v="3"/>
    <x v="5"/>
    <s v="Kisumu"/>
    <s v="Non-Profit"/>
    <x v="2"/>
    <x v="0"/>
    <x v="3"/>
    <x v="110"/>
    <n v="513.30999999999995"/>
    <s v="Medium"/>
    <n v="1186.26"/>
    <n v="1186.26"/>
    <n v="9.4E-2"/>
    <n v="15"/>
    <n v="111.50843999999999"/>
    <n v="16121.273400000002"/>
    <n v="16009.764960000002"/>
    <n v="7699.65"/>
    <n v="8421.6234000000022"/>
    <n v="8310.1149600000026"/>
    <n v="2.093767041359023"/>
  </r>
  <r>
    <s v="ORD-2023-472050"/>
    <d v="2023-06-22T00:00:00"/>
    <x v="1"/>
    <x v="2"/>
    <x v="5"/>
    <d v="2024-07-09T00:00:00"/>
    <d v="2024-08-08T00:00:00"/>
    <d v="2024-08-08T00:00:00"/>
    <n v="30"/>
    <x v="1"/>
    <x v="8"/>
    <s v="Marseille"/>
    <s v="Corporate"/>
    <x v="3"/>
    <x v="5"/>
    <x v="2"/>
    <x v="111"/>
    <n v="1062.3800000000001"/>
    <s v="Medium"/>
    <n v="1503.96"/>
    <n v="1503.96"/>
    <n v="0.18"/>
    <n v="6"/>
    <n v="270.71280000000002"/>
    <n v="7399.4832000000006"/>
    <n v="7128.7704000000003"/>
    <n v="6374.2800000000007"/>
    <n v="1025.2031999999999"/>
    <n v="754.49039999999968"/>
    <n v="1.1608343530563452"/>
  </r>
  <r>
    <s v="ORD-2023-125739"/>
    <d v="2023-06-23T00:00:00"/>
    <x v="1"/>
    <x v="2"/>
    <x v="11"/>
    <d v="2024-05-01T00:00:00"/>
    <d v="2024-05-26T00:00:00"/>
    <d v="2024-05-26T00:00:00"/>
    <n v="25"/>
    <x v="1"/>
    <x v="1"/>
    <s v="Berlin"/>
    <s v="Non-Profit"/>
    <x v="1"/>
    <x v="11"/>
    <x v="4"/>
    <x v="112"/>
    <n v="930.71"/>
    <s v="Medium"/>
    <n v="1625.42"/>
    <n v="1625.42"/>
    <n v="0.13800000000000001"/>
    <n v="7"/>
    <n v="224.30796000000004"/>
    <n v="9807.7842799999999"/>
    <n v="9583.4763199999998"/>
    <n v="6514.97"/>
    <n v="3292.8142799999996"/>
    <n v="3068.5063199999995"/>
    <n v="1.505422784755724"/>
  </r>
  <r>
    <s v="ORD-2024-892879"/>
    <d v="2023-06-23T00:00:00"/>
    <x v="1"/>
    <x v="1"/>
    <x v="11"/>
    <d v="2023-05-01T00:00:00"/>
    <d v="2023-05-18T00:00:00"/>
    <d v="2023-05-18T00:00:00"/>
    <n v="17"/>
    <x v="3"/>
    <x v="9"/>
    <s v="Port Harcourt"/>
    <s v="Corporate"/>
    <x v="3"/>
    <x v="9"/>
    <x v="2"/>
    <x v="113"/>
    <n v="327.97"/>
    <s v="Low"/>
    <n v="299.94"/>
    <n v="299.94"/>
    <n v="4.9000000000000002E-2"/>
    <n v="3"/>
    <n v="14.69706"/>
    <n v="855.72881999999993"/>
    <n v="841.03175999999996"/>
    <n v="983.91000000000008"/>
    <n v="-128.18118000000015"/>
    <n v="-142.87824000000012"/>
    <n v="0.86972265756014255"/>
  </r>
  <r>
    <s v="ORD-2023-568013"/>
    <d v="2023-06-24T00:00:00"/>
    <x v="1"/>
    <x v="0"/>
    <x v="4"/>
    <d v="2025-08-05T00:00:00"/>
    <d v="2025-08-28T00:00:00"/>
    <d v="2025-08-28T00:00:00"/>
    <n v="23"/>
    <x v="0"/>
    <x v="4"/>
    <s v="Mumbai"/>
    <s v="Non-Profit"/>
    <x v="0"/>
    <x v="0"/>
    <x v="0"/>
    <x v="114"/>
    <n v="638.54"/>
    <s v="Medium"/>
    <n v="987.24"/>
    <n v="987.24"/>
    <n v="0"/>
    <n v="11"/>
    <n v="0"/>
    <n v="10859.64"/>
    <n v="10859.64"/>
    <n v="7023.94"/>
    <n v="3835.7"/>
    <n v="3835.7"/>
    <n v="1.5460895167099946"/>
  </r>
  <r>
    <s v="ORD-2025-828263"/>
    <d v="2023-06-24T00:00:00"/>
    <x v="1"/>
    <x v="1"/>
    <x v="7"/>
    <d v="2023-09-30T00:00:00"/>
    <d v="2023-10-30T00:00:00"/>
    <d v="2023-10-30T00:00:00"/>
    <n v="30"/>
    <x v="0"/>
    <x v="0"/>
    <s v="Tokyo"/>
    <s v="Enterprise"/>
    <x v="2"/>
    <x v="10"/>
    <x v="6"/>
    <x v="115"/>
    <n v="649.13"/>
    <s v="Medium"/>
    <n v="975.43"/>
    <n v="975.43"/>
    <n v="0.157"/>
    <n v="27"/>
    <n v="153.14250999999999"/>
    <n v="22201.762229999997"/>
    <n v="22048.619719999995"/>
    <n v="17526.509999999998"/>
    <n v="4675.2522299999982"/>
    <n v="4522.1097199999967"/>
    <n v="1.2667531773296565"/>
  </r>
  <r>
    <s v="ORD-2024-402240"/>
    <d v="2023-06-24T00:00:00"/>
    <x v="1"/>
    <x v="0"/>
    <x v="11"/>
    <d v="2025-05-17T00:00:00"/>
    <d v="2025-05-30T00:00:00"/>
    <d v="2025-05-30T00:00:00"/>
    <n v="13"/>
    <x v="3"/>
    <x v="9"/>
    <s v="Lagos"/>
    <s v="Consumer"/>
    <x v="0"/>
    <x v="9"/>
    <x v="5"/>
    <x v="116"/>
    <n v="66.400000000000006"/>
    <s v="Low"/>
    <n v="141.43"/>
    <n v="141.43"/>
    <n v="0.107"/>
    <n v="8"/>
    <n v="15.133010000000001"/>
    <n v="1010.3759200000001"/>
    <n v="995.24291000000005"/>
    <n v="531.20000000000005"/>
    <n v="479.17592000000002"/>
    <n v="464.04291000000001"/>
    <n v="1.9020631024096386"/>
  </r>
  <r>
    <s v="ORD-2025-635337"/>
    <d v="2023-06-29T00:00:00"/>
    <x v="1"/>
    <x v="0"/>
    <x v="10"/>
    <d v="2025-01-04T00:00:00"/>
    <d v="2025-01-05T00:00:00"/>
    <d v="2025-01-05T00:00:00"/>
    <n v="1"/>
    <x v="0"/>
    <x v="4"/>
    <s v="Delhi"/>
    <s v="Education"/>
    <x v="1"/>
    <x v="7"/>
    <x v="2"/>
    <x v="117"/>
    <n v="1428.33"/>
    <s v="High"/>
    <n v="3028.05"/>
    <n v="3028.05"/>
    <n v="0"/>
    <n v="11"/>
    <n v="0"/>
    <n v="33308.550000000003"/>
    <n v="33308.550000000003"/>
    <n v="15711.63"/>
    <n v="17596.920000000006"/>
    <n v="17596.920000000006"/>
    <n v="2.1199932788641282"/>
  </r>
  <r>
    <s v="ORD-2024-964950"/>
    <d v="2023-07-01T00:00:00"/>
    <x v="2"/>
    <x v="2"/>
    <x v="9"/>
    <d v="2024-03-02T00:00:00"/>
    <d v="2024-03-23T00:00:00"/>
    <d v="2024-03-23T00:00:00"/>
    <n v="21"/>
    <x v="2"/>
    <x v="10"/>
    <s v="Chicago"/>
    <s v="Small Business"/>
    <x v="2"/>
    <x v="9"/>
    <x v="2"/>
    <x v="118"/>
    <n v="225.01"/>
    <s v="Low"/>
    <n v="333.48"/>
    <n v="333.48"/>
    <n v="0.11899999999999999"/>
    <n v="12"/>
    <n v="39.68412"/>
    <n v="3525.5505600000001"/>
    <n v="3485.8664400000002"/>
    <n v="2700.12"/>
    <n v="825.43056000000024"/>
    <n v="785.74644000000035"/>
    <n v="1.305701435491756"/>
  </r>
  <r>
    <s v="ORD-2023-349264"/>
    <d v="2023-07-01T00:00:00"/>
    <x v="2"/>
    <x v="2"/>
    <x v="8"/>
    <d v="2024-10-10T00:00:00"/>
    <d v="2024-10-11T00:00:00"/>
    <d v="2024-10-11T00:00:00"/>
    <n v="1"/>
    <x v="1"/>
    <x v="7"/>
    <s v="Manchester"/>
    <s v="Non-Profit"/>
    <x v="0"/>
    <x v="1"/>
    <x v="2"/>
    <x v="119"/>
    <n v="1389.46"/>
    <s v="Medium"/>
    <n v="1784.7"/>
    <n v="1784.7"/>
    <n v="0.14599999999999999"/>
    <n v="33"/>
    <n v="260.56619999999998"/>
    <n v="50296.415399999998"/>
    <n v="50035.849199999997"/>
    <n v="45852.18"/>
    <n v="4444.2353999999978"/>
    <n v="4183.6691999999966"/>
    <n v="1.0969252803247305"/>
  </r>
  <r>
    <s v="ORD-2025-137394"/>
    <d v="2023-07-01T00:00:00"/>
    <x v="2"/>
    <x v="1"/>
    <x v="3"/>
    <d v="2023-06-01T00:00:00"/>
    <d v="2023-06-08T00:00:00"/>
    <d v="2023-06-08T00:00:00"/>
    <n v="7"/>
    <x v="1"/>
    <x v="1"/>
    <s v="Frankfurt"/>
    <s v="Consumer"/>
    <x v="2"/>
    <x v="3"/>
    <x v="1"/>
    <x v="120"/>
    <n v="804.17"/>
    <s v="Medium"/>
    <n v="1072.29"/>
    <n v="1072.29"/>
    <n v="3.2000000000000001E-2"/>
    <n v="5"/>
    <n v="34.313279999999999"/>
    <n v="5189.8836000000001"/>
    <n v="5155.5703199999998"/>
    <n v="4020.85"/>
    <n v="1169.0336000000002"/>
    <n v="1134.7203199999999"/>
    <n v="1.2907429026200927"/>
  </r>
  <r>
    <s v="ORD-2024-961501"/>
    <d v="2023-07-02T00:00:00"/>
    <x v="2"/>
    <x v="1"/>
    <x v="11"/>
    <d v="2023-05-10T00:00:00"/>
    <d v="2023-05-14T00:00:00"/>
    <d v="2023-05-14T00:00:00"/>
    <n v="4"/>
    <x v="0"/>
    <x v="4"/>
    <s v="Delhi"/>
    <s v="Non-Profit"/>
    <x v="0"/>
    <x v="4"/>
    <x v="3"/>
    <x v="121"/>
    <n v="622.6"/>
    <s v="Medium"/>
    <n v="833.69"/>
    <n v="833.69"/>
    <n v="0.20899999999999999"/>
    <n v="14"/>
    <n v="174.24121"/>
    <n v="9232.2830599999998"/>
    <n v="9058.0418499999996"/>
    <n v="8716.4"/>
    <n v="515.88306000000011"/>
    <n v="341.64184999999998"/>
    <n v="1.0591853356890459"/>
  </r>
  <r>
    <s v="ORD-2023-913592"/>
    <d v="2023-07-03T00:00:00"/>
    <x v="2"/>
    <x v="2"/>
    <x v="1"/>
    <d v="2024-11-12T00:00:00"/>
    <d v="2024-11-21T00:00:00"/>
    <d v="2024-11-21T00:00:00"/>
    <n v="9"/>
    <x v="0"/>
    <x v="4"/>
    <s v="Mumbai"/>
    <s v="Corporate"/>
    <x v="3"/>
    <x v="14"/>
    <x v="0"/>
    <x v="122"/>
    <n v="903.41"/>
    <s v="Medium"/>
    <n v="1860.41"/>
    <n v="1860.41"/>
    <n v="0.108"/>
    <n v="5"/>
    <n v="200.92428000000001"/>
    <n v="8297.4286000000011"/>
    <n v="8096.5043200000009"/>
    <n v="4517.05"/>
    <n v="3780.3786000000009"/>
    <n v="3579.4543200000007"/>
    <n v="1.8369131623515349"/>
  </r>
  <r>
    <s v="ORD-2024-776337"/>
    <d v="2023-07-05T00:00:00"/>
    <x v="2"/>
    <x v="1"/>
    <x v="6"/>
    <d v="2023-04-13T00:00:00"/>
    <d v="2023-04-20T00:00:00"/>
    <d v="2023-04-20T00:00:00"/>
    <n v="7"/>
    <x v="1"/>
    <x v="8"/>
    <s v="Lyon"/>
    <s v="Small Business"/>
    <x v="2"/>
    <x v="3"/>
    <x v="0"/>
    <x v="123"/>
    <n v="227.02"/>
    <s v="Low"/>
    <n v="434.72"/>
    <n v="434.72"/>
    <n v="9.8000000000000004E-2"/>
    <n v="10"/>
    <n v="42.602560000000004"/>
    <n v="3921.1744000000008"/>
    <n v="3878.571840000001"/>
    <n v="2270.2000000000003"/>
    <n v="1650.9744000000005"/>
    <n v="1608.3718400000007"/>
    <n v="1.7272374240155053"/>
  </r>
  <r>
    <s v="ORD-2023-867166"/>
    <d v="2023-07-07T00:00:00"/>
    <x v="2"/>
    <x v="2"/>
    <x v="8"/>
    <d v="2024-10-24T00:00:00"/>
    <d v="2024-10-28T00:00:00"/>
    <d v="2024-10-28T00:00:00"/>
    <n v="4"/>
    <x v="0"/>
    <x v="3"/>
    <s v="Shanghai"/>
    <s v="Small Business"/>
    <x v="0"/>
    <x v="7"/>
    <x v="4"/>
    <x v="124"/>
    <n v="1331.77"/>
    <s v="High"/>
    <n v="2606.11"/>
    <n v="2606.11"/>
    <n v="0.02"/>
    <n v="6"/>
    <n v="52.122200000000007"/>
    <n v="15323.926799999999"/>
    <n v="15271.804599999999"/>
    <n v="7990.62"/>
    <n v="7333.3067999999994"/>
    <n v="7281.1845999999996"/>
    <n v="1.9177393994458503"/>
  </r>
  <r>
    <s v="ORD-2024-732543"/>
    <d v="2023-07-08T00:00:00"/>
    <x v="2"/>
    <x v="0"/>
    <x v="6"/>
    <d v="2025-04-27T00:00:00"/>
    <d v="2025-05-17T00:00:00"/>
    <d v="2025-05-17T00:00:00"/>
    <n v="20"/>
    <x v="2"/>
    <x v="10"/>
    <s v="Austin"/>
    <s v="Corporate"/>
    <x v="3"/>
    <x v="0"/>
    <x v="1"/>
    <x v="125"/>
    <n v="932.26"/>
    <s v="Medium"/>
    <n v="1624.67"/>
    <n v="1624.67"/>
    <n v="0.23499999999999999"/>
    <n v="28"/>
    <n v="381.79744999999997"/>
    <n v="34800.431400000001"/>
    <n v="34418.633950000003"/>
    <n v="26103.279999999999"/>
    <n v="8697.1514000000025"/>
    <n v="8315.3539500000043"/>
    <n v="1.333182320382726"/>
  </r>
  <r>
    <s v="ORD-2025-474368"/>
    <d v="2023-07-09T00:00:00"/>
    <x v="2"/>
    <x v="2"/>
    <x v="6"/>
    <d v="2024-04-05T00:00:00"/>
    <d v="2024-04-09T00:00:00"/>
    <d v="2024-04-09T00:00:00"/>
    <n v="4"/>
    <x v="3"/>
    <x v="9"/>
    <s v="Lagos"/>
    <s v="Non-Profit"/>
    <x v="3"/>
    <x v="8"/>
    <x v="2"/>
    <x v="126"/>
    <n v="395.07"/>
    <s v="Medium"/>
    <n v="970.27"/>
    <n v="970.27"/>
    <n v="0.123"/>
    <n v="38"/>
    <n v="119.34321"/>
    <n v="32335.21802"/>
    <n v="32215.874810000001"/>
    <n v="15012.66"/>
    <n v="17322.55802"/>
    <n v="17203.214810000001"/>
    <n v="2.1538633406738046"/>
  </r>
  <r>
    <s v="ORD-2024-310809"/>
    <d v="2023-07-10T00:00:00"/>
    <x v="2"/>
    <x v="0"/>
    <x v="9"/>
    <d v="2025-03-10T00:00:00"/>
    <d v="2025-03-27T00:00:00"/>
    <d v="2025-03-27T00:00:00"/>
    <n v="17"/>
    <x v="2"/>
    <x v="6"/>
    <s v="Rio de Janeiro"/>
    <s v="Enterprise"/>
    <x v="3"/>
    <x v="9"/>
    <x v="4"/>
    <x v="127"/>
    <n v="996.73"/>
    <s v="Medium"/>
    <n v="1217.43"/>
    <n v="1217.43"/>
    <n v="7.0000000000000007E-2"/>
    <n v="9"/>
    <n v="85.220100000000016"/>
    <n v="10189.8891"/>
    <n v="10104.669"/>
    <n v="8970.57"/>
    <n v="1219.3191000000006"/>
    <n v="1134.0990000000002"/>
    <n v="1.1359243726987249"/>
  </r>
  <r>
    <s v="ORD-2025-331237"/>
    <d v="2023-07-14T00:00:00"/>
    <x v="2"/>
    <x v="1"/>
    <x v="0"/>
    <d v="2023-02-23T00:00:00"/>
    <d v="2023-03-18T00:00:00"/>
    <d v="2023-03-18T00:00:00"/>
    <n v="23"/>
    <x v="0"/>
    <x v="3"/>
    <s v="Beijing"/>
    <s v="Education"/>
    <x v="0"/>
    <x v="8"/>
    <x v="6"/>
    <x v="128"/>
    <n v="770.11"/>
    <s v="Medium"/>
    <n v="1667.82"/>
    <n v="1667.82"/>
    <n v="6.9000000000000006E-2"/>
    <n v="7"/>
    <n v="115.07958000000001"/>
    <n v="10869.182940000001"/>
    <n v="10754.103360000001"/>
    <n v="5390.77"/>
    <n v="5478.4129400000002"/>
    <n v="5363.3333600000005"/>
    <n v="2.0162579631481217"/>
  </r>
  <r>
    <s v="ORD-2025-680118"/>
    <d v="2023-07-14T00:00:00"/>
    <x v="2"/>
    <x v="0"/>
    <x v="9"/>
    <d v="2025-03-24T00:00:00"/>
    <d v="2025-03-25T00:00:00"/>
    <d v="2025-03-25T00:00:00"/>
    <n v="1"/>
    <x v="0"/>
    <x v="3"/>
    <s v="Beijing"/>
    <s v="Non-Profit"/>
    <x v="2"/>
    <x v="12"/>
    <x v="4"/>
    <x v="129"/>
    <n v="1133.03"/>
    <s v="High"/>
    <n v="1921.51"/>
    <n v="1921.51"/>
    <n v="0.10100000000000001"/>
    <n v="5"/>
    <n v="194.07251000000002"/>
    <n v="8637.1874499999994"/>
    <n v="8443.1149399999995"/>
    <n v="5665.15"/>
    <n v="2972.0374499999998"/>
    <n v="2777.9649399999998"/>
    <n v="1.5246176094189916"/>
  </r>
  <r>
    <s v="ORD-2023-744942"/>
    <d v="2023-07-16T00:00:00"/>
    <x v="2"/>
    <x v="2"/>
    <x v="6"/>
    <d v="2024-04-26T00:00:00"/>
    <d v="2024-04-26T00:00:00"/>
    <d v="2024-04-24T00:00:00"/>
    <n v="-2"/>
    <x v="1"/>
    <x v="7"/>
    <s v="London"/>
    <s v="Non-Profit"/>
    <x v="0"/>
    <x v="0"/>
    <x v="1"/>
    <x v="130"/>
    <n v="1232.77"/>
    <s v="Medium"/>
    <n v="891.73"/>
    <n v="891.73"/>
    <n v="0.16700000000000001"/>
    <n v="10"/>
    <n v="148.91891000000001"/>
    <n v="7428.1108999999988"/>
    <n v="7279.1919899999984"/>
    <n v="12327.7"/>
    <n v="-4899.589100000002"/>
    <n v="-5048.5080100000023"/>
    <n v="0.60255448299358338"/>
  </r>
  <r>
    <s v="ORD-2023-573656"/>
    <d v="2023-07-18T00:00:00"/>
    <x v="2"/>
    <x v="0"/>
    <x v="7"/>
    <d v="2025-09-08T00:00:00"/>
    <d v="2025-10-05T00:00:00"/>
    <d v="2025-10-05T00:00:00"/>
    <n v="27"/>
    <x v="2"/>
    <x v="6"/>
    <s v="Rio de Janeiro"/>
    <s v="Education"/>
    <x v="2"/>
    <x v="4"/>
    <x v="3"/>
    <x v="131"/>
    <n v="660.78"/>
    <s v="Medium"/>
    <n v="1630.39"/>
    <n v="1630.39"/>
    <n v="0.218"/>
    <n v="13"/>
    <n v="355.42502000000002"/>
    <n v="16574.544740000001"/>
    <n v="16219.119720000001"/>
    <n v="8590.14"/>
    <n v="7984.4047400000018"/>
    <n v="7628.9797200000012"/>
    <n v="1.929484820969158"/>
  </r>
  <r>
    <s v="ORD-2024-567435"/>
    <d v="2023-07-18T00:00:00"/>
    <x v="2"/>
    <x v="1"/>
    <x v="11"/>
    <d v="2023-05-02T00:00:00"/>
    <d v="2023-05-16T00:00:00"/>
    <d v="2023-05-16T00:00:00"/>
    <n v="14"/>
    <x v="0"/>
    <x v="4"/>
    <s v="Bengaluru"/>
    <s v="Non-Profit"/>
    <x v="1"/>
    <x v="1"/>
    <x v="3"/>
    <x v="132"/>
    <n v="475.37"/>
    <s v="Medium"/>
    <n v="963.73"/>
    <n v="963.73"/>
    <n v="4.1000000000000002E-2"/>
    <n v="22"/>
    <n v="39.512930000000004"/>
    <n v="20332.775539999999"/>
    <n v="20293.262609999998"/>
    <n v="10458.14"/>
    <n v="9874.6355399999993"/>
    <n v="9835.1226099999985"/>
    <n v="1.9442057134442645"/>
  </r>
  <r>
    <s v="ORD-2025-823055"/>
    <d v="2023-07-19T00:00:00"/>
    <x v="2"/>
    <x v="1"/>
    <x v="8"/>
    <d v="2023-10-25T00:00:00"/>
    <d v="2023-10-28T00:00:00"/>
    <d v="2023-10-28T00:00:00"/>
    <n v="3"/>
    <x v="2"/>
    <x v="6"/>
    <s v="Brasília"/>
    <s v="Corporate"/>
    <x v="0"/>
    <x v="1"/>
    <x v="5"/>
    <x v="133"/>
    <n v="509.31"/>
    <s v="Medium"/>
    <n v="1145.9000000000001"/>
    <n v="1145.9000000000001"/>
    <n v="5.7000000000000002E-2"/>
    <n v="8"/>
    <n v="65.316300000000012"/>
    <n v="8644.6696000000011"/>
    <n v="8579.3533000000007"/>
    <n v="4074.48"/>
    <n v="4570.1896000000015"/>
    <n v="4504.8733000000011"/>
    <n v="2.1216620525809433"/>
  </r>
  <r>
    <s v="ORD-2023-406606"/>
    <d v="2023-07-22T00:00:00"/>
    <x v="2"/>
    <x v="2"/>
    <x v="7"/>
    <d v="2024-09-09T00:00:00"/>
    <d v="2024-09-13T00:00:00"/>
    <d v="2024-09-13T00:00:00"/>
    <n v="4"/>
    <x v="1"/>
    <x v="7"/>
    <s v="London"/>
    <s v="Consumer"/>
    <x v="4"/>
    <x v="9"/>
    <x v="4"/>
    <x v="134"/>
    <n v="1133.08"/>
    <s v="Medium"/>
    <n v="976.17"/>
    <n v="976.17"/>
    <n v="4.2000000000000003E-2"/>
    <n v="27"/>
    <n v="40.999140000000004"/>
    <n v="25249.613219999999"/>
    <n v="25208.614079999999"/>
    <n v="30593.159999999996"/>
    <n v="-5343.5467799999969"/>
    <n v="-5384.5459199999968"/>
    <n v="0.82533524552547044"/>
  </r>
  <r>
    <s v="ORD-2023-434071"/>
    <d v="2023-07-24T00:00:00"/>
    <x v="2"/>
    <x v="2"/>
    <x v="4"/>
    <d v="2024-08-04T00:00:00"/>
    <d v="2024-08-17T00:00:00"/>
    <d v="2024-08-17T00:00:00"/>
    <n v="13"/>
    <x v="2"/>
    <x v="10"/>
    <s v="Austin"/>
    <s v="Consumer"/>
    <x v="1"/>
    <x v="10"/>
    <x v="3"/>
    <x v="135"/>
    <n v="352.79"/>
    <s v="Medium"/>
    <n v="754.22"/>
    <n v="754.22"/>
    <n v="0.113"/>
    <n v="7"/>
    <n v="85.226860000000002"/>
    <n v="4682.9519799999998"/>
    <n v="4597.7251200000001"/>
    <n v="2469.5300000000002"/>
    <n v="2213.4219799999996"/>
    <n v="2128.1951199999999"/>
    <n v="1.8962928087530824"/>
  </r>
  <r>
    <s v="ORD-2024-728474"/>
    <d v="2023-07-24T00:00:00"/>
    <x v="2"/>
    <x v="1"/>
    <x v="3"/>
    <d v="2023-06-20T00:00:00"/>
    <d v="2023-07-04T00:00:00"/>
    <d v="2023-07-04T00:00:00"/>
    <n v="14"/>
    <x v="2"/>
    <x v="6"/>
    <s v="Brasília"/>
    <s v="Non-Profit"/>
    <x v="3"/>
    <x v="4"/>
    <x v="4"/>
    <x v="136"/>
    <n v="1292.8599999999999"/>
    <s v="High"/>
    <n v="2981.01"/>
    <n v="2981.01"/>
    <n v="0.14199999999999999"/>
    <n v="12"/>
    <n v="423.30342000000002"/>
    <n v="30692.47896"/>
    <n v="30269.17554"/>
    <n v="15514.32"/>
    <n v="15178.158960000001"/>
    <n v="14754.85554"/>
    <n v="1.9783322092105875"/>
  </r>
  <r>
    <s v="ORD-2024-433936"/>
    <d v="2023-07-25T00:00:00"/>
    <x v="2"/>
    <x v="2"/>
    <x v="11"/>
    <d v="2024-05-27T00:00:00"/>
    <d v="2024-06-17T00:00:00"/>
    <d v="2024-06-17T00:00:00"/>
    <n v="21"/>
    <x v="0"/>
    <x v="4"/>
    <s v="Delhi"/>
    <s v="Small Business"/>
    <x v="2"/>
    <x v="14"/>
    <x v="5"/>
    <x v="137"/>
    <n v="465.02"/>
    <s v="Medium"/>
    <n v="651.55999999999995"/>
    <n v="651.55999999999995"/>
    <n v="4.2000000000000003E-2"/>
    <n v="19"/>
    <n v="27.36552"/>
    <n v="11859.695119999998"/>
    <n v="11832.329599999999"/>
    <n v="8835.3799999999992"/>
    <n v="3024.3151199999993"/>
    <n v="2996.9495999999999"/>
    <n v="1.3422959872693647"/>
  </r>
  <r>
    <s v="ORD-2024-578646"/>
    <d v="2023-07-26T00:00:00"/>
    <x v="2"/>
    <x v="2"/>
    <x v="9"/>
    <d v="2024-03-01T00:00:00"/>
    <d v="2024-03-01T00:00:00"/>
    <d v="2024-02-29T00:00:00"/>
    <n v="-1"/>
    <x v="2"/>
    <x v="6"/>
    <s v="São Paulo"/>
    <s v="Non-Profit"/>
    <x v="3"/>
    <x v="7"/>
    <x v="1"/>
    <x v="138"/>
    <n v="5.34"/>
    <s v="Low"/>
    <n v="12.69"/>
    <n v="12.69"/>
    <n v="0.13200000000000001"/>
    <n v="10"/>
    <n v="1.6750799999999999"/>
    <n v="110.14919999999999"/>
    <n v="108.47412"/>
    <n v="53.4"/>
    <n v="56.749199999999995"/>
    <n v="55.074120000000001"/>
    <n v="2.0627191011235952"/>
  </r>
  <r>
    <s v="ORD-2025-703623"/>
    <d v="2023-07-30T00:00:00"/>
    <x v="2"/>
    <x v="2"/>
    <x v="4"/>
    <d v="2024-08-19T00:00:00"/>
    <d v="2024-09-07T00:00:00"/>
    <d v="2024-09-07T00:00:00"/>
    <n v="19"/>
    <x v="1"/>
    <x v="8"/>
    <s v="Lyon"/>
    <s v="Corporate"/>
    <x v="3"/>
    <x v="5"/>
    <x v="2"/>
    <x v="139"/>
    <n v="297.58999999999997"/>
    <s v="Medium"/>
    <n v="666.41"/>
    <n v="666.41"/>
    <n v="0"/>
    <n v="10"/>
    <n v="0"/>
    <n v="6664.0999999999995"/>
    <n v="6664.0999999999995"/>
    <n v="2975.8999999999996"/>
    <n v="3688.2"/>
    <n v="3688.2"/>
    <n v="2.2393561611613295"/>
  </r>
  <r>
    <s v="ORD-2024-516704"/>
    <d v="2023-07-30T00:00:00"/>
    <x v="2"/>
    <x v="0"/>
    <x v="5"/>
    <d v="2025-07-23T00:00:00"/>
    <d v="2025-08-19T00:00:00"/>
    <d v="2025-08-19T00:00:00"/>
    <n v="27"/>
    <x v="0"/>
    <x v="0"/>
    <s v="Nagoya"/>
    <s v="Consumer"/>
    <x v="4"/>
    <x v="11"/>
    <x v="5"/>
    <x v="140"/>
    <n v="896.09"/>
    <s v="Medium"/>
    <n v="744.27"/>
    <n v="744.27"/>
    <n v="8.3000000000000004E-2"/>
    <n v="11"/>
    <n v="61.774410000000003"/>
    <n v="7507.4514899999995"/>
    <n v="7445.6770799999995"/>
    <n v="9856.99"/>
    <n v="-2349.5385100000003"/>
    <n v="-2411.3129200000003"/>
    <n v="0.7616373243758997"/>
  </r>
  <r>
    <s v="ORD-2024-792353"/>
    <d v="2023-08-02T00:00:00"/>
    <x v="2"/>
    <x v="2"/>
    <x v="6"/>
    <d v="2024-04-21T00:00:00"/>
    <d v="2024-05-19T00:00:00"/>
    <d v="2024-05-19T00:00:00"/>
    <n v="28"/>
    <x v="3"/>
    <x v="9"/>
    <s v="Lagos"/>
    <s v="Corporate"/>
    <x v="0"/>
    <x v="3"/>
    <x v="5"/>
    <x v="141"/>
    <n v="187.22"/>
    <s v="Low"/>
    <n v="309.47000000000003"/>
    <n v="309.47000000000003"/>
    <n v="0"/>
    <n v="5"/>
    <n v="0"/>
    <n v="1547.3500000000001"/>
    <n v="1547.3500000000001"/>
    <n v="936.1"/>
    <n v="611.25000000000011"/>
    <n v="611.25000000000011"/>
    <n v="1.6529751094968488"/>
  </r>
  <r>
    <s v="ORD-2024-973420"/>
    <d v="2023-08-03T00:00:00"/>
    <x v="2"/>
    <x v="2"/>
    <x v="1"/>
    <d v="2024-11-17T00:00:00"/>
    <d v="2024-11-28T00:00:00"/>
    <d v="2024-11-28T00:00:00"/>
    <n v="11"/>
    <x v="2"/>
    <x v="2"/>
    <s v="Montreal"/>
    <s v="Consumer"/>
    <x v="0"/>
    <x v="3"/>
    <x v="6"/>
    <x v="142"/>
    <n v="1008.16"/>
    <s v="High"/>
    <n v="2077.5"/>
    <n v="2077.5"/>
    <n v="7.3999999999999996E-2"/>
    <n v="15"/>
    <n v="153.73499999999999"/>
    <n v="28856.475000000002"/>
    <n v="28702.74"/>
    <n v="15122.4"/>
    <n v="13734.075000000003"/>
    <n v="13580.340000000002"/>
    <n v="1.9081941358514523"/>
  </r>
  <r>
    <s v="ORD-2025-254721"/>
    <d v="2023-08-03T00:00:00"/>
    <x v="2"/>
    <x v="2"/>
    <x v="11"/>
    <d v="2024-05-12T00:00:00"/>
    <d v="2024-05-24T00:00:00"/>
    <d v="2024-05-24T00:00:00"/>
    <n v="12"/>
    <x v="1"/>
    <x v="7"/>
    <s v="Manchester"/>
    <s v="Education"/>
    <x v="4"/>
    <x v="8"/>
    <x v="6"/>
    <x v="143"/>
    <n v="111.02"/>
    <s v="Low"/>
    <n v="172.88"/>
    <n v="172.88"/>
    <n v="0.19700000000000001"/>
    <n v="29"/>
    <n v="34.057360000000003"/>
    <n v="4025.8565599999993"/>
    <n v="3991.7991999999995"/>
    <n v="3219.58"/>
    <n v="806.27655999999934"/>
    <n v="772.21919999999955"/>
    <n v="1.2504291118717346"/>
  </r>
  <r>
    <s v="ORD-2024-247032"/>
    <d v="2023-08-03T00:00:00"/>
    <x v="2"/>
    <x v="0"/>
    <x v="11"/>
    <d v="2025-05-15T00:00:00"/>
    <d v="2025-06-05T00:00:00"/>
    <d v="2025-06-05T00:00:00"/>
    <n v="21"/>
    <x v="0"/>
    <x v="0"/>
    <s v="Osaka"/>
    <s v="Enterprise"/>
    <x v="3"/>
    <x v="14"/>
    <x v="1"/>
    <x v="144"/>
    <n v="1466.5"/>
    <s v="High"/>
    <n v="2778.74"/>
    <n v="2778.74"/>
    <n v="0.13500000000000001"/>
    <n v="4"/>
    <n v="375.12990000000002"/>
    <n v="9614.4403999999995"/>
    <n v="9239.3104999999996"/>
    <n v="5866"/>
    <n v="3748.4403999999995"/>
    <n v="3373.3104999999996"/>
    <n v="1.6390113194681213"/>
  </r>
  <r>
    <s v="ORD-2024-371409"/>
    <d v="2023-08-04T00:00:00"/>
    <x v="2"/>
    <x v="1"/>
    <x v="8"/>
    <d v="2023-10-25T00:00:00"/>
    <d v="2023-11-24T00:00:00"/>
    <d v="2023-11-24T00:00:00"/>
    <n v="30"/>
    <x v="1"/>
    <x v="8"/>
    <s v="Paris"/>
    <s v="Enterprise"/>
    <x v="0"/>
    <x v="4"/>
    <x v="1"/>
    <x v="145"/>
    <n v="287.85000000000002"/>
    <s v="Medium"/>
    <n v="602.91999999999996"/>
    <n v="602.91999999999996"/>
    <n v="0.222"/>
    <n v="11"/>
    <n v="133.84824"/>
    <n v="5159.7893599999998"/>
    <n v="5025.9411199999995"/>
    <n v="3166.3500000000004"/>
    <n v="1993.4393599999994"/>
    <n v="1859.5911199999991"/>
    <n v="1.6295701233281221"/>
  </r>
  <r>
    <s v="ORD-2023-597666"/>
    <d v="2023-08-08T00:00:00"/>
    <x v="2"/>
    <x v="2"/>
    <x v="2"/>
    <d v="2024-12-08T00:00:00"/>
    <d v="2024-12-08T00:00:00"/>
    <d v="2024-12-08T00:00:00"/>
    <n v="0"/>
    <x v="1"/>
    <x v="8"/>
    <s v="Lyon"/>
    <s v="Enterprise"/>
    <x v="1"/>
    <x v="14"/>
    <x v="2"/>
    <x v="146"/>
    <n v="257.44"/>
    <s v="Low"/>
    <n v="290.33"/>
    <n v="290.33"/>
    <n v="9.1999999999999998E-2"/>
    <n v="23"/>
    <n v="26.710359999999998"/>
    <n v="6063.2517199999993"/>
    <n v="6036.5413599999993"/>
    <n v="5921.12"/>
    <n v="142.1317199999994"/>
    <n v="115.42135999999937"/>
    <n v="1.0240041951522685"/>
  </r>
  <r>
    <s v="ORD-2024-382152"/>
    <d v="2023-08-10T00:00:00"/>
    <x v="2"/>
    <x v="1"/>
    <x v="4"/>
    <d v="2023-08-10T00:00:00"/>
    <d v="2023-08-15T00:00:00"/>
    <d v="2023-08-15T00:00:00"/>
    <n v="5"/>
    <x v="2"/>
    <x v="6"/>
    <s v="São Paulo"/>
    <s v="Education"/>
    <x v="3"/>
    <x v="12"/>
    <x v="4"/>
    <x v="147"/>
    <n v="1307.52"/>
    <s v="High"/>
    <n v="1921.65"/>
    <n v="1921.65"/>
    <n v="0.123"/>
    <n v="13"/>
    <n v="236.36295000000001"/>
    <n v="21908.731650000002"/>
    <n v="21672.368700000003"/>
    <n v="16997.759999999998"/>
    <n v="4910.9716500000031"/>
    <n v="4674.6087000000043"/>
    <n v="1.2889187545888401"/>
  </r>
  <r>
    <s v="ORD-2023-867175"/>
    <d v="2023-08-12T00:00:00"/>
    <x v="2"/>
    <x v="0"/>
    <x v="6"/>
    <d v="2025-04-28T00:00:00"/>
    <d v="2025-05-19T00:00:00"/>
    <d v="2025-05-19T00:00:00"/>
    <n v="21"/>
    <x v="1"/>
    <x v="1"/>
    <s v="Berlin"/>
    <s v="Corporate"/>
    <x v="0"/>
    <x v="11"/>
    <x v="1"/>
    <x v="148"/>
    <n v="350.76"/>
    <s v="Low"/>
    <n v="492.18"/>
    <n v="492.18"/>
    <n v="5.2999999999999999E-2"/>
    <n v="11"/>
    <n v="26.085539999999998"/>
    <n v="5127.0390600000001"/>
    <n v="5100.95352"/>
    <n v="3858.3599999999997"/>
    <n v="1268.6790600000004"/>
    <n v="1242.5935200000004"/>
    <n v="1.3288130345535409"/>
  </r>
  <r>
    <s v="ORD-2025-417336"/>
    <d v="2023-08-15T00:00:00"/>
    <x v="2"/>
    <x v="2"/>
    <x v="7"/>
    <d v="2024-09-03T00:00:00"/>
    <d v="2024-09-07T00:00:00"/>
    <d v="2024-09-07T00:00:00"/>
    <n v="4"/>
    <x v="0"/>
    <x v="0"/>
    <s v="Tokyo"/>
    <s v="Small Business"/>
    <x v="0"/>
    <x v="0"/>
    <x v="6"/>
    <x v="149"/>
    <n v="43.23"/>
    <s v="Low"/>
    <n v="94.78"/>
    <n v="94.78"/>
    <n v="9.0999999999999998E-2"/>
    <n v="55"/>
    <n v="8.6249800000000008"/>
    <n v="4738.5261"/>
    <n v="4729.9011200000004"/>
    <n v="2377.6499999999996"/>
    <n v="2360.8761000000004"/>
    <n v="2352.2511200000008"/>
    <n v="1.9929451769604445"/>
  </r>
  <r>
    <s v="ORD-2025-252117"/>
    <d v="2023-08-15T00:00:00"/>
    <x v="2"/>
    <x v="0"/>
    <x v="4"/>
    <d v="2025-08-30T00:00:00"/>
    <d v="2025-09-03T00:00:00"/>
    <d v="2025-09-03T00:00:00"/>
    <n v="4"/>
    <x v="1"/>
    <x v="8"/>
    <s v="Marseille"/>
    <s v="Small Business"/>
    <x v="4"/>
    <x v="5"/>
    <x v="0"/>
    <x v="150"/>
    <n v="1286.56"/>
    <s v="High"/>
    <n v="2777.35"/>
    <n v="2777.35"/>
    <n v="0.13200000000000001"/>
    <n v="15"/>
    <n v="366.61020000000002"/>
    <n v="36161.097000000002"/>
    <n v="35794.486799999999"/>
    <n v="19298.399999999998"/>
    <n v="16862.697000000004"/>
    <n v="16496.086800000001"/>
    <n v="1.873787308792439"/>
  </r>
  <r>
    <s v="ORD-2024-207792"/>
    <d v="2023-08-17T00:00:00"/>
    <x v="2"/>
    <x v="2"/>
    <x v="10"/>
    <d v="2024-01-02T00:00:00"/>
    <d v="2024-01-15T00:00:00"/>
    <d v="2024-01-15T00:00:00"/>
    <n v="13"/>
    <x v="0"/>
    <x v="0"/>
    <s v="Nagoya"/>
    <s v="Small Business"/>
    <x v="4"/>
    <x v="12"/>
    <x v="4"/>
    <x v="151"/>
    <n v="1219.06"/>
    <s v="High"/>
    <n v="2738.69"/>
    <n v="2738.69"/>
    <n v="7.5999999999999998E-2"/>
    <n v="16"/>
    <n v="208.14044000000001"/>
    <n v="40488.792960000006"/>
    <n v="40280.652520000003"/>
    <n v="19504.96"/>
    <n v="20983.832960000007"/>
    <n v="20775.692520000004"/>
    <n v="2.0758203533870363"/>
  </r>
  <r>
    <s v="ORD-2023-569862"/>
    <d v="2023-08-19T00:00:00"/>
    <x v="2"/>
    <x v="1"/>
    <x v="9"/>
    <d v="2023-03-14T00:00:00"/>
    <d v="2023-03-18T00:00:00"/>
    <d v="2023-03-18T00:00:00"/>
    <n v="4"/>
    <x v="1"/>
    <x v="1"/>
    <s v="Frankfurt"/>
    <s v="Enterprise"/>
    <x v="3"/>
    <x v="3"/>
    <x v="2"/>
    <x v="152"/>
    <n v="472.33"/>
    <s v="Low"/>
    <n v="360.34"/>
    <n v="360.34"/>
    <n v="0.16500000000000001"/>
    <n v="14"/>
    <n v="59.456099999999999"/>
    <n v="4212.3745999999992"/>
    <n v="4152.9184999999989"/>
    <n v="6612.62"/>
    <n v="-2400.2454000000007"/>
    <n v="-2459.701500000001"/>
    <n v="0.63702051531768034"/>
  </r>
  <r>
    <s v="ORD-2023-609394"/>
    <d v="2023-08-19T00:00:00"/>
    <x v="2"/>
    <x v="1"/>
    <x v="5"/>
    <d v="2023-07-16T00:00:00"/>
    <d v="2023-08-13T00:00:00"/>
    <d v="2023-08-13T00:00:00"/>
    <n v="28"/>
    <x v="1"/>
    <x v="7"/>
    <s v="Manchester"/>
    <s v="Non-Profit"/>
    <x v="2"/>
    <x v="5"/>
    <x v="0"/>
    <x v="153"/>
    <n v="1039.03"/>
    <s v="High"/>
    <n v="2545.81"/>
    <n v="2545.81"/>
    <n v="0.216"/>
    <n v="21"/>
    <n v="549.89495999999997"/>
    <n v="41914.215840000004"/>
    <n v="41364.320880000007"/>
    <n v="21819.63"/>
    <n v="20094.585840000003"/>
    <n v="19544.690880000006"/>
    <n v="1.9209407235594738"/>
  </r>
  <r>
    <s v="ORD-2024-105586"/>
    <d v="2023-08-19T00:00:00"/>
    <x v="2"/>
    <x v="1"/>
    <x v="6"/>
    <d v="2023-04-16T00:00:00"/>
    <d v="2023-04-19T00:00:00"/>
    <d v="2023-04-19T00:00:00"/>
    <n v="3"/>
    <x v="1"/>
    <x v="1"/>
    <s v="Munich"/>
    <s v="Corporate"/>
    <x v="3"/>
    <x v="11"/>
    <x v="5"/>
    <x v="154"/>
    <n v="553.61"/>
    <s v="Medium"/>
    <n v="699.47"/>
    <n v="699.47"/>
    <n v="0.02"/>
    <n v="33"/>
    <n v="13.989400000000002"/>
    <n v="22620.859800000002"/>
    <n v="22606.870400000003"/>
    <n v="18269.13"/>
    <n v="4351.729800000001"/>
    <n v="4337.7404000000024"/>
    <n v="1.2382012608153754"/>
  </r>
  <r>
    <s v="ORD-2023-799597"/>
    <d v="2023-08-21T00:00:00"/>
    <x v="2"/>
    <x v="2"/>
    <x v="11"/>
    <d v="2024-05-10T00:00:00"/>
    <d v="2024-05-16T00:00:00"/>
    <d v="2024-05-16T00:00:00"/>
    <n v="6"/>
    <x v="1"/>
    <x v="7"/>
    <s v="Birmingham"/>
    <s v="Non-Profit"/>
    <x v="3"/>
    <x v="12"/>
    <x v="0"/>
    <x v="155"/>
    <n v="210.76"/>
    <s v="Low"/>
    <n v="221.58"/>
    <n v="221.58"/>
    <n v="8.8999999999999996E-2"/>
    <n v="5"/>
    <n v="19.72062"/>
    <n v="1009.2969000000002"/>
    <n v="989.57628000000011"/>
    <n v="1053.8"/>
    <n v="-44.50309999999979"/>
    <n v="-64.223719999999844"/>
    <n v="0.95776893148605069"/>
  </r>
  <r>
    <s v="ORD-2024-641220"/>
    <d v="2023-08-23T00:00:00"/>
    <x v="2"/>
    <x v="1"/>
    <x v="11"/>
    <d v="2023-05-23T00:00:00"/>
    <d v="2023-05-25T00:00:00"/>
    <d v="2023-05-25T00:00:00"/>
    <n v="2"/>
    <x v="2"/>
    <x v="6"/>
    <s v="Rio de Janeiro"/>
    <s v="Enterprise"/>
    <x v="1"/>
    <x v="13"/>
    <x v="6"/>
    <x v="156"/>
    <n v="690.49"/>
    <s v="Medium"/>
    <n v="1290.29"/>
    <n v="1290.29"/>
    <n v="4.2000000000000003E-2"/>
    <n v="22"/>
    <n v="54.19218"/>
    <n v="27194.152039999997"/>
    <n v="27139.959859999999"/>
    <n v="15190.78"/>
    <n v="12003.372039999997"/>
    <n v="11949.179859999998"/>
    <n v="1.7901748323654214"/>
  </r>
  <r>
    <s v="ORD-2023-588455"/>
    <d v="2023-08-24T00:00:00"/>
    <x v="2"/>
    <x v="0"/>
    <x v="4"/>
    <d v="2025-08-13T00:00:00"/>
    <d v="2025-09-03T00:00:00"/>
    <d v="2025-09-03T00:00:00"/>
    <n v="21"/>
    <x v="1"/>
    <x v="8"/>
    <s v="Paris"/>
    <s v="Education"/>
    <x v="1"/>
    <x v="7"/>
    <x v="1"/>
    <x v="157"/>
    <n v="603.47"/>
    <s v="Medium"/>
    <n v="1344.05"/>
    <n v="1344.05"/>
    <n v="0.20499999999999999"/>
    <n v="18"/>
    <n v="275.53024999999997"/>
    <n v="19233.355499999998"/>
    <n v="18957.825249999998"/>
    <n v="10862.460000000001"/>
    <n v="8370.8954999999969"/>
    <n v="8095.3652499999971"/>
    <n v="1.770626128887931"/>
  </r>
  <r>
    <s v="ORD-2025-683043"/>
    <d v="2023-08-25T00:00:00"/>
    <x v="2"/>
    <x v="2"/>
    <x v="0"/>
    <d v="2024-02-06T00:00:00"/>
    <d v="2024-02-28T00:00:00"/>
    <d v="2024-02-28T00:00:00"/>
    <n v="22"/>
    <x v="3"/>
    <x v="5"/>
    <s v="Kisumu"/>
    <s v="Non-Profit"/>
    <x v="2"/>
    <x v="8"/>
    <x v="3"/>
    <x v="158"/>
    <n v="834.93"/>
    <s v="Medium"/>
    <n v="1588.53"/>
    <n v="1588.53"/>
    <n v="0.126"/>
    <n v="6"/>
    <n v="200.15477999999999"/>
    <n v="8330.2513199999994"/>
    <n v="8130.0965399999995"/>
    <n v="5009.58"/>
    <n v="3320.6713199999995"/>
    <n v="3120.5165399999996"/>
    <n v="1.6628642161618339"/>
  </r>
  <r>
    <s v="ORD-2024-647571"/>
    <d v="2023-08-26T00:00:00"/>
    <x v="2"/>
    <x v="0"/>
    <x v="5"/>
    <d v="2025-07-03T00:00:00"/>
    <d v="2025-07-23T00:00:00"/>
    <d v="2025-07-23T00:00:00"/>
    <n v="20"/>
    <x v="0"/>
    <x v="3"/>
    <s v="Beijing"/>
    <s v="Small Business"/>
    <x v="2"/>
    <x v="13"/>
    <x v="2"/>
    <x v="159"/>
    <n v="647.36"/>
    <s v="Medium"/>
    <n v="1383.6"/>
    <n v="1383.6"/>
    <n v="7.3999999999999996E-2"/>
    <n v="12"/>
    <n v="102.38639999999999"/>
    <n v="15374.563199999999"/>
    <n v="15272.176799999999"/>
    <n v="7768.32"/>
    <n v="7606.243199999999"/>
    <n v="7503.8567999999996"/>
    <n v="1.9791361838853188"/>
  </r>
  <r>
    <s v="ORD-2025-779659"/>
    <d v="2023-08-27T00:00:00"/>
    <x v="2"/>
    <x v="1"/>
    <x v="4"/>
    <d v="2023-08-29T00:00:00"/>
    <d v="2023-09-19T00:00:00"/>
    <d v="2023-09-19T00:00:00"/>
    <n v="21"/>
    <x v="1"/>
    <x v="8"/>
    <s v="Lyon"/>
    <s v="Small Business"/>
    <x v="3"/>
    <x v="11"/>
    <x v="6"/>
    <x v="160"/>
    <n v="784.46"/>
    <s v="Medium"/>
    <n v="1843.51"/>
    <n v="1843.51"/>
    <n v="0.13800000000000001"/>
    <n v="23"/>
    <n v="254.40438000000003"/>
    <n v="36549.429260000004"/>
    <n v="36295.024880000004"/>
    <n v="18042.580000000002"/>
    <n v="18506.849260000003"/>
    <n v="18252.444880000003"/>
    <n v="2.0257318665068964"/>
  </r>
  <r>
    <s v="ORD-2023-931633"/>
    <d v="2023-08-29T00:00:00"/>
    <x v="2"/>
    <x v="0"/>
    <x v="9"/>
    <d v="2025-03-23T00:00:00"/>
    <d v="2025-04-02T00:00:00"/>
    <d v="2025-04-02T00:00:00"/>
    <n v="10"/>
    <x v="1"/>
    <x v="1"/>
    <s v="Berlin"/>
    <s v="Enterprise"/>
    <x v="2"/>
    <x v="2"/>
    <x v="6"/>
    <x v="161"/>
    <n v="663.61"/>
    <s v="Medium"/>
    <n v="1002.11"/>
    <n v="1002.11"/>
    <n v="4.5999999999999999E-2"/>
    <n v="17"/>
    <n v="46.097059999999999"/>
    <n v="16252.219979999998"/>
    <n v="16206.122919999998"/>
    <n v="11281.37"/>
    <n v="4970.8499799999972"/>
    <n v="4924.7529199999972"/>
    <n v="1.4406246741308899"/>
  </r>
  <r>
    <s v="ORD-2023-243704"/>
    <d v="2023-08-29T00:00:00"/>
    <x v="2"/>
    <x v="1"/>
    <x v="11"/>
    <d v="2023-05-14T00:00:00"/>
    <d v="2023-05-22T00:00:00"/>
    <d v="2023-05-22T00:00:00"/>
    <n v="8"/>
    <x v="3"/>
    <x v="5"/>
    <s v="Mombasa"/>
    <s v="Small Business"/>
    <x v="0"/>
    <x v="9"/>
    <x v="6"/>
    <x v="162"/>
    <n v="432.01"/>
    <s v="Medium"/>
    <n v="913.78"/>
    <n v="913.78"/>
    <n v="4.9000000000000002E-2"/>
    <n v="12"/>
    <n v="44.775219999999997"/>
    <n v="10428.057360000001"/>
    <n v="10383.282140000001"/>
    <n v="5184.12"/>
    <n v="5243.9373600000008"/>
    <n v="5199.1621400000013"/>
    <n v="2.0115385754959378"/>
  </r>
  <r>
    <s v="ORD-2025-795385"/>
    <d v="2023-08-30T00:00:00"/>
    <x v="2"/>
    <x v="1"/>
    <x v="2"/>
    <d v="2023-12-18T00:00:00"/>
    <d v="2024-01-14T00:00:00"/>
    <d v="2024-01-14T00:00:00"/>
    <n v="27"/>
    <x v="0"/>
    <x v="4"/>
    <s v="Mumbai"/>
    <s v="Consumer"/>
    <x v="0"/>
    <x v="10"/>
    <x v="4"/>
    <x v="163"/>
    <n v="1408.3"/>
    <s v="High"/>
    <n v="2193.13"/>
    <n v="2193.13"/>
    <n v="7.0999999999999994E-2"/>
    <n v="7"/>
    <n v="155.71223000000001"/>
    <n v="14261.92439"/>
    <n v="14106.212160000001"/>
    <n v="9858.1"/>
    <n v="4403.8243899999998"/>
    <n v="4248.1121600000006"/>
    <n v="1.4467214158915003"/>
  </r>
  <r>
    <s v="ORD-2025-947929"/>
    <d v="2023-08-30T00:00:00"/>
    <x v="2"/>
    <x v="0"/>
    <x v="3"/>
    <d v="2025-06-01T00:00:00"/>
    <d v="2025-06-05T00:00:00"/>
    <d v="2025-06-05T00:00:00"/>
    <n v="4"/>
    <x v="1"/>
    <x v="1"/>
    <s v="Munich"/>
    <s v="Enterprise"/>
    <x v="3"/>
    <x v="13"/>
    <x v="2"/>
    <x v="164"/>
    <n v="1171.42"/>
    <s v="High"/>
    <n v="2187.8000000000002"/>
    <n v="2187.8000000000002"/>
    <n v="0.23"/>
    <n v="15"/>
    <n v="503.19400000000007"/>
    <n v="25269.09"/>
    <n v="24765.896000000001"/>
    <n v="17571.300000000003"/>
    <n v="7697.7899999999972"/>
    <n v="7194.5959999999977"/>
    <n v="1.4380888152840141"/>
  </r>
  <r>
    <s v="ORD-2024-787018"/>
    <d v="2023-09-08T00:00:00"/>
    <x v="2"/>
    <x v="2"/>
    <x v="1"/>
    <d v="2024-11-22T00:00:00"/>
    <d v="2024-12-15T00:00:00"/>
    <d v="2024-12-15T00:00:00"/>
    <n v="23"/>
    <x v="3"/>
    <x v="5"/>
    <s v="Mombasa"/>
    <s v="Non-Profit"/>
    <x v="0"/>
    <x v="4"/>
    <x v="2"/>
    <x v="165"/>
    <n v="1335.76"/>
    <s v="High"/>
    <n v="2665.91"/>
    <n v="2665.91"/>
    <n v="0.21099999999999999"/>
    <n v="40"/>
    <n v="562.50700999999992"/>
    <n v="84136.119600000005"/>
    <n v="83573.612590000004"/>
    <n v="53430.400000000001"/>
    <n v="30705.719600000004"/>
    <n v="30143.212590000003"/>
    <n v="1.5746863134095945"/>
  </r>
  <r>
    <s v="ORD-2023-728177"/>
    <d v="2023-09-08T00:00:00"/>
    <x v="2"/>
    <x v="2"/>
    <x v="3"/>
    <d v="2024-06-23T00:00:00"/>
    <d v="2024-06-28T00:00:00"/>
    <d v="2024-06-28T00:00:00"/>
    <n v="5"/>
    <x v="3"/>
    <x v="9"/>
    <s v="Port Harcourt"/>
    <s v="Non-Profit"/>
    <x v="3"/>
    <x v="13"/>
    <x v="5"/>
    <x v="166"/>
    <n v="242.31"/>
    <s v="Low"/>
    <n v="587.95000000000005"/>
    <n v="587.95000000000005"/>
    <n v="0.22900000000000001"/>
    <n v="6"/>
    <n v="134.64055000000002"/>
    <n v="2719.8567000000003"/>
    <n v="2585.2161500000002"/>
    <n v="1453.8600000000001"/>
    <n v="1265.9967000000001"/>
    <n v="1131.3561500000001"/>
    <n v="1.8707830877801164"/>
  </r>
  <r>
    <s v="ORD-2024-508213"/>
    <d v="2023-09-14T00:00:00"/>
    <x v="2"/>
    <x v="0"/>
    <x v="5"/>
    <d v="2025-07-27T00:00:00"/>
    <d v="2025-08-15T00:00:00"/>
    <d v="2025-08-15T00:00:00"/>
    <n v="19"/>
    <x v="0"/>
    <x v="0"/>
    <s v="Tokyo"/>
    <s v="Small Business"/>
    <x v="4"/>
    <x v="5"/>
    <x v="2"/>
    <x v="167"/>
    <n v="275.43"/>
    <s v="Medium"/>
    <n v="608.36"/>
    <n v="608.36"/>
    <n v="0.25700000000000001"/>
    <n v="4"/>
    <n v="156.34852000000001"/>
    <n v="1808.04592"/>
    <n v="1651.6974"/>
    <n v="1101.72"/>
    <n v="706.32592"/>
    <n v="549.97739999999999"/>
    <n v="1.6411120066804632"/>
  </r>
  <r>
    <s v="ORD-2025-496178"/>
    <d v="2023-09-17T00:00:00"/>
    <x v="2"/>
    <x v="0"/>
    <x v="6"/>
    <d v="2025-04-10T00:00:00"/>
    <d v="2025-04-19T00:00:00"/>
    <d v="2025-04-19T00:00:00"/>
    <n v="9"/>
    <x v="3"/>
    <x v="11"/>
    <s v="Durban"/>
    <s v="Enterprise"/>
    <x v="3"/>
    <x v="12"/>
    <x v="4"/>
    <x v="168"/>
    <n v="113.74"/>
    <s v="Low"/>
    <n v="165.7"/>
    <n v="165.7"/>
    <n v="0.124"/>
    <n v="13"/>
    <n v="20.546799999999998"/>
    <n v="1886.9915999999998"/>
    <n v="1866.4447999999998"/>
    <n v="1478.62"/>
    <n v="408.37159999999994"/>
    <n v="387.82479999999987"/>
    <n v="1.2761842799366978"/>
  </r>
  <r>
    <s v="ORD-2025-306251"/>
    <d v="2023-09-18T00:00:00"/>
    <x v="2"/>
    <x v="2"/>
    <x v="9"/>
    <d v="2024-03-07T00:00:00"/>
    <d v="2024-04-03T00:00:00"/>
    <d v="2024-04-03T00:00:00"/>
    <n v="27"/>
    <x v="1"/>
    <x v="1"/>
    <s v="Frankfurt"/>
    <s v="Corporate"/>
    <x v="3"/>
    <x v="13"/>
    <x v="6"/>
    <x v="169"/>
    <n v="738.16"/>
    <s v="Medium"/>
    <n v="956.49"/>
    <n v="956.49"/>
    <n v="0.152"/>
    <n v="5"/>
    <n v="145.38648000000001"/>
    <n v="4055.5175999999997"/>
    <n v="3910.1311199999996"/>
    <n v="3690.7999999999997"/>
    <n v="364.71759999999995"/>
    <n v="219.33111999999983"/>
    <n v="1.0988180340305624"/>
  </r>
  <r>
    <s v="ORD-2024-356812"/>
    <d v="2023-09-19T00:00:00"/>
    <x v="2"/>
    <x v="1"/>
    <x v="11"/>
    <d v="2023-05-17T00:00:00"/>
    <d v="2023-06-15T00:00:00"/>
    <d v="2023-06-15T00:00:00"/>
    <n v="29"/>
    <x v="3"/>
    <x v="11"/>
    <s v="Durban"/>
    <s v="Enterprise"/>
    <x v="1"/>
    <x v="8"/>
    <x v="5"/>
    <x v="170"/>
    <n v="40.89"/>
    <s v="Low"/>
    <n v="62.82"/>
    <n v="62.82"/>
    <n v="0.129"/>
    <n v="17"/>
    <n v="8.1037800000000004"/>
    <n v="930.17574000000002"/>
    <n v="922.07195999999999"/>
    <n v="695.13"/>
    <n v="235.04574000000002"/>
    <n v="226.94195999999999"/>
    <n v="1.3381320616287602"/>
  </r>
  <r>
    <s v="ORD-2023-704111"/>
    <d v="2023-09-20T00:00:00"/>
    <x v="2"/>
    <x v="1"/>
    <x v="5"/>
    <d v="2023-07-09T00:00:00"/>
    <d v="2023-07-19T00:00:00"/>
    <d v="2023-07-19T00:00:00"/>
    <n v="10"/>
    <x v="0"/>
    <x v="0"/>
    <s v="Tokyo"/>
    <s v="Enterprise"/>
    <x v="0"/>
    <x v="0"/>
    <x v="2"/>
    <x v="171"/>
    <n v="141.26"/>
    <s v="Low"/>
    <n v="206.88"/>
    <n v="206.88"/>
    <n v="0.107"/>
    <n v="9"/>
    <n v="22.13616"/>
    <n v="1662.6945600000001"/>
    <n v="1640.5584000000001"/>
    <n v="1271.3399999999999"/>
    <n v="391.35456000000022"/>
    <n v="369.2184000000002"/>
    <n v="1.3078284015290955"/>
  </r>
  <r>
    <s v="ORD-2023-539967"/>
    <d v="2023-09-21T00:00:00"/>
    <x v="2"/>
    <x v="2"/>
    <x v="11"/>
    <d v="2024-05-05T00:00:00"/>
    <d v="2024-05-18T00:00:00"/>
    <d v="2024-05-18T00:00:00"/>
    <n v="13"/>
    <x v="1"/>
    <x v="8"/>
    <s v="Marseille"/>
    <s v="Corporate"/>
    <x v="4"/>
    <x v="3"/>
    <x v="2"/>
    <x v="172"/>
    <n v="1264.04"/>
    <s v="Medium"/>
    <n v="1870.89"/>
    <n v="1870.89"/>
    <n v="0"/>
    <n v="13"/>
    <n v="0"/>
    <n v="24321.57"/>
    <n v="24321.57"/>
    <n v="16432.52"/>
    <n v="7889.0499999999993"/>
    <n v="7889.0499999999993"/>
    <n v="1.4800876554539413"/>
  </r>
  <r>
    <s v="ORD-2023-191563"/>
    <d v="2023-09-25T00:00:00"/>
    <x v="2"/>
    <x v="1"/>
    <x v="11"/>
    <d v="2023-05-02T00:00:00"/>
    <d v="2023-05-19T00:00:00"/>
    <d v="2023-05-19T00:00:00"/>
    <n v="17"/>
    <x v="0"/>
    <x v="3"/>
    <s v="Shanghai"/>
    <s v="Non-Profit"/>
    <x v="3"/>
    <x v="5"/>
    <x v="3"/>
    <x v="173"/>
    <n v="714.28"/>
    <s v="Medium"/>
    <n v="757.59"/>
    <n v="757.59"/>
    <n v="0.13600000000000001"/>
    <n v="12"/>
    <n v="103.03224000000002"/>
    <n v="7854.6931199999999"/>
    <n v="7751.6608799999995"/>
    <n v="8571.36"/>
    <n v="-716.66688000000067"/>
    <n v="-819.69912000000113"/>
    <n v="0.9163881951055608"/>
  </r>
  <r>
    <s v="ORD-2024-202166"/>
    <d v="2023-09-25T00:00:00"/>
    <x v="2"/>
    <x v="1"/>
    <x v="1"/>
    <d v="2023-11-30T00:00:00"/>
    <d v="2023-12-10T00:00:00"/>
    <d v="2023-12-10T00:00:00"/>
    <n v="10"/>
    <x v="1"/>
    <x v="1"/>
    <s v="Munich"/>
    <s v="Small Business"/>
    <x v="3"/>
    <x v="9"/>
    <x v="0"/>
    <x v="174"/>
    <n v="174.74"/>
    <s v="Low"/>
    <n v="415.96"/>
    <n v="415.96"/>
    <n v="0.125"/>
    <n v="21"/>
    <n v="51.994999999999997"/>
    <n v="7643.2649999999994"/>
    <n v="7591.2699999999995"/>
    <n v="3669.54"/>
    <n v="3973.7249999999995"/>
    <n v="3921.7299999999996"/>
    <n v="2.0828945862424173"/>
  </r>
  <r>
    <s v="ORD-2023-581799"/>
    <d v="2023-09-30T00:00:00"/>
    <x v="2"/>
    <x v="2"/>
    <x v="2"/>
    <d v="2024-12-27T00:00:00"/>
    <d v="2024-12-29T00:00:00"/>
    <d v="2024-12-29T00:00:00"/>
    <n v="2"/>
    <x v="2"/>
    <x v="2"/>
    <s v="Vancouver"/>
    <s v="Enterprise"/>
    <x v="4"/>
    <x v="4"/>
    <x v="5"/>
    <x v="175"/>
    <n v="1146.72"/>
    <s v="High"/>
    <n v="2074.34"/>
    <n v="2074.34"/>
    <n v="0.111"/>
    <n v="8"/>
    <n v="230.25174000000001"/>
    <n v="14752.706080000002"/>
    <n v="14522.454340000002"/>
    <n v="9173.76"/>
    <n v="5578.9460800000015"/>
    <n v="5348.6943400000018"/>
    <n v="1.608141708525185"/>
  </r>
  <r>
    <s v="ORD-2023-880296"/>
    <d v="2023-09-30T00:00:00"/>
    <x v="2"/>
    <x v="1"/>
    <x v="2"/>
    <d v="2023-12-05T00:00:00"/>
    <d v="2023-12-12T00:00:00"/>
    <d v="2023-12-12T00:00:00"/>
    <n v="7"/>
    <x v="2"/>
    <x v="6"/>
    <s v="Brasília"/>
    <s v="Corporate"/>
    <x v="3"/>
    <x v="9"/>
    <x v="1"/>
    <x v="176"/>
    <n v="307.43"/>
    <s v="Low"/>
    <n v="495.19"/>
    <n v="495.19"/>
    <n v="0"/>
    <n v="42"/>
    <n v="0"/>
    <n v="20797.98"/>
    <n v="20797.98"/>
    <n v="12912.06"/>
    <n v="7885.92"/>
    <n v="7885.92"/>
    <n v="1.6107406564095892"/>
  </r>
  <r>
    <s v="ORD-2024-257550"/>
    <d v="2023-10-04T00:00:00"/>
    <x v="3"/>
    <x v="1"/>
    <x v="11"/>
    <d v="2023-05-24T00:00:00"/>
    <d v="2023-06-21T00:00:00"/>
    <d v="2023-06-21T00:00:00"/>
    <n v="28"/>
    <x v="2"/>
    <x v="10"/>
    <s v="Austin"/>
    <s v="Small Business"/>
    <x v="4"/>
    <x v="12"/>
    <x v="3"/>
    <x v="177"/>
    <n v="813.97"/>
    <s v="Medium"/>
    <n v="1568.83"/>
    <n v="1568.83"/>
    <n v="1.7000000000000001E-2"/>
    <n v="15"/>
    <n v="26.670110000000001"/>
    <n v="23132.398349999996"/>
    <n v="23105.728239999997"/>
    <n v="12209.550000000001"/>
    <n v="10922.848349999995"/>
    <n v="10896.178239999996"/>
    <n v="1.8946151455213331"/>
  </r>
  <r>
    <s v="ORD-2025-417942"/>
    <d v="2023-10-05T00:00:00"/>
    <x v="3"/>
    <x v="2"/>
    <x v="11"/>
    <d v="2024-05-01T00:00:00"/>
    <d v="2024-05-16T00:00:00"/>
    <d v="2024-05-16T00:00:00"/>
    <n v="15"/>
    <x v="0"/>
    <x v="4"/>
    <s v="Bengaluru"/>
    <s v="Small Business"/>
    <x v="1"/>
    <x v="1"/>
    <x v="2"/>
    <x v="178"/>
    <n v="901.19"/>
    <s v="High"/>
    <n v="2125.44"/>
    <n v="2125.44"/>
    <n v="7.0999999999999994E-2"/>
    <n v="12"/>
    <n v="150.90624"/>
    <n v="23694.405119999999"/>
    <n v="23543.498879999999"/>
    <n v="10814.28"/>
    <n v="12880.125119999999"/>
    <n v="12729.218879999999"/>
    <n v="2.1910293722744369"/>
  </r>
  <r>
    <s v="ORD-2023-172095"/>
    <d v="2023-10-05T00:00:00"/>
    <x v="3"/>
    <x v="0"/>
    <x v="3"/>
    <d v="2025-06-09T00:00:00"/>
    <d v="2025-06-24T00:00:00"/>
    <d v="2025-06-24T00:00:00"/>
    <n v="15"/>
    <x v="0"/>
    <x v="0"/>
    <s v="Nagoya"/>
    <s v="Corporate"/>
    <x v="3"/>
    <x v="11"/>
    <x v="1"/>
    <x v="179"/>
    <n v="400.39"/>
    <s v="Medium"/>
    <n v="712.75"/>
    <n v="712.75"/>
    <n v="0.115"/>
    <n v="19"/>
    <n v="81.966250000000002"/>
    <n v="11984.891250000001"/>
    <n v="11902.925000000001"/>
    <n v="7607.41"/>
    <n v="4377.4812500000007"/>
    <n v="4295.5150000000012"/>
    <n v="1.575423337246185"/>
  </r>
  <r>
    <s v="ORD-2024-851993"/>
    <d v="2023-10-07T00:00:00"/>
    <x v="3"/>
    <x v="1"/>
    <x v="10"/>
    <d v="2023-01-19T00:00:00"/>
    <d v="2023-02-03T00:00:00"/>
    <d v="2023-02-03T00:00:00"/>
    <n v="15"/>
    <x v="1"/>
    <x v="7"/>
    <s v="London"/>
    <s v="Enterprise"/>
    <x v="0"/>
    <x v="12"/>
    <x v="5"/>
    <x v="180"/>
    <n v="873.06"/>
    <s v="High"/>
    <n v="2101.5500000000002"/>
    <n v="2101.5500000000002"/>
    <n v="6.6000000000000003E-2"/>
    <n v="10"/>
    <n v="138.70230000000001"/>
    <n v="19628.476999999999"/>
    <n v="19489.774699999998"/>
    <n v="8730.5999999999985"/>
    <n v="10897.877"/>
    <n v="10759.1747"/>
    <n v="2.2482391817286329"/>
  </r>
  <r>
    <s v="ORD-2023-109927"/>
    <d v="2023-10-09T00:00:00"/>
    <x v="3"/>
    <x v="2"/>
    <x v="3"/>
    <d v="2024-06-11T00:00:00"/>
    <d v="2024-07-09T00:00:00"/>
    <d v="2024-07-09T00:00:00"/>
    <n v="28"/>
    <x v="3"/>
    <x v="9"/>
    <s v="Port Harcourt"/>
    <s v="Corporate"/>
    <x v="4"/>
    <x v="7"/>
    <x v="1"/>
    <x v="181"/>
    <n v="895.54"/>
    <s v="Medium"/>
    <n v="1045"/>
    <n v="1045"/>
    <n v="0.216"/>
    <n v="15"/>
    <n v="225.72"/>
    <n v="12289.2"/>
    <n v="12063.480000000001"/>
    <n v="13433.099999999999"/>
    <n v="-1143.8999999999978"/>
    <n v="-1369.6199999999972"/>
    <n v="0.9148446747213973"/>
  </r>
  <r>
    <s v="ORD-2023-780206"/>
    <d v="2023-10-09T00:00:00"/>
    <x v="3"/>
    <x v="1"/>
    <x v="5"/>
    <d v="2023-07-22T00:00:00"/>
    <d v="2023-07-22T00:00:00"/>
    <d v="2023-07-21T00:00:00"/>
    <n v="-1"/>
    <x v="0"/>
    <x v="4"/>
    <s v="Delhi"/>
    <s v="Small Business"/>
    <x v="0"/>
    <x v="2"/>
    <x v="6"/>
    <x v="182"/>
    <n v="946.99"/>
    <s v="High"/>
    <n v="2132.19"/>
    <n v="2132.19"/>
    <n v="0.16500000000000001"/>
    <n v="7"/>
    <n v="351.81135"/>
    <n v="12462.65055"/>
    <n v="12110.8392"/>
    <n v="6628.93"/>
    <n v="5833.72055"/>
    <n v="5481.9092000000001"/>
    <n v="1.8800395463521262"/>
  </r>
  <r>
    <s v="ORD-2024-566589"/>
    <d v="2023-10-11T00:00:00"/>
    <x v="3"/>
    <x v="2"/>
    <x v="3"/>
    <d v="2024-06-03T00:00:00"/>
    <d v="2024-06-24T00:00:00"/>
    <d v="2024-06-24T00:00:00"/>
    <n v="21"/>
    <x v="2"/>
    <x v="2"/>
    <s v="Toronto"/>
    <s v="Small Business"/>
    <x v="3"/>
    <x v="12"/>
    <x v="3"/>
    <x v="183"/>
    <n v="1205.5"/>
    <s v="High"/>
    <n v="2210.17"/>
    <n v="2210.17"/>
    <n v="0.104"/>
    <n v="23"/>
    <n v="229.85767999999999"/>
    <n v="45547.183360000003"/>
    <n v="45317.325680000002"/>
    <n v="27726.5"/>
    <n v="17820.683360000003"/>
    <n v="17590.825680000002"/>
    <n v="1.6427310825383659"/>
  </r>
  <r>
    <s v="ORD-2024-886939"/>
    <d v="2023-10-12T00:00:00"/>
    <x v="3"/>
    <x v="0"/>
    <x v="9"/>
    <d v="2025-03-30T00:00:00"/>
    <d v="2025-04-29T00:00:00"/>
    <d v="2025-04-29T00:00:00"/>
    <n v="30"/>
    <x v="3"/>
    <x v="11"/>
    <s v="Durban"/>
    <s v="Consumer"/>
    <x v="4"/>
    <x v="5"/>
    <x v="3"/>
    <x v="184"/>
    <n v="194.6"/>
    <s v="Low"/>
    <n v="314.87"/>
    <n v="314.87"/>
    <n v="0.29299999999999998"/>
    <n v="25"/>
    <n v="92.256909999999991"/>
    <n v="5565.3272500000003"/>
    <n v="5473.0703400000002"/>
    <n v="4865"/>
    <n v="700.32725000000028"/>
    <n v="608.07034000000021"/>
    <n v="1.1439521582733814"/>
  </r>
  <r>
    <s v="ORD-2025-473192"/>
    <d v="2023-10-15T00:00:00"/>
    <x v="3"/>
    <x v="1"/>
    <x v="2"/>
    <d v="2023-12-24T00:00:00"/>
    <d v="2024-01-13T00:00:00"/>
    <d v="2024-01-13T00:00:00"/>
    <n v="20"/>
    <x v="0"/>
    <x v="0"/>
    <s v="Nagoya"/>
    <s v="Education"/>
    <x v="3"/>
    <x v="11"/>
    <x v="0"/>
    <x v="185"/>
    <n v="625.37"/>
    <s v="Medium"/>
    <n v="1319.04"/>
    <n v="1319.04"/>
    <n v="7.3999999999999996E-2"/>
    <n v="8"/>
    <n v="97.608959999999996"/>
    <n v="9771.4483199999995"/>
    <n v="9673.8393599999999"/>
    <n v="5002.96"/>
    <n v="4768.4883199999995"/>
    <n v="4670.8793599999999"/>
    <n v="1.9531334090218591"/>
  </r>
  <r>
    <s v="ORD-2023-580751"/>
    <d v="2023-10-18T00:00:00"/>
    <x v="3"/>
    <x v="1"/>
    <x v="3"/>
    <d v="2023-06-13T00:00:00"/>
    <d v="2023-06-24T00:00:00"/>
    <d v="2023-06-24T00:00:00"/>
    <n v="11"/>
    <x v="2"/>
    <x v="2"/>
    <s v="Toronto"/>
    <s v="Corporate"/>
    <x v="2"/>
    <x v="4"/>
    <x v="6"/>
    <x v="186"/>
    <n v="247.07"/>
    <s v="Low"/>
    <n v="495.19"/>
    <n v="495.19"/>
    <n v="2.8000000000000001E-2"/>
    <n v="4"/>
    <n v="13.865320000000001"/>
    <n v="1925.29872"/>
    <n v="1911.4333999999999"/>
    <n v="988.28"/>
    <n v="937.01872000000003"/>
    <n v="923.15339999999992"/>
    <n v="1.9481308131298822"/>
  </r>
  <r>
    <s v="ORD-2024-510520"/>
    <d v="2023-10-21T00:00:00"/>
    <x v="3"/>
    <x v="2"/>
    <x v="4"/>
    <d v="2024-08-22T00:00:00"/>
    <d v="2024-09-04T00:00:00"/>
    <d v="2024-09-04T00:00:00"/>
    <n v="13"/>
    <x v="1"/>
    <x v="1"/>
    <s v="Frankfurt"/>
    <s v="Non-Profit"/>
    <x v="1"/>
    <x v="1"/>
    <x v="6"/>
    <x v="187"/>
    <n v="90.04"/>
    <s v="Low"/>
    <n v="194.62"/>
    <n v="194.62"/>
    <n v="4.2999999999999997E-2"/>
    <n v="32"/>
    <n v="8.3686600000000002"/>
    <n v="5960.04288"/>
    <n v="5951.6742199999999"/>
    <n v="2881.28"/>
    <n v="3078.7628799999998"/>
    <n v="3070.3942199999997"/>
    <n v="2.0685399822301198"/>
  </r>
  <r>
    <s v="ORD-2023-769774"/>
    <d v="2023-10-21T00:00:00"/>
    <x v="3"/>
    <x v="2"/>
    <x v="7"/>
    <d v="2024-09-25T00:00:00"/>
    <d v="2024-10-03T00:00:00"/>
    <d v="2024-10-03T00:00:00"/>
    <n v="8"/>
    <x v="2"/>
    <x v="2"/>
    <s v="Toronto"/>
    <s v="Consumer"/>
    <x v="2"/>
    <x v="2"/>
    <x v="6"/>
    <x v="188"/>
    <n v="558.19000000000005"/>
    <s v="Medium"/>
    <n v="1031.6400000000001"/>
    <n v="1031.6400000000001"/>
    <n v="0"/>
    <n v="21"/>
    <n v="0"/>
    <n v="21664.440000000002"/>
    <n v="21664.440000000002"/>
    <n v="11721.990000000002"/>
    <n v="9942.4500000000007"/>
    <n v="9942.4500000000007"/>
    <n v="1.8481878930113402"/>
  </r>
  <r>
    <s v="ORD-2024-745424"/>
    <d v="2023-10-22T00:00:00"/>
    <x v="3"/>
    <x v="1"/>
    <x v="7"/>
    <d v="2023-09-20T00:00:00"/>
    <d v="2023-09-28T00:00:00"/>
    <d v="2023-09-28T00:00:00"/>
    <n v="8"/>
    <x v="0"/>
    <x v="4"/>
    <s v="Bengaluru"/>
    <s v="Corporate"/>
    <x v="4"/>
    <x v="11"/>
    <x v="5"/>
    <x v="189"/>
    <n v="1362.06"/>
    <s v="High"/>
    <n v="3398.37"/>
    <n v="3398.37"/>
    <n v="0.157"/>
    <n v="11"/>
    <n v="533.54408999999998"/>
    <n v="31513.085009999999"/>
    <n v="30979.540919999999"/>
    <n v="14982.66"/>
    <n v="16530.425009999999"/>
    <n v="15996.88092"/>
    <n v="2.1033037531386283"/>
  </r>
  <r>
    <s v="ORD-2024-446030"/>
    <d v="2023-10-25T00:00:00"/>
    <x v="3"/>
    <x v="1"/>
    <x v="11"/>
    <d v="2023-05-17T00:00:00"/>
    <d v="2023-06-03T00:00:00"/>
    <d v="2023-06-03T00:00:00"/>
    <n v="17"/>
    <x v="0"/>
    <x v="3"/>
    <s v="Beijing"/>
    <s v="Non-Profit"/>
    <x v="0"/>
    <x v="13"/>
    <x v="6"/>
    <x v="190"/>
    <n v="979.59"/>
    <s v="High"/>
    <n v="2210.94"/>
    <n v="2210.94"/>
    <n v="0.15"/>
    <n v="11"/>
    <n v="331.64100000000002"/>
    <n v="20672.289000000001"/>
    <n v="20340.648000000001"/>
    <n v="10775.49"/>
    <n v="9896.7990000000009"/>
    <n v="9565.1580000000013"/>
    <n v="1.918454659602487"/>
  </r>
  <r>
    <s v="ORD-2023-842820"/>
    <d v="2023-10-25T00:00:00"/>
    <x v="3"/>
    <x v="2"/>
    <x v="9"/>
    <d v="2024-03-23T00:00:00"/>
    <d v="2024-03-26T00:00:00"/>
    <d v="2024-03-26T00:00:00"/>
    <n v="3"/>
    <x v="0"/>
    <x v="4"/>
    <s v="Bengaluru"/>
    <s v="Education"/>
    <x v="3"/>
    <x v="12"/>
    <x v="1"/>
    <x v="191"/>
    <n v="382.21"/>
    <s v="Low"/>
    <n v="571.89"/>
    <n v="571.89"/>
    <n v="0.14799999999999999"/>
    <n v="26"/>
    <n v="84.639719999999997"/>
    <n v="12668.50728"/>
    <n v="12583.867560000001"/>
    <n v="9937.4599999999991"/>
    <n v="2731.0472800000007"/>
    <n v="2646.4075600000015"/>
    <n v="1.2748234740064364"/>
  </r>
  <r>
    <s v="ORD-2023-184577"/>
    <d v="2023-10-26T00:00:00"/>
    <x v="3"/>
    <x v="1"/>
    <x v="0"/>
    <d v="2023-02-21T00:00:00"/>
    <d v="2023-03-12T00:00:00"/>
    <d v="2023-03-12T00:00:00"/>
    <n v="19"/>
    <x v="3"/>
    <x v="5"/>
    <s v="Nakuru"/>
    <s v="Corporate"/>
    <x v="2"/>
    <x v="9"/>
    <x v="4"/>
    <x v="192"/>
    <n v="352.65"/>
    <s v="Low"/>
    <n v="485.86"/>
    <n v="485.86"/>
    <n v="4.1000000000000002E-2"/>
    <n v="6"/>
    <n v="19.920260000000003"/>
    <n v="2795.6384399999997"/>
    <n v="2775.7181799999998"/>
    <n v="2115.8999999999996"/>
    <n v="679.73844000000008"/>
    <n v="659.81818000000021"/>
    <n v="1.3212526300864882"/>
  </r>
  <r>
    <s v="ORD-2023-156396"/>
    <d v="2023-10-30T00:00:00"/>
    <x v="3"/>
    <x v="1"/>
    <x v="2"/>
    <d v="2023-12-30T00:00:00"/>
    <d v="2024-01-08T00:00:00"/>
    <d v="2024-01-08T00:00:00"/>
    <n v="9"/>
    <x v="1"/>
    <x v="8"/>
    <s v="Marseille"/>
    <s v="Consumer"/>
    <x v="4"/>
    <x v="1"/>
    <x v="5"/>
    <x v="193"/>
    <n v="861.1"/>
    <s v="Medium"/>
    <n v="1224.72"/>
    <n v="1224.72"/>
    <n v="0.17399999999999999"/>
    <n v="24"/>
    <n v="213.10128"/>
    <n v="24278.849280000002"/>
    <n v="24065.748000000003"/>
    <n v="20666.400000000001"/>
    <n v="3612.4492800000007"/>
    <n v="3399.3480000000018"/>
    <n v="1.1747981883637209"/>
  </r>
  <r>
    <s v="ORD-2023-808024"/>
    <d v="2023-10-31T00:00:00"/>
    <x v="3"/>
    <x v="1"/>
    <x v="6"/>
    <d v="2023-04-21T00:00:00"/>
    <d v="2023-04-21T00:00:00"/>
    <d v="2023-04-19T00:00:00"/>
    <n v="-2"/>
    <x v="0"/>
    <x v="0"/>
    <s v="Nagoya"/>
    <s v="Small Business"/>
    <x v="3"/>
    <x v="13"/>
    <x v="2"/>
    <x v="194"/>
    <n v="607.04"/>
    <s v="Medium"/>
    <n v="1229.3399999999999"/>
    <n v="1229.3399999999999"/>
    <n v="0.14699999999999999"/>
    <n v="7"/>
    <n v="180.71297999999999"/>
    <n v="7340.3891399999993"/>
    <n v="7159.6761599999991"/>
    <n v="4249.28"/>
    <n v="3091.1091399999996"/>
    <n v="2910.3961599999993"/>
    <n v="1.7274430350553505"/>
  </r>
  <r>
    <s v="ORD-2023-752962"/>
    <d v="2023-11-10T00:00:00"/>
    <x v="3"/>
    <x v="2"/>
    <x v="2"/>
    <d v="2024-12-24T00:00:00"/>
    <d v="2025-01-13T00:00:00"/>
    <d v="2025-01-13T00:00:00"/>
    <n v="20"/>
    <x v="0"/>
    <x v="4"/>
    <s v="Bengaluru"/>
    <s v="Corporate"/>
    <x v="4"/>
    <x v="10"/>
    <x v="4"/>
    <x v="195"/>
    <n v="126.15"/>
    <s v="Low"/>
    <n v="284.23"/>
    <n v="284.23"/>
    <n v="0.113"/>
    <n v="22"/>
    <n v="32.117990000000006"/>
    <n v="5546.4642200000008"/>
    <n v="5514.346230000001"/>
    <n v="2775.3"/>
    <n v="2771.1642200000006"/>
    <n v="2739.0462300000008"/>
    <n v="1.9985097899326201"/>
  </r>
  <r>
    <s v="ORD-2024-972318"/>
    <d v="2023-11-14T00:00:00"/>
    <x v="3"/>
    <x v="1"/>
    <x v="8"/>
    <d v="2023-10-18T00:00:00"/>
    <d v="2023-10-20T00:00:00"/>
    <d v="2023-10-20T00:00:00"/>
    <n v="2"/>
    <x v="3"/>
    <x v="5"/>
    <s v="Kisumu"/>
    <s v="Consumer"/>
    <x v="1"/>
    <x v="5"/>
    <x v="1"/>
    <x v="196"/>
    <n v="774.12"/>
    <s v="Medium"/>
    <n v="908.3"/>
    <n v="908.3"/>
    <n v="0"/>
    <n v="30"/>
    <n v="0"/>
    <n v="27249"/>
    <n v="27249"/>
    <n v="23223.599999999999"/>
    <n v="4025.4000000000015"/>
    <n v="4025.4000000000015"/>
    <n v="1.1733322999018241"/>
  </r>
  <r>
    <s v="ORD-2023-378104"/>
    <d v="2023-11-15T00:00:00"/>
    <x v="3"/>
    <x v="2"/>
    <x v="7"/>
    <d v="2024-09-07T00:00:00"/>
    <d v="2024-09-18T00:00:00"/>
    <d v="2024-09-18T00:00:00"/>
    <n v="11"/>
    <x v="0"/>
    <x v="3"/>
    <s v="Beijing"/>
    <s v="Consumer"/>
    <x v="0"/>
    <x v="6"/>
    <x v="4"/>
    <x v="197"/>
    <n v="181.74"/>
    <s v="Low"/>
    <n v="190.84"/>
    <n v="190.84"/>
    <n v="0.214"/>
    <n v="13"/>
    <n v="40.839759999999998"/>
    <n v="1950.0031200000001"/>
    <n v="1909.16336"/>
    <n v="2362.62"/>
    <n v="-412.61687999999981"/>
    <n v="-453.45663999999988"/>
    <n v="0.82535622317596569"/>
  </r>
  <r>
    <s v="ORD-2023-659070"/>
    <d v="2023-11-19T00:00:00"/>
    <x v="3"/>
    <x v="2"/>
    <x v="2"/>
    <d v="2024-12-28T00:00:00"/>
    <d v="2025-01-08T00:00:00"/>
    <d v="2025-01-08T00:00:00"/>
    <n v="11"/>
    <x v="0"/>
    <x v="3"/>
    <s v="Shenzhen"/>
    <s v="Enterprise"/>
    <x v="2"/>
    <x v="8"/>
    <x v="0"/>
    <x v="198"/>
    <n v="1201.31"/>
    <s v="High"/>
    <n v="2764.65"/>
    <n v="2764.65"/>
    <n v="0"/>
    <n v="21"/>
    <n v="0"/>
    <n v="58057.65"/>
    <n v="58057.65"/>
    <n v="25227.51"/>
    <n v="32830.14"/>
    <n v="32830.14"/>
    <n v="2.3013626790753428"/>
  </r>
  <r>
    <s v="ORD-2024-837651"/>
    <d v="2023-11-19T00:00:00"/>
    <x v="3"/>
    <x v="1"/>
    <x v="8"/>
    <d v="2023-10-21T00:00:00"/>
    <d v="2023-10-21T00:00:00"/>
    <d v="2023-10-21T00:00:00"/>
    <n v="0"/>
    <x v="1"/>
    <x v="7"/>
    <s v="Manchester"/>
    <s v="Enterprise"/>
    <x v="0"/>
    <x v="5"/>
    <x v="3"/>
    <x v="199"/>
    <n v="384.19"/>
    <s v="Low"/>
    <n v="278.35000000000002"/>
    <n v="278.35000000000002"/>
    <n v="5.6000000000000001E-2"/>
    <n v="10"/>
    <n v="15.587600000000002"/>
    <n v="2627.6239999999998"/>
    <n v="2612.0364"/>
    <n v="3841.9"/>
    <n v="-1214.2760000000003"/>
    <n v="-1229.8636000000001"/>
    <n v="0.68393867617585047"/>
  </r>
  <r>
    <s v="ORD-2024-581530"/>
    <d v="2023-11-19T00:00:00"/>
    <x v="3"/>
    <x v="2"/>
    <x v="2"/>
    <d v="2024-12-10T00:00:00"/>
    <d v="2024-12-19T00:00:00"/>
    <d v="2024-12-19T00:00:00"/>
    <n v="9"/>
    <x v="3"/>
    <x v="9"/>
    <s v="Lagos"/>
    <s v="Corporate"/>
    <x v="1"/>
    <x v="6"/>
    <x v="3"/>
    <x v="200"/>
    <n v="488.68"/>
    <s v="Medium"/>
    <n v="984.36"/>
    <n v="984.36"/>
    <n v="5.8999999999999997E-2"/>
    <n v="14"/>
    <n v="58.077239999999996"/>
    <n v="12967.958640000001"/>
    <n v="12909.8814"/>
    <n v="6841.52"/>
    <n v="6126.4386400000003"/>
    <n v="6068.3613999999998"/>
    <n v="1.8954791683719407"/>
  </r>
  <r>
    <s v="ORD-2024-651852"/>
    <d v="2023-11-20T00:00:00"/>
    <x v="3"/>
    <x v="2"/>
    <x v="1"/>
    <d v="2024-11-01T00:00:00"/>
    <d v="2024-11-12T00:00:00"/>
    <d v="2024-11-12T00:00:00"/>
    <n v="11"/>
    <x v="1"/>
    <x v="1"/>
    <s v="Frankfurt"/>
    <s v="Consumer"/>
    <x v="2"/>
    <x v="11"/>
    <x v="6"/>
    <x v="201"/>
    <n v="599.84"/>
    <s v="Medium"/>
    <n v="1330.85"/>
    <n v="1330.85"/>
    <n v="0.115"/>
    <n v="11"/>
    <n v="153.04775000000001"/>
    <n v="12955.824749999998"/>
    <n v="12802.776999999998"/>
    <n v="6598.2400000000007"/>
    <n v="6357.5847499999973"/>
    <n v="6204.5369999999975"/>
    <n v="1.9635273572952783"/>
  </r>
  <r>
    <s v="ORD-2024-381197"/>
    <d v="2023-11-28T00:00:00"/>
    <x v="3"/>
    <x v="0"/>
    <x v="11"/>
    <d v="2025-05-07T00:00:00"/>
    <d v="2025-05-13T00:00:00"/>
    <d v="2025-05-13T00:00:00"/>
    <n v="6"/>
    <x v="0"/>
    <x v="4"/>
    <s v="Bengaluru"/>
    <s v="Enterprise"/>
    <x v="3"/>
    <x v="5"/>
    <x v="1"/>
    <x v="202"/>
    <n v="935.98"/>
    <s v="High"/>
    <n v="2077.69"/>
    <n v="2077.69"/>
    <n v="0.17499999999999999"/>
    <n v="24"/>
    <n v="363.59575000000001"/>
    <n v="41138.261999999995"/>
    <n v="40774.666249999995"/>
    <n v="22463.52"/>
    <n v="18674.741999999995"/>
    <n v="18311.146249999994"/>
    <n v="1.831336406760828"/>
  </r>
  <r>
    <s v="ORD-2024-811752"/>
    <d v="2023-11-30T00:00:00"/>
    <x v="3"/>
    <x v="2"/>
    <x v="4"/>
    <d v="2024-08-18T00:00:00"/>
    <d v="2024-09-12T00:00:00"/>
    <d v="2024-09-12T00:00:00"/>
    <n v="25"/>
    <x v="0"/>
    <x v="4"/>
    <s v="Mumbai"/>
    <s v="Consumer"/>
    <x v="4"/>
    <x v="4"/>
    <x v="1"/>
    <x v="203"/>
    <n v="1154.03"/>
    <s v="Medium"/>
    <n v="1590.36"/>
    <n v="1590.36"/>
    <n v="0.314"/>
    <n v="18"/>
    <n v="499.37303999999995"/>
    <n v="19637.76528"/>
    <n v="19138.392240000001"/>
    <n v="20772.54"/>
    <n v="-1134.7747200000013"/>
    <n v="-1634.1477599999998"/>
    <n v="0.94537140282315013"/>
  </r>
  <r>
    <s v="ORD-2025-673091"/>
    <d v="2023-11-30T00:00:00"/>
    <x v="3"/>
    <x v="2"/>
    <x v="0"/>
    <d v="2024-02-25T00:00:00"/>
    <d v="2024-03-09T00:00:00"/>
    <d v="2024-03-09T00:00:00"/>
    <n v="13"/>
    <x v="1"/>
    <x v="8"/>
    <s v="Marseille"/>
    <s v="Small Business"/>
    <x v="0"/>
    <x v="2"/>
    <x v="3"/>
    <x v="204"/>
    <n v="322.44"/>
    <s v="Low"/>
    <n v="395.61"/>
    <n v="395.61"/>
    <n v="0"/>
    <n v="34"/>
    <n v="0"/>
    <n v="13450.74"/>
    <n v="13450.74"/>
    <n v="10962.96"/>
    <n v="2487.7800000000007"/>
    <n v="2487.7800000000007"/>
    <n v="1.2269259397097134"/>
  </r>
  <r>
    <s v="ORD-2024-993481"/>
    <d v="2023-12-01T00:00:00"/>
    <x v="3"/>
    <x v="0"/>
    <x v="4"/>
    <d v="2025-08-28T00:00:00"/>
    <d v="2025-09-05T00:00:00"/>
    <d v="2025-09-05T00:00:00"/>
    <n v="8"/>
    <x v="3"/>
    <x v="9"/>
    <s v="Port Harcourt"/>
    <s v="Small Business"/>
    <x v="4"/>
    <x v="2"/>
    <x v="0"/>
    <x v="205"/>
    <n v="1271.0999999999999"/>
    <s v="High"/>
    <n v="1932.42"/>
    <n v="1932.42"/>
    <n v="0.25"/>
    <n v="21"/>
    <n v="483.10500000000002"/>
    <n v="30435.614999999998"/>
    <n v="29952.51"/>
    <n v="26693.1"/>
    <n v="3742.5149999999994"/>
    <n v="3259.41"/>
    <n v="1.1402053339627094"/>
  </r>
  <r>
    <s v="ORD-2025-803803"/>
    <d v="2023-12-02T00:00:00"/>
    <x v="3"/>
    <x v="2"/>
    <x v="0"/>
    <d v="2024-02-27T00:00:00"/>
    <d v="2024-03-26T00:00:00"/>
    <d v="2024-03-26T00:00:00"/>
    <n v="28"/>
    <x v="0"/>
    <x v="4"/>
    <s v="Mumbai"/>
    <s v="Education"/>
    <x v="4"/>
    <x v="12"/>
    <x v="0"/>
    <x v="206"/>
    <n v="1035.19"/>
    <s v="High"/>
    <n v="2322.6999999999998"/>
    <n v="2322.6999999999998"/>
    <n v="0.17299999999999999"/>
    <n v="8"/>
    <n v="401.82709999999992"/>
    <n v="15366.983199999999"/>
    <n v="14965.156099999998"/>
    <n v="8281.52"/>
    <n v="7085.4631999999983"/>
    <n v="6683.6360999999979"/>
    <n v="1.8555752084158461"/>
  </r>
  <r>
    <s v="ORD-2024-515105"/>
    <d v="2023-12-03T00:00:00"/>
    <x v="3"/>
    <x v="2"/>
    <x v="0"/>
    <d v="2024-02-19T00:00:00"/>
    <d v="2024-03-06T00:00:00"/>
    <d v="2024-03-06T00:00:00"/>
    <n v="16"/>
    <x v="0"/>
    <x v="3"/>
    <s v="Beijing"/>
    <s v="Education"/>
    <x v="4"/>
    <x v="6"/>
    <x v="6"/>
    <x v="207"/>
    <n v="1477.84"/>
    <s v="High"/>
    <n v="3197.47"/>
    <n v="3197.47"/>
    <n v="0.24299999999999999"/>
    <n v="24"/>
    <n v="776.98520999999994"/>
    <n v="58091.634960000003"/>
    <n v="57314.649750000004"/>
    <n v="35468.159999999996"/>
    <n v="22623.474960000007"/>
    <n v="21846.489750000008"/>
    <n v="1.6378530761110812"/>
  </r>
  <r>
    <s v="ORD-2024-468655"/>
    <d v="2023-12-05T00:00:00"/>
    <x v="3"/>
    <x v="0"/>
    <x v="7"/>
    <d v="2025-09-15T00:00:00"/>
    <d v="2025-09-25T00:00:00"/>
    <d v="2025-09-25T00:00:00"/>
    <n v="10"/>
    <x v="0"/>
    <x v="4"/>
    <s v="Delhi"/>
    <s v="Consumer"/>
    <x v="1"/>
    <x v="3"/>
    <x v="1"/>
    <x v="208"/>
    <n v="1488.91"/>
    <s v="Medium"/>
    <n v="1483.74"/>
    <n v="1483.74"/>
    <n v="0.16800000000000001"/>
    <n v="24"/>
    <n v="249.26832000000002"/>
    <n v="29627.320319999999"/>
    <n v="29378.052"/>
    <n v="35733.840000000004"/>
    <n v="-6106.5196800000049"/>
    <n v="-6355.7880000000041"/>
    <n v="0.82911101409756116"/>
  </r>
  <r>
    <s v="ORD-2025-831576"/>
    <d v="2023-12-06T00:00:00"/>
    <x v="3"/>
    <x v="0"/>
    <x v="5"/>
    <d v="2025-07-03T00:00:00"/>
    <d v="2025-07-06T00:00:00"/>
    <d v="2025-07-06T00:00:00"/>
    <n v="3"/>
    <x v="3"/>
    <x v="9"/>
    <s v="Lagos"/>
    <s v="Consumer"/>
    <x v="2"/>
    <x v="9"/>
    <x v="0"/>
    <x v="209"/>
    <n v="1313.3"/>
    <s v="High"/>
    <n v="2884.34"/>
    <n v="2884.34"/>
    <n v="0.157"/>
    <n v="42"/>
    <n v="452.84138000000002"/>
    <n v="102122.94203999999"/>
    <n v="101670.10066"/>
    <n v="55158.6"/>
    <n v="46964.342039999996"/>
    <n v="46511.500659999998"/>
    <n v="1.8514418792355136"/>
  </r>
  <r>
    <s v="ORD-2025-276968"/>
    <d v="2023-12-07T00:00:00"/>
    <x v="3"/>
    <x v="1"/>
    <x v="8"/>
    <d v="2023-10-12T00:00:00"/>
    <d v="2023-10-29T00:00:00"/>
    <d v="2023-10-29T00:00:00"/>
    <n v="17"/>
    <x v="0"/>
    <x v="0"/>
    <s v="Nagoya"/>
    <s v="Non-Profit"/>
    <x v="3"/>
    <x v="14"/>
    <x v="1"/>
    <x v="210"/>
    <n v="1102.19"/>
    <s v="Medium"/>
    <n v="1711.16"/>
    <n v="1711.16"/>
    <n v="0.151"/>
    <n v="10"/>
    <n v="258.38515999999998"/>
    <n v="14527.748400000002"/>
    <n v="14269.363240000002"/>
    <n v="11021.900000000001"/>
    <n v="3505.8484000000008"/>
    <n v="3247.463240000001"/>
    <n v="1.3180802221032673"/>
  </r>
  <r>
    <s v="ORD-2025-650841"/>
    <d v="2023-12-07T00:00:00"/>
    <x v="3"/>
    <x v="0"/>
    <x v="0"/>
    <d v="2025-02-25T00:00:00"/>
    <d v="2025-03-17T00:00:00"/>
    <d v="2025-03-17T00:00:00"/>
    <n v="20"/>
    <x v="2"/>
    <x v="10"/>
    <s v="San Francisco"/>
    <s v="Non-Profit"/>
    <x v="4"/>
    <x v="14"/>
    <x v="1"/>
    <x v="211"/>
    <n v="1205.26"/>
    <s v="Medium"/>
    <n v="1696.35"/>
    <n v="1696.35"/>
    <n v="1.9E-2"/>
    <n v="6"/>
    <n v="32.230649999999997"/>
    <n v="9984.7160999999978"/>
    <n v="9952.4854499999983"/>
    <n v="7231.5599999999995"/>
    <n v="2753.1560999999983"/>
    <n v="2720.9254499999988"/>
    <n v="1.3807139953205116"/>
  </r>
  <r>
    <s v="ORD-2023-623293"/>
    <d v="2023-12-16T00:00:00"/>
    <x v="3"/>
    <x v="2"/>
    <x v="10"/>
    <d v="2024-01-16T00:00:00"/>
    <d v="2024-02-11T00:00:00"/>
    <d v="2024-02-11T00:00:00"/>
    <n v="26"/>
    <x v="1"/>
    <x v="1"/>
    <s v="Frankfurt"/>
    <s v="Non-Profit"/>
    <x v="0"/>
    <x v="2"/>
    <x v="3"/>
    <x v="212"/>
    <n v="504.93"/>
    <s v="Medium"/>
    <n v="819.06"/>
    <n v="819.06"/>
    <n v="0.22600000000000001"/>
    <n v="15"/>
    <n v="185.10756000000001"/>
    <n v="9509.2865999999995"/>
    <n v="9324.1790399999991"/>
    <n v="7573.95"/>
    <n v="1935.3365999999996"/>
    <n v="1750.2290399999993"/>
    <n v="1.255525399560335"/>
  </r>
  <r>
    <s v="ORD-2024-749242"/>
    <d v="2023-12-18T00:00:00"/>
    <x v="3"/>
    <x v="0"/>
    <x v="9"/>
    <d v="2025-03-14T00:00:00"/>
    <d v="2025-04-08T00:00:00"/>
    <d v="2025-04-08T00:00:00"/>
    <n v="25"/>
    <x v="0"/>
    <x v="3"/>
    <s v="Shanghai"/>
    <s v="Corporate"/>
    <x v="0"/>
    <x v="10"/>
    <x v="6"/>
    <x v="213"/>
    <n v="80.59"/>
    <s v="Low"/>
    <n v="157.82"/>
    <n v="157.82"/>
    <n v="0.217"/>
    <n v="6"/>
    <n v="34.246939999999995"/>
    <n v="741.43835999999999"/>
    <n v="707.19141999999999"/>
    <n v="483.54"/>
    <n v="257.89835999999997"/>
    <n v="223.65141999999997"/>
    <n v="1.5333547586549199"/>
  </r>
  <r>
    <s v="ORD-2025-411385"/>
    <d v="2023-12-19T00:00:00"/>
    <x v="3"/>
    <x v="2"/>
    <x v="1"/>
    <d v="2024-11-30T00:00:00"/>
    <d v="2024-12-10T00:00:00"/>
    <d v="2024-12-10T00:00:00"/>
    <n v="10"/>
    <x v="0"/>
    <x v="4"/>
    <s v="Hyderabad"/>
    <s v="Small Business"/>
    <x v="1"/>
    <x v="9"/>
    <x v="5"/>
    <x v="214"/>
    <n v="851.49"/>
    <s v="Medium"/>
    <n v="901.79"/>
    <n v="901.79"/>
    <n v="0.245"/>
    <n v="16"/>
    <n v="220.93854999999999"/>
    <n v="10893.6232"/>
    <n v="10672.684649999999"/>
    <n v="13623.84"/>
    <n v="-2730.2168000000001"/>
    <n v="-2951.1553500000009"/>
    <n v="0.79960005402294798"/>
  </r>
  <r>
    <s v="ORD-2025-222035"/>
    <d v="2023-12-19T00:00:00"/>
    <x v="3"/>
    <x v="0"/>
    <x v="3"/>
    <d v="2025-06-05T00:00:00"/>
    <d v="2025-06-14T00:00:00"/>
    <d v="2025-06-14T00:00:00"/>
    <n v="9"/>
    <x v="0"/>
    <x v="4"/>
    <s v="Delhi"/>
    <s v="Non-Profit"/>
    <x v="1"/>
    <x v="3"/>
    <x v="5"/>
    <x v="215"/>
    <n v="618.69000000000005"/>
    <s v="Medium"/>
    <n v="796.15"/>
    <n v="796.15"/>
    <n v="0.09"/>
    <n v="11"/>
    <n v="71.653499999999994"/>
    <n v="7969.4615000000003"/>
    <n v="7897.808"/>
    <n v="6805.59"/>
    <n v="1163.8715000000002"/>
    <n v="1092.2179999999998"/>
    <n v="1.1710169875058591"/>
  </r>
  <r>
    <s v="ORD-2024-655710"/>
    <d v="2023-12-20T00:00:00"/>
    <x v="3"/>
    <x v="1"/>
    <x v="4"/>
    <d v="2023-08-29T00:00:00"/>
    <d v="2023-09-13T00:00:00"/>
    <d v="2023-09-13T00:00:00"/>
    <n v="15"/>
    <x v="2"/>
    <x v="2"/>
    <s v="Vancouver"/>
    <s v="Small Business"/>
    <x v="4"/>
    <x v="6"/>
    <x v="6"/>
    <x v="216"/>
    <n v="1287.6400000000001"/>
    <s v="High"/>
    <n v="2717.15"/>
    <n v="2717.15"/>
    <n v="3.2000000000000001E-2"/>
    <n v="7"/>
    <n v="86.948800000000006"/>
    <n v="18411.4084"/>
    <n v="18324.459600000002"/>
    <n v="9013.4800000000014"/>
    <n v="9397.9283999999989"/>
    <n v="9310.9796000000006"/>
    <n v="2.0426526047653066"/>
  </r>
  <r>
    <s v="ORD-2023-987081"/>
    <d v="2023-12-21T00:00:00"/>
    <x v="3"/>
    <x v="2"/>
    <x v="3"/>
    <d v="2024-06-06T00:00:00"/>
    <d v="2024-06-24T00:00:00"/>
    <d v="2024-06-24T00:00:00"/>
    <n v="18"/>
    <x v="0"/>
    <x v="4"/>
    <s v="Bengaluru"/>
    <s v="Small Business"/>
    <x v="3"/>
    <x v="14"/>
    <x v="4"/>
    <x v="217"/>
    <n v="1253.25"/>
    <s v="High"/>
    <n v="3087.13"/>
    <n v="3087.13"/>
    <n v="7.1999999999999995E-2"/>
    <n v="11"/>
    <n v="222.27336"/>
    <n v="31513.423040000001"/>
    <n v="31291.149680000002"/>
    <n v="13785.75"/>
    <n v="17727.673040000001"/>
    <n v="17505.399680000002"/>
    <n v="2.2859418631557951"/>
  </r>
  <r>
    <s v="ORD-2023-732585"/>
    <d v="2023-12-22T00:00:00"/>
    <x v="3"/>
    <x v="1"/>
    <x v="9"/>
    <d v="2023-03-17T00:00:00"/>
    <d v="2023-04-06T00:00:00"/>
    <d v="2023-04-06T00:00:00"/>
    <n v="20"/>
    <x v="1"/>
    <x v="1"/>
    <s v="Munich"/>
    <s v="Consumer"/>
    <x v="1"/>
    <x v="6"/>
    <x v="1"/>
    <x v="218"/>
    <n v="692.18"/>
    <s v="Medium"/>
    <n v="1159.3499999999999"/>
    <n v="1159.3499999999999"/>
    <n v="0.112"/>
    <n v="2"/>
    <n v="129.84719999999999"/>
    <n v="2059.0056"/>
    <n v="1929.1584"/>
    <n v="1384.36"/>
    <n v="674.64560000000006"/>
    <n v="544.79840000000013"/>
    <n v="1.4873339304805109"/>
  </r>
  <r>
    <s v="ORD-2024-465898"/>
    <d v="2023-12-22T00:00:00"/>
    <x v="3"/>
    <x v="1"/>
    <x v="4"/>
    <d v="2023-08-25T00:00:00"/>
    <d v="2023-09-16T00:00:00"/>
    <d v="2023-09-16T00:00:00"/>
    <n v="22"/>
    <x v="3"/>
    <x v="9"/>
    <s v="Abuja"/>
    <s v="Corporate"/>
    <x v="4"/>
    <x v="1"/>
    <x v="1"/>
    <x v="219"/>
    <n v="1196.83"/>
    <s v="High"/>
    <n v="2513.5100000000002"/>
    <n v="2513.5100000000002"/>
    <n v="8.3000000000000004E-2"/>
    <n v="7"/>
    <n v="208.62133000000003"/>
    <n v="16134.22069"/>
    <n v="15925.59936"/>
    <n v="8377.81"/>
    <n v="7756.4106900000006"/>
    <n v="7547.7893600000007"/>
    <n v="1.92582795384474"/>
  </r>
  <r>
    <s v="ORD-2024-375848"/>
    <d v="2023-12-24T00:00:00"/>
    <x v="3"/>
    <x v="2"/>
    <x v="4"/>
    <d v="2024-08-30T00:00:00"/>
    <d v="2024-09-05T00:00:00"/>
    <d v="2024-09-05T00:00:00"/>
    <n v="6"/>
    <x v="0"/>
    <x v="0"/>
    <s v="Nagoya"/>
    <s v="Education"/>
    <x v="2"/>
    <x v="0"/>
    <x v="0"/>
    <x v="220"/>
    <n v="466.16"/>
    <s v="Medium"/>
    <n v="876.81"/>
    <n v="876.81"/>
    <n v="0.24099999999999999"/>
    <n v="8"/>
    <n v="211.31120999999999"/>
    <n v="5323.9903199999999"/>
    <n v="5112.67911"/>
    <n v="3729.28"/>
    <n v="1594.7103199999997"/>
    <n v="1383.3991099999998"/>
    <n v="1.4276188218637376"/>
  </r>
  <r>
    <s v="ORD-2023-933238"/>
    <d v="2023-12-24T00:00:00"/>
    <x v="3"/>
    <x v="2"/>
    <x v="11"/>
    <d v="2024-05-18T00:00:00"/>
    <d v="2024-05-21T00:00:00"/>
    <d v="2024-05-21T00:00:00"/>
    <n v="3"/>
    <x v="1"/>
    <x v="8"/>
    <s v="Marseille"/>
    <s v="Non-Profit"/>
    <x v="4"/>
    <x v="10"/>
    <x v="6"/>
    <x v="221"/>
    <n v="663.66"/>
    <s v="Medium"/>
    <n v="824.26"/>
    <n v="824.26"/>
    <n v="0.23899999999999999"/>
    <n v="11"/>
    <n v="196.99813999999998"/>
    <n v="6899.8804600000003"/>
    <n v="6702.8823200000006"/>
    <n v="7300.2599999999993"/>
    <n v="-400.379539999999"/>
    <n v="-597.37767999999869"/>
    <n v="0.94515544103908644"/>
  </r>
  <r>
    <s v="ORD-2024-542244"/>
    <d v="2023-12-26T00:00:00"/>
    <x v="3"/>
    <x v="1"/>
    <x v="2"/>
    <d v="2023-12-16T00:00:00"/>
    <d v="2023-12-19T00:00:00"/>
    <d v="2023-12-19T00:00:00"/>
    <n v="3"/>
    <x v="0"/>
    <x v="3"/>
    <s v="Beijing"/>
    <s v="Education"/>
    <x v="1"/>
    <x v="3"/>
    <x v="5"/>
    <x v="222"/>
    <n v="1415.05"/>
    <s v="High"/>
    <n v="1972.38"/>
    <n v="1972.38"/>
    <n v="0"/>
    <n v="12"/>
    <n v="0"/>
    <n v="23668.560000000001"/>
    <n v="23668.560000000001"/>
    <n v="16980.599999999999"/>
    <n v="6687.9600000000028"/>
    <n v="6687.9600000000028"/>
    <n v="1.3938588742447264"/>
  </r>
  <r>
    <s v="ORD-2023-674887"/>
    <d v="2023-12-28T00:00:00"/>
    <x v="3"/>
    <x v="0"/>
    <x v="9"/>
    <d v="2025-03-08T00:00:00"/>
    <d v="2025-03-15T00:00:00"/>
    <d v="2025-03-15T00:00:00"/>
    <n v="7"/>
    <x v="0"/>
    <x v="4"/>
    <s v="Bengaluru"/>
    <s v="Corporate"/>
    <x v="0"/>
    <x v="8"/>
    <x v="0"/>
    <x v="223"/>
    <n v="475.66"/>
    <s v="Low"/>
    <n v="529.14"/>
    <n v="529.14"/>
    <n v="0.19600000000000001"/>
    <n v="11"/>
    <n v="103.71144"/>
    <n v="4679.7141600000004"/>
    <n v="4576.0027200000004"/>
    <n v="5232.26"/>
    <n v="-552.54583999999977"/>
    <n v="-656.25727999999981"/>
    <n v="0.89439633351553638"/>
  </r>
  <r>
    <s v="ORD-2025-512310"/>
    <d v="2023-12-29T00:00:00"/>
    <x v="3"/>
    <x v="0"/>
    <x v="0"/>
    <d v="2025-02-21T00:00:00"/>
    <d v="2025-03-21T00:00:00"/>
    <d v="2025-03-21T00:00:00"/>
    <n v="28"/>
    <x v="3"/>
    <x v="9"/>
    <s v="Abuja"/>
    <s v="Enterprise"/>
    <x v="4"/>
    <x v="7"/>
    <x v="1"/>
    <x v="224"/>
    <n v="1437.39"/>
    <s v="Medium"/>
    <n v="1388.31"/>
    <n v="1388.31"/>
    <n v="0.13800000000000001"/>
    <n v="18"/>
    <n v="191.58678"/>
    <n v="21541.017959999997"/>
    <n v="21349.431179999996"/>
    <n v="25873.02"/>
    <n v="-4332.002040000003"/>
    <n v="-4523.5888200000045"/>
    <n v="0.83256681902615148"/>
  </r>
  <r>
    <s v="ORD-2025-881624"/>
    <d v="2023-12-30T00:00:00"/>
    <x v="3"/>
    <x v="2"/>
    <x v="2"/>
    <d v="2024-12-20T00:00:00"/>
    <d v="2025-01-14T00:00:00"/>
    <d v="2025-01-14T00:00:00"/>
    <n v="25"/>
    <x v="0"/>
    <x v="4"/>
    <s v="Delhi"/>
    <s v="Small Business"/>
    <x v="1"/>
    <x v="13"/>
    <x v="6"/>
    <x v="225"/>
    <n v="1361.34"/>
    <s v="Medium"/>
    <n v="1737.9"/>
    <n v="1737.9"/>
    <n v="7.6999999999999999E-2"/>
    <n v="14"/>
    <n v="133.81829999999999"/>
    <n v="22457.143800000002"/>
    <n v="22323.325500000003"/>
    <n v="19058.759999999998"/>
    <n v="3398.3838000000032"/>
    <n v="3264.5655000000042"/>
    <n v="1.1783108554806296"/>
  </r>
  <r>
    <s v="ORD-2024-390951"/>
    <d v="2024-01-01T00:00:00"/>
    <x v="0"/>
    <x v="1"/>
    <x v="9"/>
    <d v="2023-03-06T00:00:00"/>
    <d v="2023-04-04T00:00:00"/>
    <d v="2023-04-04T00:00:00"/>
    <n v="29"/>
    <x v="0"/>
    <x v="3"/>
    <s v="Beijing"/>
    <s v="Small Business"/>
    <x v="3"/>
    <x v="4"/>
    <x v="3"/>
    <x v="226"/>
    <n v="1126.29"/>
    <s v="High"/>
    <n v="2050.87"/>
    <n v="2050.87"/>
    <n v="6.4000000000000001E-2"/>
    <n v="7"/>
    <n v="131.25567999999998"/>
    <n v="13437.300239999999"/>
    <n v="13306.044559999998"/>
    <n v="7884.03"/>
    <n v="5553.2702399999989"/>
    <n v="5422.0145599999987"/>
    <n v="1.7043694963108966"/>
  </r>
  <r>
    <s v="ORD-2024-678110"/>
    <d v="2024-01-02T00:00:00"/>
    <x v="0"/>
    <x v="2"/>
    <x v="1"/>
    <d v="2024-11-05T00:00:00"/>
    <d v="2024-11-08T00:00:00"/>
    <d v="2024-11-08T00:00:00"/>
    <n v="3"/>
    <x v="2"/>
    <x v="2"/>
    <s v="Toronto"/>
    <s v="Education"/>
    <x v="4"/>
    <x v="6"/>
    <x v="2"/>
    <x v="227"/>
    <n v="1020.4"/>
    <s v="Medium"/>
    <n v="1184.71"/>
    <n v="1184.71"/>
    <n v="0.106"/>
    <n v="16"/>
    <n v="125.57926"/>
    <n v="16946.091840000001"/>
    <n v="16820.512580000002"/>
    <n v="16326.4"/>
    <n v="619.69184000000132"/>
    <n v="494.11258000000271"/>
    <n v="1.0379564288514309"/>
  </r>
  <r>
    <s v="ORD-2025-909340"/>
    <d v="2024-01-02T00:00:00"/>
    <x v="0"/>
    <x v="2"/>
    <x v="5"/>
    <d v="2024-07-24T00:00:00"/>
    <d v="2024-08-08T00:00:00"/>
    <d v="2024-08-08T00:00:00"/>
    <n v="15"/>
    <x v="1"/>
    <x v="8"/>
    <s v="Marseille"/>
    <s v="Enterprise"/>
    <x v="4"/>
    <x v="14"/>
    <x v="0"/>
    <x v="228"/>
    <n v="501.5"/>
    <s v="Medium"/>
    <n v="1201.47"/>
    <n v="1201.47"/>
    <n v="0.126"/>
    <n v="5"/>
    <n v="151.38522"/>
    <n v="5250.4239000000007"/>
    <n v="5099.0386800000006"/>
    <n v="2507.5"/>
    <n v="2742.9239000000007"/>
    <n v="2591.5386800000006"/>
    <n v="2.0938878963110672"/>
  </r>
  <r>
    <s v="ORD-2023-854471"/>
    <d v="2024-01-02T00:00:00"/>
    <x v="0"/>
    <x v="0"/>
    <x v="10"/>
    <d v="2025-01-20T00:00:00"/>
    <d v="2025-02-03T00:00:00"/>
    <d v="2025-02-03T00:00:00"/>
    <n v="14"/>
    <x v="2"/>
    <x v="6"/>
    <s v="Brasília"/>
    <s v="Enterprise"/>
    <x v="4"/>
    <x v="9"/>
    <x v="2"/>
    <x v="229"/>
    <n v="974.11"/>
    <s v="Medium"/>
    <n v="880.99"/>
    <n v="880.99"/>
    <n v="0.111"/>
    <n v="10"/>
    <n v="97.78989"/>
    <n v="7832.0010999999995"/>
    <n v="7734.2112099999995"/>
    <n v="9741.1"/>
    <n v="-1909.0989000000009"/>
    <n v="-2006.8887900000009"/>
    <n v="0.80401608647893963"/>
  </r>
  <r>
    <s v="ORD-2024-170021"/>
    <d v="2024-01-08T00:00:00"/>
    <x v="0"/>
    <x v="2"/>
    <x v="4"/>
    <d v="2024-08-12T00:00:00"/>
    <d v="2024-08-15T00:00:00"/>
    <d v="2024-08-15T00:00:00"/>
    <n v="3"/>
    <x v="2"/>
    <x v="10"/>
    <s v="Chicago"/>
    <s v="Corporate"/>
    <x v="4"/>
    <x v="10"/>
    <x v="6"/>
    <x v="230"/>
    <n v="850.7"/>
    <s v="Medium"/>
    <n v="1118.56"/>
    <n v="1118.56"/>
    <n v="0.18"/>
    <n v="19"/>
    <n v="201.34079999999997"/>
    <n v="17427.164800000002"/>
    <n v="17225.824000000001"/>
    <n v="16163.300000000001"/>
    <n v="1263.8648000000012"/>
    <n v="1062.5239999999994"/>
    <n v="1.0781934877159987"/>
  </r>
  <r>
    <s v="ORD-2024-626750"/>
    <d v="2024-01-10T00:00:00"/>
    <x v="0"/>
    <x v="0"/>
    <x v="6"/>
    <d v="2025-04-12T00:00:00"/>
    <d v="2025-04-30T00:00:00"/>
    <d v="2025-04-30T00:00:00"/>
    <n v="18"/>
    <x v="3"/>
    <x v="5"/>
    <s v="Kisumu"/>
    <s v="Corporate"/>
    <x v="4"/>
    <x v="9"/>
    <x v="4"/>
    <x v="231"/>
    <n v="1119.04"/>
    <s v="Medium"/>
    <n v="1299.02"/>
    <n v="1299.02"/>
    <n v="2.5000000000000001E-2"/>
    <n v="14"/>
    <n v="32.475500000000004"/>
    <n v="17731.623"/>
    <n v="17699.147499999999"/>
    <n v="15666.56"/>
    <n v="2065.0630000000001"/>
    <n v="2032.5874999999996"/>
    <n v="1.1318134293680298"/>
  </r>
  <r>
    <s v="ORD-2024-972999"/>
    <d v="2024-01-11T00:00:00"/>
    <x v="0"/>
    <x v="0"/>
    <x v="7"/>
    <d v="2025-09-14T00:00:00"/>
    <d v="2025-09-23T00:00:00"/>
    <d v="2025-09-23T00:00:00"/>
    <n v="9"/>
    <x v="3"/>
    <x v="11"/>
    <s v="Durban"/>
    <s v="Non-Profit"/>
    <x v="2"/>
    <x v="10"/>
    <x v="2"/>
    <x v="232"/>
    <n v="1310.3"/>
    <s v="High"/>
    <n v="2875.8"/>
    <n v="2875.8"/>
    <n v="8.3000000000000004E-2"/>
    <n v="5"/>
    <n v="238.69140000000002"/>
    <n v="13185.543"/>
    <n v="12946.8516"/>
    <n v="6551.5"/>
    <n v="6634.0429999999997"/>
    <n v="6395.3516"/>
    <n v="2.0125990994428755"/>
  </r>
  <r>
    <s v="ORD-2025-608069"/>
    <d v="2024-01-11T00:00:00"/>
    <x v="0"/>
    <x v="2"/>
    <x v="7"/>
    <d v="2024-09-06T00:00:00"/>
    <d v="2024-10-04T00:00:00"/>
    <d v="2024-10-04T00:00:00"/>
    <n v="28"/>
    <x v="3"/>
    <x v="11"/>
    <s v="Cape Town"/>
    <s v="Corporate"/>
    <x v="4"/>
    <x v="10"/>
    <x v="3"/>
    <x v="233"/>
    <n v="1174.17"/>
    <s v="Medium"/>
    <n v="1641.61"/>
    <n v="1641.61"/>
    <n v="0.122"/>
    <n v="9"/>
    <n v="200.27641999999997"/>
    <n v="12972.00222"/>
    <n v="12771.7258"/>
    <n v="10567.53"/>
    <n v="2404.4722199999997"/>
    <n v="2204.1957999999995"/>
    <n v="1.2275339857090539"/>
  </r>
  <r>
    <s v="ORD-2024-102866"/>
    <d v="2024-01-12T00:00:00"/>
    <x v="0"/>
    <x v="0"/>
    <x v="4"/>
    <d v="2025-08-21T00:00:00"/>
    <d v="2025-09-14T00:00:00"/>
    <d v="2025-09-14T00:00:00"/>
    <n v="24"/>
    <x v="1"/>
    <x v="1"/>
    <s v="Berlin"/>
    <s v="Non-Profit"/>
    <x v="2"/>
    <x v="3"/>
    <x v="3"/>
    <x v="234"/>
    <n v="1397.67"/>
    <s v="High"/>
    <n v="3131.37"/>
    <n v="3131.37"/>
    <n v="0.10299999999999999"/>
    <n v="20"/>
    <n v="322.53110999999996"/>
    <n v="56176.777799999996"/>
    <n v="55854.246689999993"/>
    <n v="27953.4"/>
    <n v="28223.377799999995"/>
    <n v="27900.846689999991"/>
    <n v="2.0096581381871257"/>
  </r>
  <r>
    <s v="ORD-2025-588029"/>
    <d v="2024-01-12T00:00:00"/>
    <x v="0"/>
    <x v="2"/>
    <x v="2"/>
    <d v="2024-12-12T00:00:00"/>
    <d v="2024-12-20T00:00:00"/>
    <d v="2024-12-20T00:00:00"/>
    <n v="8"/>
    <x v="0"/>
    <x v="0"/>
    <s v="Tokyo"/>
    <s v="Corporate"/>
    <x v="1"/>
    <x v="11"/>
    <x v="0"/>
    <x v="235"/>
    <n v="1202.47"/>
    <s v="Medium"/>
    <n v="1444.72"/>
    <n v="1444.72"/>
    <n v="0.24099999999999999"/>
    <n v="17"/>
    <n v="348.17752000000002"/>
    <n v="18641.222160000001"/>
    <n v="18293.04464"/>
    <n v="20441.990000000002"/>
    <n v="-1800.7678400000004"/>
    <n v="-2148.9453600000015"/>
    <n v="0.91190838856686651"/>
  </r>
  <r>
    <s v="ORD-2023-927385"/>
    <d v="2024-01-13T00:00:00"/>
    <x v="0"/>
    <x v="2"/>
    <x v="9"/>
    <d v="2024-03-09T00:00:00"/>
    <d v="2024-03-26T00:00:00"/>
    <d v="2024-03-26T00:00:00"/>
    <n v="17"/>
    <x v="2"/>
    <x v="10"/>
    <s v="San Francisco"/>
    <s v="Education"/>
    <x v="3"/>
    <x v="7"/>
    <x v="1"/>
    <x v="236"/>
    <n v="1137.4100000000001"/>
    <s v="Medium"/>
    <n v="1680.93"/>
    <n v="1680.93"/>
    <n v="0.254"/>
    <n v="9"/>
    <n v="426.95622000000003"/>
    <n v="11285.764020000001"/>
    <n v="10858.8078"/>
    <n v="10236.69"/>
    <n v="1049.07402"/>
    <n v="622.11779999999999"/>
    <n v="1.1024817611942923"/>
  </r>
  <r>
    <s v="ORD-2025-486350"/>
    <d v="2024-01-13T00:00:00"/>
    <x v="0"/>
    <x v="1"/>
    <x v="11"/>
    <d v="2023-05-29T00:00:00"/>
    <d v="2023-06-20T00:00:00"/>
    <d v="2023-06-20T00:00:00"/>
    <n v="22"/>
    <x v="1"/>
    <x v="7"/>
    <s v="London"/>
    <s v="Small Business"/>
    <x v="3"/>
    <x v="8"/>
    <x v="2"/>
    <x v="237"/>
    <n v="1295.3900000000001"/>
    <s v="High"/>
    <n v="2905.06"/>
    <n v="2905.06"/>
    <n v="0.14799999999999999"/>
    <n v="8"/>
    <n v="429.94887999999997"/>
    <n v="19800.88896"/>
    <n v="19370.94008"/>
    <n v="10363.120000000001"/>
    <n v="9437.7689599999994"/>
    <n v="9007.8200799999995"/>
    <n v="1.9107072927844122"/>
  </r>
  <r>
    <s v="ORD-2025-677880"/>
    <d v="2024-01-13T00:00:00"/>
    <x v="0"/>
    <x v="0"/>
    <x v="11"/>
    <d v="2025-05-27T00:00:00"/>
    <d v="2025-06-08T00:00:00"/>
    <d v="2025-06-08T00:00:00"/>
    <n v="12"/>
    <x v="0"/>
    <x v="0"/>
    <s v="Osaka"/>
    <s v="Corporate"/>
    <x v="1"/>
    <x v="14"/>
    <x v="5"/>
    <x v="238"/>
    <n v="653.6"/>
    <s v="Medium"/>
    <n v="842.09"/>
    <n v="842.09"/>
    <n v="9.8000000000000004E-2"/>
    <n v="19"/>
    <n v="82.524820000000005"/>
    <n v="14431.738420000001"/>
    <n v="14349.213600000001"/>
    <n v="12418.4"/>
    <n v="2013.3384200000019"/>
    <n v="1930.8136000000013"/>
    <n v="1.162125428396573"/>
  </r>
  <r>
    <s v="ORD-2024-251426"/>
    <d v="2024-01-16T00:00:00"/>
    <x v="0"/>
    <x v="1"/>
    <x v="8"/>
    <d v="2023-10-09T00:00:00"/>
    <d v="2023-10-26T00:00:00"/>
    <d v="2023-10-26T00:00:00"/>
    <n v="17"/>
    <x v="0"/>
    <x v="3"/>
    <s v="Shanghai"/>
    <s v="Consumer"/>
    <x v="4"/>
    <x v="4"/>
    <x v="2"/>
    <x v="239"/>
    <n v="1132.03"/>
    <s v="High"/>
    <n v="2137.21"/>
    <n v="2137.21"/>
    <n v="0.35699999999999998"/>
    <n v="35"/>
    <n v="762.98397"/>
    <n v="48097.911050000002"/>
    <n v="47334.927080000001"/>
    <n v="39621.049999999996"/>
    <n v="8476.8610500000068"/>
    <n v="7713.8770800000057"/>
    <n v="1.213948420094874"/>
  </r>
  <r>
    <s v="ORD-2023-368449"/>
    <d v="2024-01-18T00:00:00"/>
    <x v="0"/>
    <x v="2"/>
    <x v="4"/>
    <d v="2024-08-10T00:00:00"/>
    <d v="2024-09-07T00:00:00"/>
    <d v="2024-09-07T00:00:00"/>
    <n v="28"/>
    <x v="1"/>
    <x v="8"/>
    <s v="Marseille"/>
    <s v="Non-Profit"/>
    <x v="3"/>
    <x v="9"/>
    <x v="6"/>
    <x v="240"/>
    <n v="229.96"/>
    <s v="Low"/>
    <n v="564.26"/>
    <n v="564.26"/>
    <n v="0.105"/>
    <n v="5"/>
    <n v="59.247299999999996"/>
    <n v="2525.0635000000002"/>
    <n v="2465.8162000000002"/>
    <n v="1149.8"/>
    <n v="1375.2635000000002"/>
    <n v="1316.0162000000003"/>
    <n v="2.1960893198817186"/>
  </r>
  <r>
    <s v="ORD-2024-307849"/>
    <d v="2024-01-20T00:00:00"/>
    <x v="0"/>
    <x v="0"/>
    <x v="3"/>
    <d v="2025-06-15T00:00:00"/>
    <d v="2025-06-30T00:00:00"/>
    <d v="2025-06-30T00:00:00"/>
    <n v="15"/>
    <x v="3"/>
    <x v="11"/>
    <s v="Johannesburg"/>
    <s v="Small Business"/>
    <x v="3"/>
    <x v="4"/>
    <x v="3"/>
    <x v="241"/>
    <n v="1487.59"/>
    <s v="Medium"/>
    <n v="1480.83"/>
    <n v="1480.83"/>
    <n v="8.9999999999999993E-3"/>
    <n v="11"/>
    <n v="13.327469999999998"/>
    <n v="16142.527829999999"/>
    <n v="16129.200359999999"/>
    <n v="16363.49"/>
    <n v="-220.9621700000007"/>
    <n v="-234.28964000000087"/>
    <n v="0.98649663549768418"/>
  </r>
  <r>
    <s v="ORD-2025-485946"/>
    <d v="2024-01-21T00:00:00"/>
    <x v="0"/>
    <x v="1"/>
    <x v="8"/>
    <d v="2023-10-26T00:00:00"/>
    <d v="2023-11-05T00:00:00"/>
    <d v="2023-11-05T00:00:00"/>
    <n v="10"/>
    <x v="3"/>
    <x v="11"/>
    <s v="Cape Town"/>
    <s v="Non-Profit"/>
    <x v="2"/>
    <x v="7"/>
    <x v="0"/>
    <x v="242"/>
    <n v="20.38"/>
    <s v="Low"/>
    <n v="42.56"/>
    <n v="42.56"/>
    <n v="7.1999999999999995E-2"/>
    <n v="11"/>
    <n v="3.0643199999999999"/>
    <n v="434.45248000000004"/>
    <n v="431.38816000000003"/>
    <n v="224.17999999999998"/>
    <n v="210.27248000000006"/>
    <n v="207.20816000000005"/>
    <n v="1.9379627085377824"/>
  </r>
  <r>
    <s v="ORD-2023-835226"/>
    <d v="2024-01-24T00:00:00"/>
    <x v="0"/>
    <x v="1"/>
    <x v="7"/>
    <d v="2023-09-30T00:00:00"/>
    <d v="2023-10-03T00:00:00"/>
    <d v="2023-10-03T00:00:00"/>
    <n v="3"/>
    <x v="0"/>
    <x v="3"/>
    <s v="Beijing"/>
    <s v="Non-Profit"/>
    <x v="1"/>
    <x v="5"/>
    <x v="0"/>
    <x v="94"/>
    <n v="1019.36"/>
    <s v="Medium"/>
    <n v="972.91"/>
    <n v="972.91"/>
    <n v="0.14699999999999999"/>
    <n v="17"/>
    <n v="143.01776999999998"/>
    <n v="14108.16791"/>
    <n v="13965.15014"/>
    <n v="17329.12"/>
    <n v="-3220.9520899999989"/>
    <n v="-3363.9698599999992"/>
    <n v="0.81413066041437765"/>
  </r>
  <r>
    <s v="ORD-2024-527858"/>
    <d v="2024-01-25T00:00:00"/>
    <x v="0"/>
    <x v="0"/>
    <x v="11"/>
    <d v="2025-05-12T00:00:00"/>
    <d v="2025-05-26T00:00:00"/>
    <d v="2025-05-26T00:00:00"/>
    <n v="14"/>
    <x v="0"/>
    <x v="4"/>
    <s v="Hyderabad"/>
    <s v="Corporate"/>
    <x v="4"/>
    <x v="12"/>
    <x v="6"/>
    <x v="243"/>
    <n v="320.12"/>
    <s v="Medium"/>
    <n v="594.41999999999996"/>
    <n v="594.41999999999996"/>
    <n v="0.104"/>
    <n v="18"/>
    <n v="61.819679999999991"/>
    <n v="9586.8057599999993"/>
    <n v="9524.9860799999988"/>
    <n v="5762.16"/>
    <n v="3824.6457599999994"/>
    <n v="3762.8260799999989"/>
    <n v="1.6637520929651379"/>
  </r>
  <r>
    <s v="ORD-2023-619385"/>
    <d v="2024-01-25T00:00:00"/>
    <x v="0"/>
    <x v="2"/>
    <x v="11"/>
    <d v="2024-05-07T00:00:00"/>
    <d v="2024-05-12T00:00:00"/>
    <d v="2024-05-12T00:00:00"/>
    <n v="5"/>
    <x v="3"/>
    <x v="9"/>
    <s v="Abuja"/>
    <s v="Non-Profit"/>
    <x v="0"/>
    <x v="1"/>
    <x v="0"/>
    <x v="244"/>
    <n v="1163.99"/>
    <s v="Medium"/>
    <n v="1617.85"/>
    <n v="1617.85"/>
    <n v="0.127"/>
    <n v="14"/>
    <n v="205.46695"/>
    <n v="19773.362699999998"/>
    <n v="19567.895749999996"/>
    <n v="16295.86"/>
    <n v="3477.5026999999973"/>
    <n v="3272.0357499999955"/>
    <n v="1.2133979243807935"/>
  </r>
  <r>
    <s v="ORD-2024-398783"/>
    <d v="2024-01-28T00:00:00"/>
    <x v="0"/>
    <x v="1"/>
    <x v="3"/>
    <d v="2023-06-20T00:00:00"/>
    <d v="2023-07-08T00:00:00"/>
    <d v="2023-07-08T00:00:00"/>
    <n v="18"/>
    <x v="2"/>
    <x v="10"/>
    <s v="New York"/>
    <s v="Consumer"/>
    <x v="4"/>
    <x v="6"/>
    <x v="4"/>
    <x v="245"/>
    <n v="1145.53"/>
    <s v="Medium"/>
    <n v="1278.3"/>
    <n v="1278.3"/>
    <n v="0.09"/>
    <n v="41"/>
    <n v="115.047"/>
    <n v="47693.373"/>
    <n v="47578.326000000001"/>
    <n v="46966.729999999996"/>
    <n v="726.64300000000367"/>
    <n v="611.59600000000501"/>
    <n v="1.0154714411669707"/>
  </r>
  <r>
    <s v="ORD-2023-676553"/>
    <d v="2024-01-28T00:00:00"/>
    <x v="0"/>
    <x v="2"/>
    <x v="5"/>
    <d v="2024-07-18T00:00:00"/>
    <d v="2024-08-07T00:00:00"/>
    <d v="2024-08-07T00:00:00"/>
    <n v="20"/>
    <x v="1"/>
    <x v="8"/>
    <s v="Marseille"/>
    <s v="Corporate"/>
    <x v="1"/>
    <x v="9"/>
    <x v="3"/>
    <x v="246"/>
    <n v="941.35"/>
    <s v="Medium"/>
    <n v="899.83"/>
    <n v="899.83"/>
    <n v="5.8000000000000003E-2"/>
    <n v="18"/>
    <n v="52.190140000000007"/>
    <n v="15257.51748"/>
    <n v="15205.32734"/>
    <n v="16944.3"/>
    <n v="-1686.7825199999988"/>
    <n v="-1738.9726599999995"/>
    <n v="0.90045133053593251"/>
  </r>
  <r>
    <s v="ORD-2025-866565"/>
    <d v="2024-01-28T00:00:00"/>
    <x v="0"/>
    <x v="1"/>
    <x v="11"/>
    <d v="2023-05-20T00:00:00"/>
    <d v="2023-06-19T00:00:00"/>
    <d v="2023-06-19T00:00:00"/>
    <n v="30"/>
    <x v="0"/>
    <x v="4"/>
    <s v="Delhi"/>
    <s v="Non-Profit"/>
    <x v="4"/>
    <x v="14"/>
    <x v="0"/>
    <x v="247"/>
    <n v="1161.2"/>
    <s v="Medium"/>
    <n v="878.73"/>
    <n v="878.73"/>
    <n v="0.19"/>
    <n v="31"/>
    <n v="166.95869999999999"/>
    <n v="22064.910300000003"/>
    <n v="21897.951600000004"/>
    <n v="35997.200000000004"/>
    <n v="-13932.289700000001"/>
    <n v="-14099.2484"/>
    <n v="0.6129618498105408"/>
  </r>
  <r>
    <s v="ORD-2025-789245"/>
    <d v="2024-02-01T00:00:00"/>
    <x v="0"/>
    <x v="0"/>
    <x v="4"/>
    <d v="2025-08-07T00:00:00"/>
    <d v="2025-09-06T00:00:00"/>
    <d v="2025-09-06T00:00:00"/>
    <n v="30"/>
    <x v="2"/>
    <x v="2"/>
    <s v="Montreal"/>
    <s v="Education"/>
    <x v="3"/>
    <x v="13"/>
    <x v="4"/>
    <x v="248"/>
    <n v="833.73"/>
    <s v="Medium"/>
    <n v="1116.5999999999999"/>
    <n v="1116.5999999999999"/>
    <n v="0.17599999999999999"/>
    <n v="14"/>
    <n v="196.52159999999998"/>
    <n v="12881.097599999999"/>
    <n v="12684.575999999999"/>
    <n v="11672.220000000001"/>
    <n v="1208.877599999998"/>
    <n v="1012.3559999999979"/>
    <n v="1.10356878126012"/>
  </r>
  <r>
    <s v="ORD-2023-594955"/>
    <d v="2024-02-01T00:00:00"/>
    <x v="0"/>
    <x v="0"/>
    <x v="5"/>
    <d v="2025-07-23T00:00:00"/>
    <d v="2025-08-17T00:00:00"/>
    <d v="2025-08-17T00:00:00"/>
    <n v="25"/>
    <x v="1"/>
    <x v="7"/>
    <s v="Birmingham"/>
    <s v="Education"/>
    <x v="2"/>
    <x v="7"/>
    <x v="6"/>
    <x v="249"/>
    <n v="1142.06"/>
    <s v="Medium"/>
    <n v="1455"/>
    <n v="1455"/>
    <n v="7.8E-2"/>
    <n v="28"/>
    <n v="113.49"/>
    <n v="37562.28"/>
    <n v="37448.79"/>
    <n v="31977.68"/>
    <n v="5584.5999999999985"/>
    <n v="5471.1100000000006"/>
    <n v="1.1746405617918498"/>
  </r>
  <r>
    <s v="ORD-2025-192876"/>
    <d v="2024-02-03T00:00:00"/>
    <x v="0"/>
    <x v="0"/>
    <x v="0"/>
    <d v="2025-02-06T00:00:00"/>
    <d v="2025-02-15T00:00:00"/>
    <d v="2025-02-15T00:00:00"/>
    <n v="9"/>
    <x v="2"/>
    <x v="6"/>
    <s v="São Paulo"/>
    <s v="Non-Profit"/>
    <x v="0"/>
    <x v="9"/>
    <x v="4"/>
    <x v="250"/>
    <n v="837.39"/>
    <s v="Medium"/>
    <n v="1905.42"/>
    <n v="1905.42"/>
    <n v="3.2000000000000001E-2"/>
    <n v="18"/>
    <n v="60.973440000000004"/>
    <n v="33200.038079999998"/>
    <n v="33139.064639999997"/>
    <n v="15073.02"/>
    <n v="18127.018079999998"/>
    <n v="18066.044639999996"/>
    <n v="2.2026135492422885"/>
  </r>
  <r>
    <s v="ORD-2025-822030"/>
    <d v="2024-02-03T00:00:00"/>
    <x v="0"/>
    <x v="0"/>
    <x v="10"/>
    <d v="2025-01-31T00:00:00"/>
    <d v="2025-02-17T00:00:00"/>
    <d v="2025-02-17T00:00:00"/>
    <n v="17"/>
    <x v="1"/>
    <x v="7"/>
    <s v="London"/>
    <s v="Enterprise"/>
    <x v="1"/>
    <x v="14"/>
    <x v="2"/>
    <x v="251"/>
    <n v="378.26"/>
    <s v="Low"/>
    <n v="541.55999999999995"/>
    <n v="541.55999999999995"/>
    <n v="0.16300000000000001"/>
    <n v="25"/>
    <n v="88.27427999999999"/>
    <n v="11332.142999999998"/>
    <n v="11243.868719999999"/>
    <n v="9456.5"/>
    <n v="1875.6429999999982"/>
    <n v="1787.3687199999986"/>
    <n v="1.1983443134352032"/>
  </r>
  <r>
    <s v="ORD-2025-915869"/>
    <d v="2024-02-06T00:00:00"/>
    <x v="0"/>
    <x v="0"/>
    <x v="10"/>
    <d v="2025-01-07T00:00:00"/>
    <d v="2025-01-20T00:00:00"/>
    <d v="2025-01-20T00:00:00"/>
    <n v="13"/>
    <x v="3"/>
    <x v="11"/>
    <s v="Cape Town"/>
    <s v="Corporate"/>
    <x v="3"/>
    <x v="8"/>
    <x v="4"/>
    <x v="252"/>
    <n v="432.13"/>
    <s v="Medium"/>
    <n v="1034.6600000000001"/>
    <n v="1034.6600000000001"/>
    <n v="9.1999999999999998E-2"/>
    <n v="7"/>
    <n v="95.188720000000004"/>
    <n v="6576.298960000001"/>
    <n v="6481.1102400000009"/>
    <n v="3024.91"/>
    <n v="3551.3889600000011"/>
    <n v="3456.200240000001"/>
    <n v="2.1740478096869"/>
  </r>
  <r>
    <s v="ORD-2025-636162"/>
    <d v="2024-02-08T00:00:00"/>
    <x v="0"/>
    <x v="1"/>
    <x v="9"/>
    <d v="2023-03-13T00:00:00"/>
    <d v="2023-04-04T00:00:00"/>
    <d v="2023-04-04T00:00:00"/>
    <n v="22"/>
    <x v="3"/>
    <x v="11"/>
    <s v="Durban"/>
    <s v="Small Business"/>
    <x v="1"/>
    <x v="3"/>
    <x v="2"/>
    <x v="253"/>
    <n v="1113.7"/>
    <s v="Medium"/>
    <n v="1620.6"/>
    <n v="1620.6"/>
    <n v="0.13900000000000001"/>
    <n v="11"/>
    <n v="225.26340000000002"/>
    <n v="15348.702599999999"/>
    <n v="15123.439199999999"/>
    <n v="12250.7"/>
    <n v="3098.002599999998"/>
    <n v="2872.7391999999982"/>
    <n v="1.2528837209302324"/>
  </r>
  <r>
    <s v="ORD-2023-281890"/>
    <d v="2024-02-11T00:00:00"/>
    <x v="0"/>
    <x v="0"/>
    <x v="3"/>
    <d v="2025-06-27T00:00:00"/>
    <d v="2025-07-11T00:00:00"/>
    <d v="2025-07-11T00:00:00"/>
    <n v="14"/>
    <x v="0"/>
    <x v="3"/>
    <s v="Shanghai"/>
    <s v="Small Business"/>
    <x v="4"/>
    <x v="1"/>
    <x v="4"/>
    <x v="254"/>
    <n v="1227.7"/>
    <s v="High"/>
    <n v="2197.23"/>
    <n v="2197.23"/>
    <n v="9.9000000000000005E-2"/>
    <n v="22"/>
    <n v="217.52577000000002"/>
    <n v="43553.493060000001"/>
    <n v="43335.967290000001"/>
    <n v="27009.4"/>
    <n v="16544.093059999999"/>
    <n v="16326.567289999999"/>
    <n v="1.6125309358963915"/>
  </r>
  <r>
    <s v="ORD-2025-188059"/>
    <d v="2024-02-14T00:00:00"/>
    <x v="0"/>
    <x v="2"/>
    <x v="9"/>
    <d v="2024-03-03T00:00:00"/>
    <d v="2024-03-19T00:00:00"/>
    <d v="2024-03-19T00:00:00"/>
    <n v="16"/>
    <x v="0"/>
    <x v="3"/>
    <s v="Beijing"/>
    <s v="Consumer"/>
    <x v="0"/>
    <x v="12"/>
    <x v="1"/>
    <x v="255"/>
    <n v="988.83"/>
    <s v="Medium"/>
    <n v="1206.04"/>
    <n v="1206.04"/>
    <n v="6.3E-2"/>
    <n v="34"/>
    <n v="75.980519999999999"/>
    <n v="38422.022320000004"/>
    <n v="38346.041800000006"/>
    <n v="33620.22"/>
    <n v="4801.8023200000025"/>
    <n v="4725.8218000000052"/>
    <n v="1.1428248333889548"/>
  </r>
  <r>
    <s v="ORD-2024-868223"/>
    <d v="2024-02-16T00:00:00"/>
    <x v="0"/>
    <x v="2"/>
    <x v="11"/>
    <d v="2024-05-17T00:00:00"/>
    <d v="2024-05-27T00:00:00"/>
    <d v="2024-05-27T00:00:00"/>
    <n v="10"/>
    <x v="2"/>
    <x v="10"/>
    <s v="Austin"/>
    <s v="Non-Profit"/>
    <x v="2"/>
    <x v="4"/>
    <x v="1"/>
    <x v="256"/>
    <n v="1484.23"/>
    <s v="High"/>
    <n v="3472.81"/>
    <n v="3472.81"/>
    <n v="0.25600000000000001"/>
    <n v="12"/>
    <n v="889.03935999999999"/>
    <n v="31005.24768"/>
    <n v="30116.208320000002"/>
    <n v="17810.760000000002"/>
    <n v="13194.487679999998"/>
    <n v="12305.44832"/>
    <n v="1.7408155339805824"/>
  </r>
  <r>
    <s v="ORD-2024-690270"/>
    <d v="2024-02-17T00:00:00"/>
    <x v="0"/>
    <x v="0"/>
    <x v="6"/>
    <d v="2025-04-04T00:00:00"/>
    <d v="2025-04-10T00:00:00"/>
    <d v="2025-04-10T00:00:00"/>
    <n v="6"/>
    <x v="1"/>
    <x v="7"/>
    <s v="Birmingham"/>
    <s v="Non-Profit"/>
    <x v="3"/>
    <x v="0"/>
    <x v="6"/>
    <x v="257"/>
    <n v="290.14"/>
    <s v="Low"/>
    <n v="250.73"/>
    <n v="250.73"/>
    <n v="3.4000000000000002E-2"/>
    <n v="17"/>
    <n v="8.5248200000000001"/>
    <n v="4117.4880599999997"/>
    <n v="4108.96324"/>
    <n v="4932.38"/>
    <n v="-814.89194000000043"/>
    <n v="-823.41676000000007"/>
    <n v="0.83478727510856821"/>
  </r>
  <r>
    <s v="ORD-2023-855675"/>
    <d v="2024-02-18T00:00:00"/>
    <x v="0"/>
    <x v="1"/>
    <x v="2"/>
    <d v="2023-12-26T00:00:00"/>
    <d v="2024-01-03T00:00:00"/>
    <d v="2024-01-03T00:00:00"/>
    <n v="8"/>
    <x v="1"/>
    <x v="8"/>
    <s v="Lyon"/>
    <s v="Small Business"/>
    <x v="1"/>
    <x v="13"/>
    <x v="0"/>
    <x v="258"/>
    <n v="492.75"/>
    <s v="Medium"/>
    <n v="731.29"/>
    <n v="731.29"/>
    <n v="5.8000000000000003E-2"/>
    <n v="6"/>
    <n v="42.414819999999999"/>
    <n v="4133.25108"/>
    <n v="4090.83626"/>
    <n v="2956.5"/>
    <n v="1176.75108"/>
    <n v="1134.33626"/>
    <n v="1.3980216742770168"/>
  </r>
  <r>
    <s v="ORD-2023-545150"/>
    <d v="2024-02-18T00:00:00"/>
    <x v="0"/>
    <x v="1"/>
    <x v="0"/>
    <d v="2023-02-05T00:00:00"/>
    <d v="2023-02-28T00:00:00"/>
    <d v="2023-02-28T00:00:00"/>
    <n v="23"/>
    <x v="2"/>
    <x v="10"/>
    <s v="Austin"/>
    <s v="Non-Profit"/>
    <x v="0"/>
    <x v="1"/>
    <x v="1"/>
    <x v="259"/>
    <n v="1214.49"/>
    <s v="Medium"/>
    <n v="1533.95"/>
    <n v="1533.95"/>
    <n v="0"/>
    <n v="11"/>
    <n v="0"/>
    <n v="16873.45"/>
    <n v="16873.45"/>
    <n v="13359.39"/>
    <n v="3514.0600000000013"/>
    <n v="3514.0600000000013"/>
    <n v="1.2630404531943451"/>
  </r>
  <r>
    <s v="ORD-2025-269934"/>
    <d v="2024-02-18T00:00:00"/>
    <x v="0"/>
    <x v="1"/>
    <x v="6"/>
    <d v="2023-04-06T00:00:00"/>
    <d v="2023-04-08T00:00:00"/>
    <d v="2023-04-08T00:00:00"/>
    <n v="2"/>
    <x v="3"/>
    <x v="9"/>
    <s v="Abuja"/>
    <s v="Small Business"/>
    <x v="4"/>
    <x v="8"/>
    <x v="3"/>
    <x v="260"/>
    <n v="720.35"/>
    <s v="Medium"/>
    <n v="1571.66"/>
    <n v="1571.66"/>
    <n v="0.107"/>
    <n v="23"/>
    <n v="168.16762"/>
    <n v="32280.32474"/>
    <n v="32112.15712"/>
    <n v="16568.05"/>
    <n v="15712.274740000001"/>
    <n v="15544.107120000001"/>
    <n v="1.9483478586798084"/>
  </r>
  <r>
    <s v="ORD-2023-813340"/>
    <d v="2024-02-19T00:00:00"/>
    <x v="0"/>
    <x v="0"/>
    <x v="3"/>
    <d v="2025-06-24T00:00:00"/>
    <d v="2025-07-23T00:00:00"/>
    <d v="2025-07-23T00:00:00"/>
    <n v="29"/>
    <x v="2"/>
    <x v="2"/>
    <s v="Vancouver"/>
    <s v="Non-Profit"/>
    <x v="4"/>
    <x v="7"/>
    <x v="6"/>
    <x v="261"/>
    <n v="255.4"/>
    <s v="Low"/>
    <n v="322.70999999999998"/>
    <n v="322.70999999999998"/>
    <n v="0.115"/>
    <n v="16"/>
    <n v="37.111649999999997"/>
    <n v="4569.5735999999997"/>
    <n v="4532.4619499999999"/>
    <n v="4086.4"/>
    <n v="483.17359999999962"/>
    <n v="446.0619499999998"/>
    <n v="1.1182394283476897"/>
  </r>
  <r>
    <s v="ORD-2025-306903"/>
    <d v="2024-02-20T00:00:00"/>
    <x v="0"/>
    <x v="1"/>
    <x v="7"/>
    <d v="2023-09-25T00:00:00"/>
    <d v="2023-10-09T00:00:00"/>
    <d v="2023-10-09T00:00:00"/>
    <n v="14"/>
    <x v="2"/>
    <x v="10"/>
    <s v="New York"/>
    <s v="Small Business"/>
    <x v="4"/>
    <x v="5"/>
    <x v="0"/>
    <x v="262"/>
    <n v="1279.56"/>
    <s v="High"/>
    <n v="3083.8"/>
    <n v="3083.8"/>
    <n v="0.106"/>
    <n v="5"/>
    <n v="326.88280000000003"/>
    <n v="13784.586000000001"/>
    <n v="13457.703200000002"/>
    <n v="6397.7999999999993"/>
    <n v="7386.7860000000019"/>
    <n v="7059.9032000000025"/>
    <n v="2.1545822001312955"/>
  </r>
  <r>
    <s v="ORD-2023-132101"/>
    <d v="2024-02-25T00:00:00"/>
    <x v="0"/>
    <x v="0"/>
    <x v="9"/>
    <d v="2025-03-15T00:00:00"/>
    <d v="2025-03-29T00:00:00"/>
    <d v="2025-03-29T00:00:00"/>
    <n v="14"/>
    <x v="0"/>
    <x v="4"/>
    <s v="Mumbai"/>
    <s v="Enterprise"/>
    <x v="3"/>
    <x v="4"/>
    <x v="2"/>
    <x v="263"/>
    <n v="935.83"/>
    <s v="High"/>
    <n v="2303.46"/>
    <n v="2303.46"/>
    <n v="0.105"/>
    <n v="9"/>
    <n v="241.86329999999998"/>
    <n v="18554.370299999999"/>
    <n v="18312.506999999998"/>
    <n v="8422.4700000000012"/>
    <n v="10131.900299999998"/>
    <n v="9890.0369999999966"/>
    <n v="2.2029606873043175"/>
  </r>
  <r>
    <s v="ORD-2025-624006"/>
    <d v="2024-02-27T00:00:00"/>
    <x v="0"/>
    <x v="2"/>
    <x v="3"/>
    <d v="2024-06-02T00:00:00"/>
    <d v="2024-06-15T00:00:00"/>
    <d v="2024-06-15T00:00:00"/>
    <n v="13"/>
    <x v="3"/>
    <x v="5"/>
    <s v="Mombasa"/>
    <s v="Education"/>
    <x v="2"/>
    <x v="6"/>
    <x v="1"/>
    <x v="264"/>
    <n v="1295.18"/>
    <s v="High"/>
    <n v="3024.03"/>
    <n v="3024.03"/>
    <n v="0.192"/>
    <n v="8"/>
    <n v="580.61376000000007"/>
    <n v="19547.329920000004"/>
    <n v="18966.716160000004"/>
    <n v="10361.44"/>
    <n v="9185.8899200000033"/>
    <n v="8605.2761600000031"/>
    <n v="1.8865456847696849"/>
  </r>
  <r>
    <s v="ORD-2024-819778"/>
    <d v="2024-02-29T00:00:00"/>
    <x v="0"/>
    <x v="0"/>
    <x v="9"/>
    <d v="2025-03-21T00:00:00"/>
    <d v="2025-04-09T00:00:00"/>
    <d v="2025-04-09T00:00:00"/>
    <n v="19"/>
    <x v="0"/>
    <x v="0"/>
    <s v="Tokyo"/>
    <s v="Small Business"/>
    <x v="0"/>
    <x v="2"/>
    <x v="2"/>
    <x v="265"/>
    <n v="1055.45"/>
    <s v="Medium"/>
    <n v="1210.04"/>
    <n v="1210.04"/>
    <n v="8.9999999999999993E-3"/>
    <n v="18"/>
    <n v="10.890359999999999"/>
    <n v="21584.693520000001"/>
    <n v="21573.803159999999"/>
    <n v="18998.100000000002"/>
    <n v="2586.5935199999985"/>
    <n v="2575.7031599999973"/>
    <n v="1.136150116064238"/>
  </r>
  <r>
    <s v="ORD-2025-125517"/>
    <d v="2024-03-01T00:00:00"/>
    <x v="0"/>
    <x v="1"/>
    <x v="3"/>
    <d v="2023-06-05T00:00:00"/>
    <d v="2023-06-28T00:00:00"/>
    <d v="2023-06-28T00:00:00"/>
    <n v="23"/>
    <x v="1"/>
    <x v="7"/>
    <s v="Birmingham"/>
    <s v="Corporate"/>
    <x v="3"/>
    <x v="8"/>
    <x v="6"/>
    <x v="266"/>
    <n v="605.82000000000005"/>
    <s v="Medium"/>
    <n v="771.12"/>
    <n v="771.12"/>
    <n v="0.13200000000000001"/>
    <n v="19"/>
    <n v="101.78784"/>
    <n v="12717.311040000001"/>
    <n v="12615.5232"/>
    <n v="11510.580000000002"/>
    <n v="1206.7310399999988"/>
    <n v="1104.9431999999979"/>
    <n v="1.1048366841636128"/>
  </r>
  <r>
    <s v="ORD-2024-343877"/>
    <d v="2024-03-02T00:00:00"/>
    <x v="0"/>
    <x v="1"/>
    <x v="5"/>
    <d v="2023-07-01T00:00:00"/>
    <d v="2023-07-08T00:00:00"/>
    <d v="2023-07-08T00:00:00"/>
    <n v="7"/>
    <x v="3"/>
    <x v="9"/>
    <s v="Port Harcourt"/>
    <s v="Corporate"/>
    <x v="1"/>
    <x v="3"/>
    <x v="0"/>
    <x v="267"/>
    <n v="834.26"/>
    <s v="Medium"/>
    <n v="1780.56"/>
    <n v="1780.56"/>
    <n v="1.4E-2"/>
    <n v="47"/>
    <n v="24.92784"/>
    <n v="82514.711519999997"/>
    <n v="82489.783679999993"/>
    <n v="39210.22"/>
    <n v="43304.491519999996"/>
    <n v="43279.563679999992"/>
    <n v="2.104418478651739"/>
  </r>
  <r>
    <s v="ORD-2023-386663"/>
    <d v="2024-03-02T00:00:00"/>
    <x v="0"/>
    <x v="2"/>
    <x v="9"/>
    <d v="2024-03-09T00:00:00"/>
    <d v="2024-03-26T00:00:00"/>
    <d v="2024-03-26T00:00:00"/>
    <n v="17"/>
    <x v="0"/>
    <x v="3"/>
    <s v="Shenzhen"/>
    <s v="Enterprise"/>
    <x v="2"/>
    <x v="8"/>
    <x v="3"/>
    <x v="268"/>
    <n v="1029.67"/>
    <s v="Medium"/>
    <n v="1118.43"/>
    <n v="1118.43"/>
    <n v="0.27200000000000002"/>
    <n v="9"/>
    <n v="304.21296000000007"/>
    <n v="7327.9533600000004"/>
    <n v="7023.7404000000006"/>
    <n v="9267.0300000000007"/>
    <n v="-1939.0766400000002"/>
    <n v="-2243.2896000000001"/>
    <n v="0.79075532937737336"/>
  </r>
  <r>
    <s v="ORD-2023-159821"/>
    <d v="2024-03-03T00:00:00"/>
    <x v="0"/>
    <x v="0"/>
    <x v="3"/>
    <d v="2025-06-25T00:00:00"/>
    <d v="2025-07-10T00:00:00"/>
    <d v="2025-07-10T00:00:00"/>
    <n v="15"/>
    <x v="1"/>
    <x v="7"/>
    <s v="Birmingham"/>
    <s v="Non-Profit"/>
    <x v="4"/>
    <x v="10"/>
    <x v="1"/>
    <x v="269"/>
    <n v="546.83000000000004"/>
    <s v="Low"/>
    <n v="400.84"/>
    <n v="400.84"/>
    <n v="7.8E-2"/>
    <n v="13"/>
    <n v="31.265519999999999"/>
    <n v="4804.4682400000002"/>
    <n v="4773.2027200000002"/>
    <n v="7108.7900000000009"/>
    <n v="-2304.3217600000007"/>
    <n v="-2335.5872800000006"/>
    <n v="0.67584894757054292"/>
  </r>
  <r>
    <s v="ORD-2025-591006"/>
    <d v="2024-03-04T00:00:00"/>
    <x v="0"/>
    <x v="2"/>
    <x v="3"/>
    <d v="2024-06-23T00:00:00"/>
    <d v="2024-06-25T00:00:00"/>
    <d v="2024-06-25T00:00:00"/>
    <n v="2"/>
    <x v="1"/>
    <x v="7"/>
    <s v="Birmingham"/>
    <s v="Small Business"/>
    <x v="4"/>
    <x v="1"/>
    <x v="5"/>
    <x v="270"/>
    <n v="951.44"/>
    <s v="Medium"/>
    <n v="1646.43"/>
    <n v="1646.43"/>
    <n v="0.11"/>
    <n v="24"/>
    <n v="181.10730000000001"/>
    <n v="35167.7448"/>
    <n v="34986.637499999997"/>
    <n v="22834.560000000001"/>
    <n v="12333.184799999999"/>
    <n v="12152.077499999996"/>
    <n v="1.5401104641385688"/>
  </r>
  <r>
    <s v="ORD-2024-704056"/>
    <d v="2024-03-06T00:00:00"/>
    <x v="0"/>
    <x v="2"/>
    <x v="10"/>
    <d v="2024-01-18T00:00:00"/>
    <d v="2024-02-03T00:00:00"/>
    <d v="2024-02-03T00:00:00"/>
    <n v="16"/>
    <x v="3"/>
    <x v="11"/>
    <s v="Cape Town"/>
    <s v="Non-Profit"/>
    <x v="0"/>
    <x v="1"/>
    <x v="6"/>
    <x v="271"/>
    <n v="666.23"/>
    <s v="Medium"/>
    <n v="1382.91"/>
    <n v="1382.91"/>
    <n v="0.17599999999999999"/>
    <n v="13"/>
    <n v="243.39215999999999"/>
    <n v="14813.731920000002"/>
    <n v="14570.339760000003"/>
    <n v="8660.99"/>
    <n v="6152.7419200000022"/>
    <n v="5909.3497600000028"/>
    <n v="1.7103970700809032"/>
  </r>
  <r>
    <s v="ORD-2024-961756"/>
    <d v="2024-03-07T00:00:00"/>
    <x v="0"/>
    <x v="2"/>
    <x v="6"/>
    <d v="2024-04-03T00:00:00"/>
    <d v="2024-04-21T00:00:00"/>
    <d v="2024-04-21T00:00:00"/>
    <n v="18"/>
    <x v="2"/>
    <x v="6"/>
    <s v="Brasília"/>
    <s v="Small Business"/>
    <x v="0"/>
    <x v="11"/>
    <x v="4"/>
    <x v="272"/>
    <n v="1176.69"/>
    <s v="High"/>
    <n v="2201.54"/>
    <n v="2201.54"/>
    <n v="0.17"/>
    <n v="27"/>
    <n v="374.26179999999999"/>
    <n v="49336.511399999996"/>
    <n v="48962.249599999996"/>
    <n v="31770.63"/>
    <n v="17565.881399999995"/>
    <n v="17191.619599999995"/>
    <n v="1.5528968547365913"/>
  </r>
  <r>
    <s v="ORD-2024-892173"/>
    <d v="2024-03-07T00:00:00"/>
    <x v="0"/>
    <x v="2"/>
    <x v="1"/>
    <d v="2024-11-25T00:00:00"/>
    <d v="2024-12-07T00:00:00"/>
    <d v="2024-12-07T00:00:00"/>
    <n v="12"/>
    <x v="0"/>
    <x v="3"/>
    <s v="Shanghai"/>
    <s v="Corporate"/>
    <x v="0"/>
    <x v="3"/>
    <x v="5"/>
    <x v="273"/>
    <n v="769.9"/>
    <s v="Medium"/>
    <n v="814.36"/>
    <n v="814.36"/>
    <n v="0"/>
    <n v="5"/>
    <n v="0"/>
    <n v="4071.8"/>
    <n v="4071.8"/>
    <n v="3849.5"/>
    <n v="222.30000000000018"/>
    <n v="222.30000000000018"/>
    <n v="1.0577477594492792"/>
  </r>
  <r>
    <s v="ORD-2024-921935"/>
    <d v="2024-03-09T00:00:00"/>
    <x v="0"/>
    <x v="2"/>
    <x v="1"/>
    <d v="2024-11-07T00:00:00"/>
    <d v="2024-11-26T00:00:00"/>
    <d v="2024-11-26T00:00:00"/>
    <n v="19"/>
    <x v="2"/>
    <x v="6"/>
    <s v="Rio de Janeiro"/>
    <s v="Non-Profit"/>
    <x v="0"/>
    <x v="5"/>
    <x v="6"/>
    <x v="274"/>
    <n v="55.35"/>
    <s v="Low"/>
    <n v="128.68"/>
    <n v="128.68"/>
    <n v="0.128"/>
    <n v="10"/>
    <n v="16.471040000000002"/>
    <n v="1122.0896000000002"/>
    <n v="1105.6185600000003"/>
    <n v="553.5"/>
    <n v="568.58960000000025"/>
    <n v="552.11856000000034"/>
    <n v="2.0272621499548333"/>
  </r>
  <r>
    <s v="ORD-2025-949776"/>
    <d v="2024-03-09T00:00:00"/>
    <x v="0"/>
    <x v="2"/>
    <x v="10"/>
    <d v="2024-01-01T00:00:00"/>
    <d v="2024-01-27T00:00:00"/>
    <d v="2024-01-27T00:00:00"/>
    <n v="26"/>
    <x v="1"/>
    <x v="7"/>
    <s v="Manchester"/>
    <s v="Education"/>
    <x v="0"/>
    <x v="10"/>
    <x v="5"/>
    <x v="275"/>
    <n v="657.45"/>
    <s v="Medium"/>
    <n v="1325.96"/>
    <n v="1325.96"/>
    <n v="0.16700000000000001"/>
    <n v="21"/>
    <n v="221.43532000000002"/>
    <n v="23195.01828"/>
    <n v="22973.58296"/>
    <n v="13806.45"/>
    <n v="9388.5682799999995"/>
    <n v="9167.132959999999"/>
    <n v="1.6800132025249068"/>
  </r>
  <r>
    <s v="ORD-2024-510591"/>
    <d v="2024-03-09T00:00:00"/>
    <x v="0"/>
    <x v="0"/>
    <x v="4"/>
    <d v="2025-08-14T00:00:00"/>
    <d v="2025-09-11T00:00:00"/>
    <d v="2025-09-11T00:00:00"/>
    <n v="28"/>
    <x v="2"/>
    <x v="6"/>
    <s v="São Paulo"/>
    <s v="Non-Profit"/>
    <x v="3"/>
    <x v="9"/>
    <x v="6"/>
    <x v="276"/>
    <n v="1203.02"/>
    <s v="High"/>
    <n v="2439.33"/>
    <n v="2439.33"/>
    <n v="0"/>
    <n v="18"/>
    <n v="0"/>
    <n v="43907.94"/>
    <n v="43907.94"/>
    <n v="21654.36"/>
    <n v="22253.58"/>
    <n v="22253.58"/>
    <n v="2.0276720254027363"/>
  </r>
  <r>
    <s v="ORD-2024-225829"/>
    <d v="2024-03-10T00:00:00"/>
    <x v="0"/>
    <x v="2"/>
    <x v="4"/>
    <d v="2024-08-08T00:00:00"/>
    <d v="2024-08-20T00:00:00"/>
    <d v="2024-08-20T00:00:00"/>
    <n v="12"/>
    <x v="0"/>
    <x v="0"/>
    <s v="Osaka"/>
    <s v="Small Business"/>
    <x v="1"/>
    <x v="14"/>
    <x v="4"/>
    <x v="277"/>
    <n v="1233.3599999999999"/>
    <s v="High"/>
    <n v="2120.4"/>
    <n v="2120.4"/>
    <n v="0.17899999999999999"/>
    <n v="20"/>
    <n v="379.55160000000001"/>
    <n v="34816.968000000001"/>
    <n v="34437.416400000002"/>
    <n v="24667.199999999997"/>
    <n v="10149.768000000004"/>
    <n v="9770.2164000000048"/>
    <n v="1.4114681844716872"/>
  </r>
  <r>
    <s v="ORD-2023-479747"/>
    <d v="2024-03-11T00:00:00"/>
    <x v="0"/>
    <x v="1"/>
    <x v="2"/>
    <d v="2023-12-02T00:00:00"/>
    <d v="2023-12-16T00:00:00"/>
    <d v="2023-12-16T00:00:00"/>
    <n v="14"/>
    <x v="1"/>
    <x v="1"/>
    <s v="Frankfurt"/>
    <s v="Education"/>
    <x v="3"/>
    <x v="0"/>
    <x v="3"/>
    <x v="278"/>
    <n v="879.08"/>
    <s v="Medium"/>
    <n v="1093.3900000000001"/>
    <n v="1093.3900000000001"/>
    <n v="0.113"/>
    <n v="17"/>
    <n v="123.55307000000002"/>
    <n v="16487.22781"/>
    <n v="16363.67474"/>
    <n v="14944.36"/>
    <n v="1542.8678099999997"/>
    <n v="1419.3147399999998"/>
    <n v="1.1032408085725987"/>
  </r>
  <r>
    <s v="ORD-2024-915495"/>
    <d v="2024-03-11T00:00:00"/>
    <x v="0"/>
    <x v="1"/>
    <x v="5"/>
    <d v="2023-07-14T00:00:00"/>
    <d v="2023-07-14T00:00:00"/>
    <d v="2023-07-14T00:00:00"/>
    <n v="0"/>
    <x v="3"/>
    <x v="9"/>
    <s v="Lagos"/>
    <s v="Education"/>
    <x v="1"/>
    <x v="7"/>
    <x v="5"/>
    <x v="279"/>
    <n v="956.38"/>
    <s v="Medium"/>
    <n v="1454.22"/>
    <n v="1454.22"/>
    <n v="3.9E-2"/>
    <n v="19"/>
    <n v="56.714579999999998"/>
    <n v="26552.60298"/>
    <n v="26495.8884"/>
    <n v="18171.22"/>
    <n v="8381.3829799999985"/>
    <n v="8324.6683999999987"/>
    <n v="1.4612449235659464"/>
  </r>
  <r>
    <s v="ORD-2023-212701"/>
    <d v="2024-03-13T00:00:00"/>
    <x v="0"/>
    <x v="1"/>
    <x v="0"/>
    <d v="2023-02-23T00:00:00"/>
    <d v="2023-03-08T00:00:00"/>
    <d v="2023-03-08T00:00:00"/>
    <n v="13"/>
    <x v="1"/>
    <x v="7"/>
    <s v="Manchester"/>
    <s v="Small Business"/>
    <x v="3"/>
    <x v="4"/>
    <x v="6"/>
    <x v="280"/>
    <n v="307.37"/>
    <s v="Low"/>
    <n v="462.61"/>
    <n v="462.61"/>
    <n v="0.188"/>
    <n v="11"/>
    <n v="86.970680000000002"/>
    <n v="4132.0325200000007"/>
    <n v="4045.0618400000008"/>
    <n v="3381.07"/>
    <n v="750.9625200000005"/>
    <n v="663.99184000000059"/>
    <n v="1.2221079480756094"/>
  </r>
  <r>
    <s v="ORD-2023-735274"/>
    <d v="2024-03-15T00:00:00"/>
    <x v="0"/>
    <x v="0"/>
    <x v="3"/>
    <d v="2025-06-17T00:00:00"/>
    <d v="2025-07-05T00:00:00"/>
    <d v="2025-07-05T00:00:00"/>
    <n v="18"/>
    <x v="0"/>
    <x v="4"/>
    <s v="Delhi"/>
    <s v="Consumer"/>
    <x v="4"/>
    <x v="1"/>
    <x v="0"/>
    <x v="281"/>
    <n v="982.93"/>
    <s v="High"/>
    <n v="2299.3000000000002"/>
    <n v="2299.3000000000002"/>
    <n v="0.113"/>
    <n v="6"/>
    <n v="259.82090000000005"/>
    <n v="12236.874600000001"/>
    <n v="11977.0537"/>
    <n v="5897.58"/>
    <n v="6339.2946000000011"/>
    <n v="6079.4737000000005"/>
    <n v="2.0748976020672889"/>
  </r>
  <r>
    <s v="ORD-2025-480172"/>
    <d v="2024-03-16T00:00:00"/>
    <x v="0"/>
    <x v="1"/>
    <x v="2"/>
    <d v="2023-12-21T00:00:00"/>
    <d v="2024-01-06T00:00:00"/>
    <d v="2024-01-06T00:00:00"/>
    <n v="16"/>
    <x v="3"/>
    <x v="9"/>
    <s v="Port Harcourt"/>
    <s v="Corporate"/>
    <x v="4"/>
    <x v="8"/>
    <x v="2"/>
    <x v="282"/>
    <n v="932.61"/>
    <s v="High"/>
    <n v="1982.98"/>
    <n v="1982.98"/>
    <n v="0.14399999999999999"/>
    <n v="16"/>
    <n v="285.54911999999996"/>
    <n v="27158.894079999998"/>
    <n v="26873.344959999999"/>
    <n v="14921.76"/>
    <n v="12237.134079999998"/>
    <n v="11951.584959999998"/>
    <n v="1.8200865099023169"/>
  </r>
  <r>
    <s v="ORD-2023-208944"/>
    <d v="2024-03-18T00:00:00"/>
    <x v="0"/>
    <x v="1"/>
    <x v="11"/>
    <d v="2023-05-04T00:00:00"/>
    <d v="2023-05-16T00:00:00"/>
    <d v="2023-05-16T00:00:00"/>
    <n v="12"/>
    <x v="3"/>
    <x v="9"/>
    <s v="Abuja"/>
    <s v="Small Business"/>
    <x v="4"/>
    <x v="5"/>
    <x v="1"/>
    <x v="283"/>
    <n v="77.739999999999995"/>
    <s v="Low"/>
    <n v="147.12"/>
    <n v="147.12"/>
    <n v="0"/>
    <n v="15"/>
    <n v="0"/>
    <n v="2206.8000000000002"/>
    <n v="2206.8000000000002"/>
    <n v="1166.0999999999999"/>
    <n v="1040.7000000000003"/>
    <n v="1040.7000000000003"/>
    <n v="1.8924620529971703"/>
  </r>
  <r>
    <s v="ORD-2023-898009"/>
    <d v="2024-03-23T00:00:00"/>
    <x v="0"/>
    <x v="2"/>
    <x v="5"/>
    <d v="2024-07-25T00:00:00"/>
    <d v="2024-08-02T00:00:00"/>
    <d v="2024-08-02T00:00:00"/>
    <n v="8"/>
    <x v="2"/>
    <x v="2"/>
    <s v="Montreal"/>
    <s v="Consumer"/>
    <x v="3"/>
    <x v="5"/>
    <x v="5"/>
    <x v="284"/>
    <n v="986.81"/>
    <s v="High"/>
    <n v="2050.31"/>
    <n v="2050.31"/>
    <n v="0.10299999999999999"/>
    <n v="43"/>
    <n v="211.18192999999999"/>
    <n v="79082.507010000001"/>
    <n v="78871.325079999995"/>
    <n v="42432.829999999994"/>
    <n v="36649.677010000007"/>
    <n v="36438.495080000001"/>
    <n v="1.8637104103120157"/>
  </r>
  <r>
    <s v="ORD-2024-901115"/>
    <d v="2024-03-26T00:00:00"/>
    <x v="0"/>
    <x v="1"/>
    <x v="2"/>
    <d v="2023-12-01T00:00:00"/>
    <d v="2023-12-18T00:00:00"/>
    <d v="2023-12-18T00:00:00"/>
    <n v="17"/>
    <x v="0"/>
    <x v="0"/>
    <s v="Nagoya"/>
    <s v="Small Business"/>
    <x v="3"/>
    <x v="0"/>
    <x v="0"/>
    <x v="285"/>
    <n v="1495.79"/>
    <s v="High"/>
    <n v="2783.12"/>
    <n v="2783.12"/>
    <n v="0.02"/>
    <n v="5"/>
    <n v="55.662399999999998"/>
    <n v="13637.287999999999"/>
    <n v="13581.625599999999"/>
    <n v="7478.95"/>
    <n v="6158.3379999999988"/>
    <n v="6102.6755999999996"/>
    <n v="1.8234228066774079"/>
  </r>
  <r>
    <s v="ORD-2023-573146"/>
    <d v="2024-03-27T00:00:00"/>
    <x v="0"/>
    <x v="2"/>
    <x v="5"/>
    <d v="2024-07-13T00:00:00"/>
    <d v="2024-07-13T00:00:00"/>
    <d v="2024-07-12T00:00:00"/>
    <n v="-1"/>
    <x v="0"/>
    <x v="0"/>
    <s v="Nagoya"/>
    <s v="Small Business"/>
    <x v="4"/>
    <x v="9"/>
    <x v="4"/>
    <x v="286"/>
    <n v="105.13"/>
    <s v="Low"/>
    <n v="244.13"/>
    <n v="244.13"/>
    <n v="7.0999999999999994E-2"/>
    <n v="14"/>
    <n v="17.333229999999997"/>
    <n v="3175.1547799999998"/>
    <n v="3157.8215499999997"/>
    <n v="1471.82"/>
    <n v="1703.3347799999999"/>
    <n v="1686.0015499999997"/>
    <n v="2.1572982973461428"/>
  </r>
  <r>
    <s v="ORD-2024-892908"/>
    <d v="2024-03-30T00:00:00"/>
    <x v="0"/>
    <x v="2"/>
    <x v="0"/>
    <d v="2024-02-17T00:00:00"/>
    <d v="2024-03-04T00:00:00"/>
    <d v="2024-03-04T00:00:00"/>
    <n v="16"/>
    <x v="0"/>
    <x v="4"/>
    <s v="Delhi"/>
    <s v="Small Business"/>
    <x v="4"/>
    <x v="9"/>
    <x v="1"/>
    <x v="287"/>
    <n v="1231.8"/>
    <s v="High"/>
    <n v="2015.99"/>
    <n v="2015.99"/>
    <n v="0.26100000000000001"/>
    <n v="6"/>
    <n v="526.17339000000004"/>
    <n v="8938.8996600000009"/>
    <n v="8412.726270000001"/>
    <n v="7390.7999999999993"/>
    <n v="1548.0996600000017"/>
    <n v="1021.9262700000018"/>
    <n v="1.2094630703036209"/>
  </r>
  <r>
    <s v="ORD-2024-647473"/>
    <d v="2024-03-31T00:00:00"/>
    <x v="0"/>
    <x v="2"/>
    <x v="8"/>
    <d v="2024-10-29T00:00:00"/>
    <d v="2024-11-04T00:00:00"/>
    <d v="2024-11-04T00:00:00"/>
    <n v="6"/>
    <x v="3"/>
    <x v="5"/>
    <s v="Nairobi"/>
    <s v="Corporate"/>
    <x v="0"/>
    <x v="13"/>
    <x v="6"/>
    <x v="288"/>
    <n v="805.81"/>
    <s v="Medium"/>
    <n v="1823.04"/>
    <n v="1823.04"/>
    <n v="0"/>
    <n v="11"/>
    <n v="0"/>
    <n v="20053.439999999999"/>
    <n v="20053.439999999999"/>
    <n v="8863.91"/>
    <n v="11189.529999999999"/>
    <n v="11189.529999999999"/>
    <n v="2.2623695412069842"/>
  </r>
  <r>
    <s v="ORD-2023-766015"/>
    <d v="2024-04-03T00:00:00"/>
    <x v="1"/>
    <x v="1"/>
    <x v="5"/>
    <d v="2023-07-24T00:00:00"/>
    <d v="2023-08-19T00:00:00"/>
    <d v="2023-08-19T00:00:00"/>
    <n v="26"/>
    <x v="3"/>
    <x v="5"/>
    <s v="Nairobi"/>
    <s v="Enterprise"/>
    <x v="0"/>
    <x v="13"/>
    <x v="5"/>
    <x v="289"/>
    <n v="661.45"/>
    <s v="Medium"/>
    <n v="1634.86"/>
    <n v="1634.86"/>
    <n v="0.56499999999999995"/>
    <n v="24"/>
    <n v="923.69589999999982"/>
    <n v="17067.938400000003"/>
    <n v="16144.242500000002"/>
    <n v="15874.800000000001"/>
    <n v="1193.1384000000016"/>
    <n v="269.44250000000102"/>
    <n v="1.0751592712979061"/>
  </r>
  <r>
    <s v="ORD-2024-333192"/>
    <d v="2024-04-03T00:00:00"/>
    <x v="1"/>
    <x v="1"/>
    <x v="6"/>
    <d v="2023-04-13T00:00:00"/>
    <d v="2023-04-13T00:00:00"/>
    <d v="2023-04-11T00:00:00"/>
    <n v="-2"/>
    <x v="2"/>
    <x v="10"/>
    <s v="San Francisco"/>
    <s v="Education"/>
    <x v="4"/>
    <x v="12"/>
    <x v="4"/>
    <x v="290"/>
    <n v="32.1"/>
    <s v="Low"/>
    <n v="70.599999999999994"/>
    <n v="70.599999999999994"/>
    <n v="0.28199999999999997"/>
    <n v="22"/>
    <n v="19.909199999999995"/>
    <n v="1115.1975999999997"/>
    <n v="1095.2883999999997"/>
    <n v="706.2"/>
    <n v="408.99759999999969"/>
    <n v="389.08839999999964"/>
    <n v="1.5791526479750775"/>
  </r>
  <r>
    <s v="ORD-2023-261081"/>
    <d v="2024-04-04T00:00:00"/>
    <x v="1"/>
    <x v="1"/>
    <x v="5"/>
    <d v="2023-07-14T00:00:00"/>
    <d v="2023-07-21T00:00:00"/>
    <d v="2023-07-21T00:00:00"/>
    <n v="7"/>
    <x v="3"/>
    <x v="11"/>
    <s v="Durban"/>
    <s v="Enterprise"/>
    <x v="4"/>
    <x v="5"/>
    <x v="3"/>
    <x v="291"/>
    <n v="620.74"/>
    <s v="Medium"/>
    <n v="1330.07"/>
    <n v="1330.07"/>
    <n v="0.29899999999999999"/>
    <n v="28"/>
    <n v="397.69092999999998"/>
    <n v="26106.613960000002"/>
    <n v="25708.923030000002"/>
    <n v="17380.72"/>
    <n v="8725.8939600000012"/>
    <n v="8328.2030300000006"/>
    <n v="1.5020444469504142"/>
  </r>
  <r>
    <s v="ORD-2023-825084"/>
    <d v="2024-04-05T00:00:00"/>
    <x v="1"/>
    <x v="1"/>
    <x v="5"/>
    <d v="2023-07-25T00:00:00"/>
    <d v="2023-08-10T00:00:00"/>
    <d v="2023-08-10T00:00:00"/>
    <n v="16"/>
    <x v="3"/>
    <x v="9"/>
    <s v="Port Harcourt"/>
    <s v="Corporate"/>
    <x v="0"/>
    <x v="7"/>
    <x v="5"/>
    <x v="292"/>
    <n v="506.83"/>
    <s v="Low"/>
    <n v="441.74"/>
    <n v="441.74"/>
    <n v="0.24"/>
    <n v="9"/>
    <n v="106.0176"/>
    <n v="3021.5016000000001"/>
    <n v="2915.4839999999999"/>
    <n v="4561.47"/>
    <n v="-1539.9684000000002"/>
    <n v="-1645.9860000000003"/>
    <n v="0.6623964642976935"/>
  </r>
  <r>
    <s v="ORD-2023-660608"/>
    <d v="2024-04-06T00:00:00"/>
    <x v="1"/>
    <x v="2"/>
    <x v="0"/>
    <d v="2024-02-18T00:00:00"/>
    <d v="2024-03-03T00:00:00"/>
    <d v="2024-03-03T00:00:00"/>
    <n v="14"/>
    <x v="2"/>
    <x v="6"/>
    <s v="Brasília"/>
    <s v="Enterprise"/>
    <x v="0"/>
    <x v="3"/>
    <x v="6"/>
    <x v="293"/>
    <n v="624.23"/>
    <s v="Medium"/>
    <n v="1318.37"/>
    <n v="1318.37"/>
    <n v="0.21"/>
    <n v="37"/>
    <n v="276.85769999999997"/>
    <n v="38535.955099999999"/>
    <n v="38259.097399999999"/>
    <n v="23096.510000000002"/>
    <n v="15439.445099999997"/>
    <n v="15162.587399999997"/>
    <n v="1.6684752414975248"/>
  </r>
  <r>
    <s v="ORD-2024-129345"/>
    <d v="2024-04-09T00:00:00"/>
    <x v="1"/>
    <x v="2"/>
    <x v="5"/>
    <d v="2024-07-11T00:00:00"/>
    <d v="2024-07-31T00:00:00"/>
    <d v="2024-07-31T00:00:00"/>
    <n v="20"/>
    <x v="0"/>
    <x v="3"/>
    <s v="Shenzhen"/>
    <s v="Consumer"/>
    <x v="2"/>
    <x v="12"/>
    <x v="1"/>
    <x v="294"/>
    <n v="647.26"/>
    <s v="Medium"/>
    <n v="1374.72"/>
    <n v="1374.72"/>
    <n v="6.6000000000000003E-2"/>
    <n v="22"/>
    <n v="90.731520000000003"/>
    <n v="28247.74656"/>
    <n v="28157.015039999998"/>
    <n v="14239.72"/>
    <n v="14008.02656"/>
    <n v="13917.295039999999"/>
    <n v="1.9837290733244755"/>
  </r>
  <r>
    <s v="ORD-2024-571797"/>
    <d v="2024-04-12T00:00:00"/>
    <x v="1"/>
    <x v="2"/>
    <x v="6"/>
    <d v="2024-04-09T00:00:00"/>
    <d v="2024-04-18T00:00:00"/>
    <d v="2024-04-18T00:00:00"/>
    <n v="9"/>
    <x v="1"/>
    <x v="8"/>
    <s v="Lyon"/>
    <s v="Consumer"/>
    <x v="2"/>
    <x v="2"/>
    <x v="6"/>
    <x v="295"/>
    <n v="1288.8499999999999"/>
    <s v="High"/>
    <n v="2751.84"/>
    <n v="2751.84"/>
    <n v="0.158"/>
    <n v="7"/>
    <n v="434.79072000000002"/>
    <n v="16219.34496"/>
    <n v="15784.554239999999"/>
    <n v="9021.9499999999989"/>
    <n v="7197.3949600000014"/>
    <n v="6762.6042400000006"/>
    <n v="1.7977648911820618"/>
  </r>
  <r>
    <s v="ORD-2024-332076"/>
    <d v="2024-04-16T00:00:00"/>
    <x v="1"/>
    <x v="0"/>
    <x v="6"/>
    <d v="2025-04-27T00:00:00"/>
    <d v="2025-05-27T00:00:00"/>
    <d v="2025-05-27T00:00:00"/>
    <n v="30"/>
    <x v="0"/>
    <x v="4"/>
    <s v="Delhi"/>
    <s v="Enterprise"/>
    <x v="4"/>
    <x v="14"/>
    <x v="1"/>
    <x v="296"/>
    <n v="481.32"/>
    <s v="Medium"/>
    <n v="1135.99"/>
    <n v="1135.99"/>
    <n v="0.14499999999999999"/>
    <n v="5"/>
    <n v="164.71854999999999"/>
    <n v="4856.35725"/>
    <n v="4691.6387000000004"/>
    <n v="2406.6"/>
    <n v="2449.7572500000001"/>
    <n v="2285.0387000000005"/>
    <n v="2.0179328721017202"/>
  </r>
  <r>
    <s v="ORD-2025-323492"/>
    <d v="2024-04-18T00:00:00"/>
    <x v="1"/>
    <x v="1"/>
    <x v="1"/>
    <d v="2023-11-15T00:00:00"/>
    <d v="2023-12-06T00:00:00"/>
    <d v="2023-12-06T00:00:00"/>
    <n v="21"/>
    <x v="1"/>
    <x v="7"/>
    <s v="Manchester"/>
    <s v="Education"/>
    <x v="3"/>
    <x v="14"/>
    <x v="5"/>
    <x v="297"/>
    <n v="1184.99"/>
    <s v="Medium"/>
    <n v="1154.3399999999999"/>
    <n v="1154.3399999999999"/>
    <n v="2.8000000000000001E-2"/>
    <n v="5"/>
    <n v="32.32152"/>
    <n v="5610.0923999999995"/>
    <n v="5577.7708799999991"/>
    <n v="5924.95"/>
    <n v="-314.85760000000028"/>
    <n v="-347.17912000000069"/>
    <n v="0.9468590283462307"/>
  </r>
  <r>
    <s v="ORD-2023-181257"/>
    <d v="2024-04-19T00:00:00"/>
    <x v="1"/>
    <x v="1"/>
    <x v="4"/>
    <d v="2023-08-30T00:00:00"/>
    <d v="2023-09-03T00:00:00"/>
    <d v="2023-09-03T00:00:00"/>
    <n v="4"/>
    <x v="0"/>
    <x v="4"/>
    <s v="Delhi"/>
    <s v="Small Business"/>
    <x v="4"/>
    <x v="1"/>
    <x v="5"/>
    <x v="298"/>
    <n v="1082.25"/>
    <s v="High"/>
    <n v="2433.34"/>
    <n v="2433.34"/>
    <n v="0.27"/>
    <n v="4"/>
    <n v="657.00180000000012"/>
    <n v="7105.3528000000006"/>
    <n v="6448.3510000000006"/>
    <n v="4329"/>
    <n v="2776.3528000000006"/>
    <n v="2119.3510000000006"/>
    <n v="1.6413381381381382"/>
  </r>
  <r>
    <s v="ORD-2023-944052"/>
    <d v="2024-04-21T00:00:00"/>
    <x v="1"/>
    <x v="0"/>
    <x v="7"/>
    <d v="2025-09-14T00:00:00"/>
    <d v="2025-09-26T00:00:00"/>
    <d v="2025-09-26T00:00:00"/>
    <n v="12"/>
    <x v="1"/>
    <x v="7"/>
    <s v="London"/>
    <s v="Small Business"/>
    <x v="3"/>
    <x v="0"/>
    <x v="4"/>
    <x v="299"/>
    <n v="425.15"/>
    <s v="Medium"/>
    <n v="885.92"/>
    <n v="885.92"/>
    <n v="0.23899999999999999"/>
    <n v="13"/>
    <n v="211.73487999999998"/>
    <n v="8764.4065599999994"/>
    <n v="8552.6716799999995"/>
    <n v="5526.95"/>
    <n v="3237.4565599999996"/>
    <n v="3025.7216799999997"/>
    <n v="1.5857582500294014"/>
  </r>
  <r>
    <s v="ORD-2025-737787"/>
    <d v="2024-04-24T00:00:00"/>
    <x v="1"/>
    <x v="0"/>
    <x v="10"/>
    <d v="2025-01-11T00:00:00"/>
    <d v="2025-01-23T00:00:00"/>
    <d v="2025-01-23T00:00:00"/>
    <n v="12"/>
    <x v="2"/>
    <x v="10"/>
    <s v="Austin"/>
    <s v="Consumer"/>
    <x v="0"/>
    <x v="14"/>
    <x v="1"/>
    <x v="300"/>
    <n v="100.69"/>
    <s v="Low"/>
    <n v="226.14"/>
    <n v="226.14"/>
    <n v="6.5000000000000002E-2"/>
    <n v="12"/>
    <n v="14.6991"/>
    <n v="2537.2908000000002"/>
    <n v="2522.5917000000004"/>
    <n v="1208.28"/>
    <n v="1329.0108000000002"/>
    <n v="1314.3117000000004"/>
    <n v="2.0999195550700169"/>
  </r>
  <r>
    <s v="ORD-2025-653781"/>
    <d v="2024-04-26T00:00:00"/>
    <x v="1"/>
    <x v="1"/>
    <x v="8"/>
    <d v="2023-10-22T00:00:00"/>
    <d v="2023-11-16T00:00:00"/>
    <d v="2023-11-16T00:00:00"/>
    <n v="25"/>
    <x v="2"/>
    <x v="2"/>
    <s v="Toronto"/>
    <s v="Small Business"/>
    <x v="4"/>
    <x v="7"/>
    <x v="0"/>
    <x v="301"/>
    <n v="1373.31"/>
    <s v="High"/>
    <n v="3154.14"/>
    <n v="3154.14"/>
    <n v="0.2"/>
    <n v="11"/>
    <n v="630.82799999999997"/>
    <n v="27756.432000000001"/>
    <n v="27125.603999999999"/>
    <n v="15106.41"/>
    <n v="12650.022000000001"/>
    <n v="12019.194"/>
    <n v="1.8373943246608559"/>
  </r>
  <r>
    <s v="ORD-2023-163610"/>
    <d v="2024-04-29T00:00:00"/>
    <x v="1"/>
    <x v="0"/>
    <x v="11"/>
    <d v="2025-05-19T00:00:00"/>
    <d v="2025-05-19T00:00:00"/>
    <d v="2025-05-17T00:00:00"/>
    <n v="-2"/>
    <x v="2"/>
    <x v="6"/>
    <s v="São Paulo"/>
    <s v="Small Business"/>
    <x v="0"/>
    <x v="1"/>
    <x v="3"/>
    <x v="302"/>
    <n v="383.77"/>
    <s v="Medium"/>
    <n v="952.56"/>
    <n v="952.56"/>
    <n v="0.34599999999999997"/>
    <n v="10"/>
    <n v="329.58575999999994"/>
    <n v="6229.7423999999992"/>
    <n v="5900.1566399999992"/>
    <n v="3837.7"/>
    <n v="2392.0423999999994"/>
    <n v="2062.4566399999994"/>
    <n v="1.6233010396852281"/>
  </r>
  <r>
    <s v="ORD-2023-536542"/>
    <d v="2024-05-01T00:00:00"/>
    <x v="1"/>
    <x v="2"/>
    <x v="10"/>
    <d v="2024-01-12T00:00:00"/>
    <d v="2024-01-29T00:00:00"/>
    <d v="2024-01-29T00:00:00"/>
    <n v="17"/>
    <x v="0"/>
    <x v="4"/>
    <s v="Hyderabad"/>
    <s v="Small Business"/>
    <x v="3"/>
    <x v="11"/>
    <x v="2"/>
    <x v="303"/>
    <n v="310.02"/>
    <s v="Medium"/>
    <n v="619.51"/>
    <n v="619.51"/>
    <n v="4.2000000000000003E-2"/>
    <n v="4"/>
    <n v="26.01942"/>
    <n v="2373.9623200000001"/>
    <n v="2347.9429"/>
    <n v="1240.08"/>
    <n v="1133.8823200000002"/>
    <n v="1107.8629000000001"/>
    <n v="1.9143622346945359"/>
  </r>
  <r>
    <s v="ORD-2025-779530"/>
    <d v="2024-05-01T00:00:00"/>
    <x v="1"/>
    <x v="1"/>
    <x v="3"/>
    <d v="2023-06-10T00:00:00"/>
    <d v="2023-06-18T00:00:00"/>
    <d v="2023-06-18T00:00:00"/>
    <n v="8"/>
    <x v="3"/>
    <x v="5"/>
    <s v="Nakuru"/>
    <s v="Enterprise"/>
    <x v="3"/>
    <x v="14"/>
    <x v="1"/>
    <x v="304"/>
    <n v="894.23"/>
    <s v="Medium"/>
    <n v="1421.55"/>
    <n v="1421.55"/>
    <n v="0.109"/>
    <n v="3"/>
    <n v="154.94895"/>
    <n v="3799.8031499999997"/>
    <n v="3644.8541999999998"/>
    <n v="2682.69"/>
    <n v="1117.1131499999997"/>
    <n v="962.16419999999971"/>
    <n v="1.4164152958411145"/>
  </r>
  <r>
    <s v="ORD-2024-153053"/>
    <d v="2024-05-04T00:00:00"/>
    <x v="1"/>
    <x v="1"/>
    <x v="11"/>
    <d v="2023-05-07T00:00:00"/>
    <d v="2023-05-29T00:00:00"/>
    <d v="2023-05-29T00:00:00"/>
    <n v="22"/>
    <x v="3"/>
    <x v="11"/>
    <s v="Durban"/>
    <s v="Education"/>
    <x v="0"/>
    <x v="8"/>
    <x v="5"/>
    <x v="305"/>
    <n v="653.86"/>
    <s v="Medium"/>
    <n v="931.84"/>
    <n v="931.84"/>
    <n v="0.121"/>
    <n v="12"/>
    <n v="112.75264"/>
    <n v="9829.0483199999999"/>
    <n v="9716.2956799999993"/>
    <n v="7846.32"/>
    <n v="1982.7283200000002"/>
    <n v="1869.9756799999996"/>
    <n v="1.252695317040345"/>
  </r>
  <r>
    <s v="ORD-2023-144816"/>
    <d v="2024-05-05T00:00:00"/>
    <x v="1"/>
    <x v="2"/>
    <x v="7"/>
    <d v="2024-09-09T00:00:00"/>
    <d v="2024-10-08T00:00:00"/>
    <d v="2024-10-08T00:00:00"/>
    <n v="29"/>
    <x v="2"/>
    <x v="6"/>
    <s v="São Paulo"/>
    <s v="Education"/>
    <x v="3"/>
    <x v="5"/>
    <x v="2"/>
    <x v="306"/>
    <n v="1010.33"/>
    <s v="High"/>
    <n v="2492.14"/>
    <n v="2492.14"/>
    <n v="5.0999999999999997E-2"/>
    <n v="11"/>
    <n v="127.09913999999999"/>
    <n v="26015.449459999996"/>
    <n v="25888.350319999998"/>
    <n v="11113.630000000001"/>
    <n v="14901.819459999995"/>
    <n v="14774.720319999997"/>
    <n v="2.3408597784882161"/>
  </r>
  <r>
    <s v="ORD-2024-500890"/>
    <d v="2024-05-07T00:00:00"/>
    <x v="1"/>
    <x v="2"/>
    <x v="0"/>
    <d v="2024-02-18T00:00:00"/>
    <d v="2024-03-11T00:00:00"/>
    <d v="2024-03-11T00:00:00"/>
    <n v="22"/>
    <x v="2"/>
    <x v="6"/>
    <s v="São Paulo"/>
    <s v="Consumer"/>
    <x v="2"/>
    <x v="3"/>
    <x v="2"/>
    <x v="307"/>
    <n v="80.48"/>
    <s v="Low"/>
    <n v="65.650000000000006"/>
    <n v="65.650000000000006"/>
    <n v="0.17599999999999999"/>
    <n v="13"/>
    <n v="11.554400000000001"/>
    <n v="703.2428000000001"/>
    <n v="691.68840000000012"/>
    <n v="1046.24"/>
    <n v="-342.99719999999991"/>
    <n v="-354.55159999999989"/>
    <n v="0.67216202783300205"/>
  </r>
  <r>
    <s v="ORD-2024-206121"/>
    <d v="2024-05-10T00:00:00"/>
    <x v="1"/>
    <x v="1"/>
    <x v="0"/>
    <d v="2023-02-28T00:00:00"/>
    <d v="2023-02-28T00:00:00"/>
    <d v="2023-02-27T00:00:00"/>
    <n v="-1"/>
    <x v="1"/>
    <x v="8"/>
    <s v="Marseille"/>
    <s v="Corporate"/>
    <x v="1"/>
    <x v="8"/>
    <x v="4"/>
    <x v="308"/>
    <n v="1299.81"/>
    <s v="High"/>
    <n v="3149.13"/>
    <n v="3149.13"/>
    <n v="0.10299999999999999"/>
    <n v="14"/>
    <n v="324.36039"/>
    <n v="39546.774539999999"/>
    <n v="39222.414149999997"/>
    <n v="18197.34"/>
    <n v="21349.434539999998"/>
    <n v="21025.074149999997"/>
    <n v="2.1732173240704409"/>
  </r>
  <r>
    <s v="ORD-2023-888245"/>
    <d v="2024-05-12T00:00:00"/>
    <x v="1"/>
    <x v="2"/>
    <x v="10"/>
    <d v="2024-01-02T00:00:00"/>
    <d v="2024-01-02T00:00:00"/>
    <d v="2024-01-01T00:00:00"/>
    <n v="-1"/>
    <x v="2"/>
    <x v="10"/>
    <s v="Chicago"/>
    <s v="Education"/>
    <x v="4"/>
    <x v="11"/>
    <x v="4"/>
    <x v="309"/>
    <n v="404.77"/>
    <s v="Low"/>
    <n v="433.88"/>
    <n v="433.88"/>
    <n v="0.215"/>
    <n v="22"/>
    <n v="93.284199999999998"/>
    <n v="7493.1076000000012"/>
    <n v="7399.8234000000011"/>
    <n v="8904.9399999999987"/>
    <n v="-1411.8323999999975"/>
    <n v="-1505.1165999999976"/>
    <n v="0.84145514736764115"/>
  </r>
  <r>
    <s v="ORD-2024-719055"/>
    <d v="2024-05-14T00:00:00"/>
    <x v="1"/>
    <x v="2"/>
    <x v="11"/>
    <d v="2024-05-28T00:00:00"/>
    <d v="2024-06-18T00:00:00"/>
    <d v="2024-06-18T00:00:00"/>
    <n v="21"/>
    <x v="1"/>
    <x v="1"/>
    <s v="Frankfurt"/>
    <s v="Small Business"/>
    <x v="2"/>
    <x v="2"/>
    <x v="1"/>
    <x v="310"/>
    <n v="986.85"/>
    <s v="High"/>
    <n v="2422.1"/>
    <n v="2422.1"/>
    <n v="7.5999999999999998E-2"/>
    <n v="10"/>
    <n v="184.0796"/>
    <n v="22380.204000000002"/>
    <n v="22196.124400000001"/>
    <n v="9868.5"/>
    <n v="12511.704000000002"/>
    <n v="12327.624400000001"/>
    <n v="2.2678425292597661"/>
  </r>
  <r>
    <s v="ORD-2024-819979"/>
    <d v="2024-05-17T00:00:00"/>
    <x v="1"/>
    <x v="1"/>
    <x v="9"/>
    <d v="2023-03-23T00:00:00"/>
    <d v="2023-04-15T00:00:00"/>
    <d v="2023-04-15T00:00:00"/>
    <n v="23"/>
    <x v="3"/>
    <x v="5"/>
    <s v="Mombasa"/>
    <s v="Small Business"/>
    <x v="1"/>
    <x v="4"/>
    <x v="5"/>
    <x v="311"/>
    <n v="875.36"/>
    <s v="Medium"/>
    <n v="1178.6199999999999"/>
    <n v="1178.6199999999999"/>
    <n v="0.151"/>
    <n v="53"/>
    <n v="177.97161999999997"/>
    <n v="53034.364139999991"/>
    <n v="52856.392519999994"/>
    <n v="46394.080000000002"/>
    <n v="6640.2841399999888"/>
    <n v="6462.3125199999922"/>
    <n v="1.1431278331200876"/>
  </r>
  <r>
    <s v="ORD-2023-619570"/>
    <d v="2024-05-18T00:00:00"/>
    <x v="1"/>
    <x v="1"/>
    <x v="11"/>
    <d v="2023-05-06T00:00:00"/>
    <d v="2023-05-14T00:00:00"/>
    <d v="2023-05-14T00:00:00"/>
    <n v="8"/>
    <x v="0"/>
    <x v="0"/>
    <s v="Osaka"/>
    <s v="Enterprise"/>
    <x v="4"/>
    <x v="11"/>
    <x v="1"/>
    <x v="312"/>
    <n v="291.18"/>
    <s v="Low"/>
    <n v="479.54"/>
    <n v="479.54"/>
    <n v="0.14099999999999999"/>
    <n v="22"/>
    <n v="67.615139999999997"/>
    <n v="9062.34692"/>
    <n v="8994.7317800000001"/>
    <n v="6405.96"/>
    <n v="2656.3869199999999"/>
    <n v="2588.77178"/>
    <n v="1.4146742908166769"/>
  </r>
  <r>
    <s v="ORD-2025-861401"/>
    <d v="2024-05-18T00:00:00"/>
    <x v="1"/>
    <x v="1"/>
    <x v="1"/>
    <d v="2023-11-14T00:00:00"/>
    <d v="2023-11-30T00:00:00"/>
    <d v="2023-11-30T00:00:00"/>
    <n v="16"/>
    <x v="2"/>
    <x v="6"/>
    <s v="São Paulo"/>
    <s v="Enterprise"/>
    <x v="3"/>
    <x v="8"/>
    <x v="4"/>
    <x v="313"/>
    <n v="1017.92"/>
    <s v="Medium"/>
    <n v="1175.25"/>
    <n v="1175.25"/>
    <n v="7.4999999999999997E-2"/>
    <n v="15"/>
    <n v="88.143749999999997"/>
    <n v="16306.59375"/>
    <n v="16218.45"/>
    <n v="15268.8"/>
    <n v="1037.7937500000007"/>
    <n v="949.65000000000146"/>
    <n v="1.0679682588022634"/>
  </r>
  <r>
    <s v="ORD-2023-835010"/>
    <d v="2024-05-18T00:00:00"/>
    <x v="1"/>
    <x v="0"/>
    <x v="6"/>
    <d v="2025-04-01T00:00:00"/>
    <d v="2025-04-27T00:00:00"/>
    <d v="2025-04-27T00:00:00"/>
    <n v="26"/>
    <x v="2"/>
    <x v="10"/>
    <s v="San Francisco"/>
    <s v="Corporate"/>
    <x v="3"/>
    <x v="7"/>
    <x v="3"/>
    <x v="314"/>
    <n v="156.55000000000001"/>
    <s v="Low"/>
    <n v="227.45"/>
    <n v="227.45"/>
    <n v="1.4E-2"/>
    <n v="13"/>
    <n v="3.1842999999999999"/>
    <n v="2915.4540999999999"/>
    <n v="2912.2698"/>
    <n v="2035.15"/>
    <n v="880.30409999999983"/>
    <n v="877.11979999999994"/>
    <n v="1.432549984030661"/>
  </r>
  <r>
    <s v="ORD-2023-363031"/>
    <d v="2024-05-19T00:00:00"/>
    <x v="1"/>
    <x v="0"/>
    <x v="3"/>
    <d v="2025-06-01T00:00:00"/>
    <d v="2025-06-06T00:00:00"/>
    <d v="2025-06-06T00:00:00"/>
    <n v="5"/>
    <x v="1"/>
    <x v="8"/>
    <s v="Paris"/>
    <s v="Consumer"/>
    <x v="0"/>
    <x v="12"/>
    <x v="2"/>
    <x v="315"/>
    <n v="379.45"/>
    <s v="Medium"/>
    <n v="742.23"/>
    <n v="742.23"/>
    <n v="0.09"/>
    <n v="13"/>
    <n v="66.800700000000006"/>
    <n v="8780.5809000000008"/>
    <n v="8713.7802000000011"/>
    <n v="4932.8499999999995"/>
    <n v="3847.7309000000014"/>
    <n v="3780.9302000000016"/>
    <n v="1.7800218737646598"/>
  </r>
  <r>
    <s v="ORD-2025-231184"/>
    <d v="2024-05-20T00:00:00"/>
    <x v="1"/>
    <x v="2"/>
    <x v="3"/>
    <d v="2024-06-08T00:00:00"/>
    <d v="2024-06-24T00:00:00"/>
    <d v="2024-06-24T00:00:00"/>
    <n v="16"/>
    <x v="3"/>
    <x v="11"/>
    <s v="Durban"/>
    <s v="Education"/>
    <x v="0"/>
    <x v="14"/>
    <x v="3"/>
    <x v="316"/>
    <n v="597.85"/>
    <s v="Medium"/>
    <n v="741.92"/>
    <n v="741.92"/>
    <n v="3.1E-2"/>
    <n v="7"/>
    <n v="22.999519999999997"/>
    <n v="5032.4433599999993"/>
    <n v="5009.443839999999"/>
    <n v="4184.95"/>
    <n v="847.49335999999948"/>
    <n v="824.49383999999918"/>
    <n v="1.2025097934264446"/>
  </r>
  <r>
    <s v="ORD-2024-427031"/>
    <d v="2024-05-21T00:00:00"/>
    <x v="1"/>
    <x v="2"/>
    <x v="1"/>
    <d v="2024-11-04T00:00:00"/>
    <d v="2024-11-05T00:00:00"/>
    <d v="2024-11-05T00:00:00"/>
    <n v="1"/>
    <x v="1"/>
    <x v="7"/>
    <s v="London"/>
    <s v="Corporate"/>
    <x v="1"/>
    <x v="13"/>
    <x v="6"/>
    <x v="317"/>
    <n v="840.68"/>
    <s v="Medium"/>
    <n v="1493.53"/>
    <n v="1493.53"/>
    <n v="0"/>
    <n v="27"/>
    <n v="0"/>
    <n v="40325.31"/>
    <n v="40325.31"/>
    <n v="22698.359999999997"/>
    <n v="17626.95"/>
    <n v="17626.95"/>
    <n v="1.7765737260313081"/>
  </r>
  <r>
    <s v="ORD-2024-925626"/>
    <d v="2024-05-22T00:00:00"/>
    <x v="1"/>
    <x v="1"/>
    <x v="3"/>
    <d v="2023-06-24T00:00:00"/>
    <d v="2023-06-24T00:00:00"/>
    <d v="2023-06-22T00:00:00"/>
    <n v="-2"/>
    <x v="2"/>
    <x v="2"/>
    <s v="Toronto"/>
    <s v="Non-Profit"/>
    <x v="1"/>
    <x v="13"/>
    <x v="5"/>
    <x v="318"/>
    <n v="471.42"/>
    <s v="Medium"/>
    <n v="824.81"/>
    <n v="824.81"/>
    <n v="8.7999999999999995E-2"/>
    <n v="15"/>
    <n v="72.583279999999988"/>
    <n v="11283.400799999999"/>
    <n v="11210.817519999999"/>
    <n v="7071.3"/>
    <n v="4212.1007999999993"/>
    <n v="4139.5175199999985"/>
    <n v="1.5956614483899707"/>
  </r>
  <r>
    <s v="ORD-2024-165942"/>
    <d v="2024-05-23T00:00:00"/>
    <x v="1"/>
    <x v="1"/>
    <x v="10"/>
    <d v="2023-01-10T00:00:00"/>
    <d v="2023-01-29T00:00:00"/>
    <d v="2023-01-29T00:00:00"/>
    <n v="19"/>
    <x v="1"/>
    <x v="8"/>
    <s v="Lyon"/>
    <s v="Non-Profit"/>
    <x v="3"/>
    <x v="10"/>
    <x v="0"/>
    <x v="319"/>
    <n v="401.66"/>
    <s v="Medium"/>
    <n v="772.09"/>
    <n v="772.09"/>
    <n v="8.8999999999999996E-2"/>
    <n v="14"/>
    <n v="68.716009999999997"/>
    <n v="9847.2358600000007"/>
    <n v="9778.5198500000006"/>
    <n v="5623.2400000000007"/>
    <n v="4223.99586"/>
    <n v="4155.2798499999999"/>
    <n v="1.7511676293382461"/>
  </r>
  <r>
    <s v="ORD-2024-403664"/>
    <d v="2024-05-23T00:00:00"/>
    <x v="1"/>
    <x v="2"/>
    <x v="2"/>
    <d v="2024-12-29T00:00:00"/>
    <d v="2025-01-12T00:00:00"/>
    <d v="2025-01-12T00:00:00"/>
    <n v="14"/>
    <x v="1"/>
    <x v="7"/>
    <s v="Manchester"/>
    <s v="Corporate"/>
    <x v="3"/>
    <x v="11"/>
    <x v="3"/>
    <x v="320"/>
    <n v="1399.72"/>
    <s v="High"/>
    <n v="3149.21"/>
    <n v="3149.21"/>
    <n v="0.185"/>
    <n v="12"/>
    <n v="582.60384999999997"/>
    <n v="30799.273800000003"/>
    <n v="30216.669950000003"/>
    <n v="16796.64"/>
    <n v="14002.633800000003"/>
    <n v="13420.029950000004"/>
    <n v="1.8336568385105594"/>
  </r>
  <r>
    <s v="ORD-2023-890605"/>
    <d v="2024-05-23T00:00:00"/>
    <x v="1"/>
    <x v="2"/>
    <x v="11"/>
    <d v="2024-05-23T00:00:00"/>
    <d v="2024-06-06T00:00:00"/>
    <d v="2024-06-06T00:00:00"/>
    <n v="14"/>
    <x v="2"/>
    <x v="6"/>
    <s v="Rio de Janeiro"/>
    <s v="Non-Profit"/>
    <x v="2"/>
    <x v="7"/>
    <x v="4"/>
    <x v="321"/>
    <n v="51.13"/>
    <s v="Low"/>
    <n v="57.53"/>
    <n v="57.53"/>
    <n v="4.4999999999999998E-2"/>
    <n v="16"/>
    <n v="2.5888499999999999"/>
    <n v="879.05840000000001"/>
    <n v="876.46955000000003"/>
    <n v="818.08"/>
    <n v="60.978399999999965"/>
    <n v="58.389549999999986"/>
    <n v="1.074538431449247"/>
  </r>
  <r>
    <s v="ORD-2023-884192"/>
    <d v="2024-05-27T00:00:00"/>
    <x v="1"/>
    <x v="0"/>
    <x v="10"/>
    <d v="2025-01-22T00:00:00"/>
    <d v="2025-02-04T00:00:00"/>
    <d v="2025-02-04T00:00:00"/>
    <n v="13"/>
    <x v="0"/>
    <x v="0"/>
    <s v="Tokyo"/>
    <s v="Small Business"/>
    <x v="0"/>
    <x v="1"/>
    <x v="6"/>
    <x v="322"/>
    <n v="122.29"/>
    <s v="Low"/>
    <n v="224.95"/>
    <n v="224.95"/>
    <n v="0.153"/>
    <n v="28"/>
    <n v="34.417349999999999"/>
    <n v="5334.9141999999993"/>
    <n v="5300.4968499999995"/>
    <n v="3424.1200000000003"/>
    <n v="1910.7941999999989"/>
    <n v="1876.3768499999992"/>
    <n v="1.5580394962793356"/>
  </r>
  <r>
    <s v="ORD-2025-364852"/>
    <d v="2024-05-28T00:00:00"/>
    <x v="1"/>
    <x v="0"/>
    <x v="9"/>
    <d v="2025-03-25T00:00:00"/>
    <d v="2025-03-26T00:00:00"/>
    <d v="2025-03-26T00:00:00"/>
    <n v="1"/>
    <x v="3"/>
    <x v="9"/>
    <s v="Lagos"/>
    <s v="Education"/>
    <x v="0"/>
    <x v="12"/>
    <x v="5"/>
    <x v="323"/>
    <n v="1450.43"/>
    <s v="High"/>
    <n v="1994.67"/>
    <n v="1994.67"/>
    <n v="0.1"/>
    <n v="24"/>
    <n v="199.46700000000001"/>
    <n v="43084.872000000003"/>
    <n v="42885.405000000006"/>
    <n v="34810.32"/>
    <n v="8274.5520000000033"/>
    <n v="8075.0850000000064"/>
    <n v="1.237703991230187"/>
  </r>
  <r>
    <s v="ORD-2025-415018"/>
    <d v="2024-05-28T00:00:00"/>
    <x v="1"/>
    <x v="0"/>
    <x v="11"/>
    <d v="2025-05-18T00:00:00"/>
    <d v="2025-06-09T00:00:00"/>
    <d v="2025-06-09T00:00:00"/>
    <n v="22"/>
    <x v="2"/>
    <x v="10"/>
    <s v="New York"/>
    <s v="Consumer"/>
    <x v="1"/>
    <x v="14"/>
    <x v="4"/>
    <x v="324"/>
    <n v="382.96"/>
    <s v="Medium"/>
    <n v="552.84"/>
    <n v="552.84"/>
    <n v="0.17599999999999999"/>
    <n v="8"/>
    <n v="97.299840000000003"/>
    <n v="3644.3212800000006"/>
    <n v="3547.0214400000004"/>
    <n v="3063.68"/>
    <n v="580.64128000000073"/>
    <n v="483.3414400000006"/>
    <n v="1.1895241278462505"/>
  </r>
  <r>
    <s v="ORD-2025-944081"/>
    <d v="2024-05-30T00:00:00"/>
    <x v="1"/>
    <x v="0"/>
    <x v="6"/>
    <d v="2025-04-09T00:00:00"/>
    <d v="2025-04-12T00:00:00"/>
    <d v="2025-04-12T00:00:00"/>
    <n v="3"/>
    <x v="1"/>
    <x v="8"/>
    <s v="Lyon"/>
    <s v="Small Business"/>
    <x v="0"/>
    <x v="14"/>
    <x v="3"/>
    <x v="325"/>
    <n v="86.68"/>
    <s v="Low"/>
    <n v="213.32"/>
    <n v="213.32"/>
    <n v="3.7999999999999999E-2"/>
    <n v="8"/>
    <n v="8.1061599999999991"/>
    <n v="1641.7107199999998"/>
    <n v="1633.6045599999998"/>
    <n v="693.44"/>
    <n v="948.27071999999976"/>
    <n v="940.16455999999971"/>
    <n v="2.367487771112136"/>
  </r>
  <r>
    <s v="ORD-2024-878493"/>
    <d v="2024-06-02T00:00:00"/>
    <x v="1"/>
    <x v="0"/>
    <x v="3"/>
    <d v="2025-06-22T00:00:00"/>
    <d v="2025-07-08T00:00:00"/>
    <d v="2025-07-08T00:00:00"/>
    <n v="16"/>
    <x v="1"/>
    <x v="7"/>
    <s v="London"/>
    <s v="Education"/>
    <x v="3"/>
    <x v="3"/>
    <x v="1"/>
    <x v="326"/>
    <n v="892.73"/>
    <s v="Medium"/>
    <n v="979.84"/>
    <n v="979.84"/>
    <n v="0.17399999999999999"/>
    <n v="10"/>
    <n v="170.49215999999998"/>
    <n v="8093.4784"/>
    <n v="7922.9862400000002"/>
    <n v="8927.2999999999993"/>
    <n v="-833.82159999999931"/>
    <n v="-1004.3137599999991"/>
    <n v="0.90659868045209646"/>
  </r>
  <r>
    <s v="ORD-2025-138578"/>
    <d v="2024-06-02T00:00:00"/>
    <x v="1"/>
    <x v="2"/>
    <x v="3"/>
    <d v="2024-06-19T00:00:00"/>
    <d v="2024-06-20T00:00:00"/>
    <d v="2024-06-20T00:00:00"/>
    <n v="1"/>
    <x v="3"/>
    <x v="5"/>
    <s v="Kisumu"/>
    <s v="Small Business"/>
    <x v="3"/>
    <x v="5"/>
    <x v="0"/>
    <x v="327"/>
    <n v="231.63"/>
    <s v="Low"/>
    <n v="537.39"/>
    <n v="537.39"/>
    <n v="0.08"/>
    <n v="12"/>
    <n v="42.991199999999999"/>
    <n v="5932.7856000000002"/>
    <n v="5889.7943999999998"/>
    <n v="2779.56"/>
    <n v="3153.2256000000002"/>
    <n v="3110.2343999999998"/>
    <n v="2.1344333635539439"/>
  </r>
  <r>
    <s v="ORD-2025-278048"/>
    <d v="2024-06-03T00:00:00"/>
    <x v="1"/>
    <x v="1"/>
    <x v="5"/>
    <d v="2023-07-18T00:00:00"/>
    <d v="2023-07-22T00:00:00"/>
    <d v="2023-07-22T00:00:00"/>
    <n v="4"/>
    <x v="2"/>
    <x v="6"/>
    <s v="São Paulo"/>
    <s v="Consumer"/>
    <x v="3"/>
    <x v="9"/>
    <x v="4"/>
    <x v="328"/>
    <n v="1269.55"/>
    <s v="High"/>
    <n v="2071.1"/>
    <n v="2071.1"/>
    <n v="0.129"/>
    <n v="22"/>
    <n v="267.17189999999999"/>
    <n v="39686.4182"/>
    <n v="39419.246299999999"/>
    <n v="27930.1"/>
    <n v="11756.318200000002"/>
    <n v="11489.1463"/>
    <n v="1.4209193021149227"/>
  </r>
  <r>
    <s v="ORD-2023-594700"/>
    <d v="2024-06-04T00:00:00"/>
    <x v="1"/>
    <x v="1"/>
    <x v="8"/>
    <d v="2023-10-05T00:00:00"/>
    <d v="2023-10-31T00:00:00"/>
    <d v="2023-10-31T00:00:00"/>
    <n v="26"/>
    <x v="0"/>
    <x v="3"/>
    <s v="Shanghai"/>
    <s v="Consumer"/>
    <x v="4"/>
    <x v="5"/>
    <x v="6"/>
    <x v="329"/>
    <n v="649.91"/>
    <s v="Medium"/>
    <n v="1360.12"/>
    <n v="1360.12"/>
    <n v="0.19400000000000001"/>
    <n v="9"/>
    <n v="263.86327999999997"/>
    <n v="9866.3104799999983"/>
    <n v="9602.4471999999987"/>
    <n v="5849.19"/>
    <n v="4017.1204799999987"/>
    <n v="3753.2571999999991"/>
    <n v="1.6867823544798508"/>
  </r>
  <r>
    <s v="ORD-2023-166668"/>
    <d v="2024-06-05T00:00:00"/>
    <x v="1"/>
    <x v="0"/>
    <x v="11"/>
    <d v="2025-05-10T00:00:00"/>
    <d v="2025-05-27T00:00:00"/>
    <d v="2025-05-27T00:00:00"/>
    <n v="17"/>
    <x v="2"/>
    <x v="2"/>
    <s v="Vancouver"/>
    <s v="Education"/>
    <x v="3"/>
    <x v="4"/>
    <x v="2"/>
    <x v="330"/>
    <n v="862.89"/>
    <s v="Medium"/>
    <n v="1426.03"/>
    <n v="1426.03"/>
    <n v="5.6000000000000001E-2"/>
    <n v="19"/>
    <n v="79.857680000000002"/>
    <n v="25577.274079999999"/>
    <n v="25497.416399999998"/>
    <n v="16394.91"/>
    <n v="9182.3640799999994"/>
    <n v="9102.5063999999984"/>
    <n v="1.560074076649399"/>
  </r>
  <r>
    <s v="ORD-2025-191328"/>
    <d v="2024-06-06T00:00:00"/>
    <x v="1"/>
    <x v="0"/>
    <x v="10"/>
    <d v="2025-01-22T00:00:00"/>
    <d v="2025-01-22T00:00:00"/>
    <d v="2025-01-22T00:00:00"/>
    <n v="0"/>
    <x v="1"/>
    <x v="8"/>
    <s v="Lyon"/>
    <s v="Small Business"/>
    <x v="2"/>
    <x v="11"/>
    <x v="5"/>
    <x v="331"/>
    <n v="591.72"/>
    <s v="Medium"/>
    <n v="577.24"/>
    <n v="577.24"/>
    <n v="0"/>
    <n v="22"/>
    <n v="0"/>
    <n v="12699.28"/>
    <n v="12699.28"/>
    <n v="13017.84"/>
    <n v="-318.55999999999949"/>
    <n v="-318.55999999999949"/>
    <n v="0.97552896640302855"/>
  </r>
  <r>
    <s v="ORD-2024-207096"/>
    <d v="2024-06-07T00:00:00"/>
    <x v="1"/>
    <x v="1"/>
    <x v="3"/>
    <d v="2023-06-20T00:00:00"/>
    <d v="2023-07-08T00:00:00"/>
    <d v="2023-07-08T00:00:00"/>
    <n v="18"/>
    <x v="2"/>
    <x v="10"/>
    <s v="Austin"/>
    <s v="Non-Profit"/>
    <x v="3"/>
    <x v="9"/>
    <x v="3"/>
    <x v="332"/>
    <n v="337"/>
    <s v="Low"/>
    <n v="511.03"/>
    <n v="511.03"/>
    <n v="0.108"/>
    <n v="7"/>
    <n v="55.191239999999993"/>
    <n v="3190.8713200000002"/>
    <n v="3135.6800800000001"/>
    <n v="2359"/>
    <n v="831.8713200000002"/>
    <n v="776.68008000000009"/>
    <n v="1.3526372700296736"/>
  </r>
  <r>
    <s v="ORD-2025-939953"/>
    <d v="2024-06-07T00:00:00"/>
    <x v="1"/>
    <x v="2"/>
    <x v="9"/>
    <d v="2024-03-26T00:00:00"/>
    <d v="2024-04-05T00:00:00"/>
    <d v="2024-04-05T00:00:00"/>
    <n v="10"/>
    <x v="2"/>
    <x v="10"/>
    <s v="Austin"/>
    <s v="Consumer"/>
    <x v="3"/>
    <x v="5"/>
    <x v="3"/>
    <x v="333"/>
    <n v="5.66"/>
    <s v="Low"/>
    <n v="4.22"/>
    <n v="4.22"/>
    <n v="0.11899999999999999"/>
    <n v="18"/>
    <n v="0.50217999999999996"/>
    <n v="66.920760000000001"/>
    <n v="66.418580000000006"/>
    <n v="101.88"/>
    <n v="-34.959239999999994"/>
    <n v="-35.46141999999999"/>
    <n v="0.65685865724381631"/>
  </r>
  <r>
    <s v="ORD-2023-602648"/>
    <d v="2024-06-08T00:00:00"/>
    <x v="1"/>
    <x v="2"/>
    <x v="9"/>
    <d v="2024-03-02T00:00:00"/>
    <d v="2024-03-16T00:00:00"/>
    <d v="2024-03-16T00:00:00"/>
    <n v="14"/>
    <x v="2"/>
    <x v="2"/>
    <s v="Vancouver"/>
    <s v="Non-Profit"/>
    <x v="3"/>
    <x v="6"/>
    <x v="6"/>
    <x v="334"/>
    <n v="248.24"/>
    <s v="Low"/>
    <n v="464.05"/>
    <n v="464.05"/>
    <n v="0.16900000000000001"/>
    <n v="11"/>
    <n v="78.424450000000007"/>
    <n v="4241.88105"/>
    <n v="4163.4565999999995"/>
    <n v="2730.6400000000003"/>
    <n v="1511.2410499999996"/>
    <n v="1432.8165999999992"/>
    <n v="1.5534384063809215"/>
  </r>
  <r>
    <s v="ORD-2024-792137"/>
    <d v="2024-06-09T00:00:00"/>
    <x v="1"/>
    <x v="0"/>
    <x v="3"/>
    <d v="2025-06-01T00:00:00"/>
    <d v="2025-06-27T00:00:00"/>
    <d v="2025-06-27T00:00:00"/>
    <n v="26"/>
    <x v="1"/>
    <x v="1"/>
    <s v="Munich"/>
    <s v="Consumer"/>
    <x v="0"/>
    <x v="2"/>
    <x v="0"/>
    <x v="335"/>
    <n v="1362.31"/>
    <s v="High"/>
    <n v="3294.57"/>
    <n v="3294.57"/>
    <n v="0.113"/>
    <n v="7"/>
    <n v="372.28641000000005"/>
    <n v="20455.985130000001"/>
    <n v="20083.69872"/>
    <n v="9536.17"/>
    <n v="10919.815130000001"/>
    <n v="10547.52872"/>
    <n v="2.1450944278468191"/>
  </r>
  <r>
    <s v="ORD-2025-398335"/>
    <d v="2024-06-10T00:00:00"/>
    <x v="1"/>
    <x v="0"/>
    <x v="6"/>
    <d v="2025-04-11T00:00:00"/>
    <d v="2025-05-04T00:00:00"/>
    <d v="2025-05-04T00:00:00"/>
    <n v="23"/>
    <x v="0"/>
    <x v="0"/>
    <s v="Osaka"/>
    <s v="Small Business"/>
    <x v="2"/>
    <x v="13"/>
    <x v="2"/>
    <x v="336"/>
    <n v="786.2"/>
    <s v="Medium"/>
    <n v="1075.3"/>
    <n v="1075.3"/>
    <n v="0.08"/>
    <n v="9"/>
    <n v="86.024000000000001"/>
    <n v="8903.4839999999986"/>
    <n v="8817.4599999999991"/>
    <n v="7075.8"/>
    <n v="1827.6839999999984"/>
    <n v="1741.6599999999989"/>
    <n v="1.2583006868481299"/>
  </r>
  <r>
    <s v="ORD-2025-487025"/>
    <d v="2024-06-11T00:00:00"/>
    <x v="1"/>
    <x v="1"/>
    <x v="4"/>
    <d v="2023-08-23T00:00:00"/>
    <d v="2023-09-22T00:00:00"/>
    <d v="2023-09-22T00:00:00"/>
    <n v="30"/>
    <x v="1"/>
    <x v="7"/>
    <s v="London"/>
    <s v="Consumer"/>
    <x v="0"/>
    <x v="6"/>
    <x v="5"/>
    <x v="337"/>
    <n v="209.81"/>
    <s v="Low"/>
    <n v="523"/>
    <n v="523"/>
    <n v="5.8999999999999997E-2"/>
    <n v="15"/>
    <n v="30.856999999999999"/>
    <n v="7382.1450000000004"/>
    <n v="7351.2880000000005"/>
    <n v="3147.15"/>
    <n v="4234.9950000000008"/>
    <n v="4204.1380000000008"/>
    <n v="2.3456603593727658"/>
  </r>
  <r>
    <s v="ORD-2023-375011"/>
    <d v="2024-06-15T00:00:00"/>
    <x v="1"/>
    <x v="1"/>
    <x v="8"/>
    <d v="2023-10-21T00:00:00"/>
    <d v="2023-11-09T00:00:00"/>
    <d v="2023-11-09T00:00:00"/>
    <n v="19"/>
    <x v="1"/>
    <x v="7"/>
    <s v="London"/>
    <s v="Non-Profit"/>
    <x v="3"/>
    <x v="3"/>
    <x v="5"/>
    <x v="338"/>
    <n v="1142.48"/>
    <s v="High"/>
    <n v="2105.5300000000002"/>
    <n v="2105.5300000000002"/>
    <n v="0.20699999999999999"/>
    <n v="14"/>
    <n v="435.84471000000002"/>
    <n v="23375.594060000003"/>
    <n v="22939.749350000002"/>
    <n v="15994.720000000001"/>
    <n v="7380.8740600000019"/>
    <n v="6945.0293500000007"/>
    <n v="1.4614569095301451"/>
  </r>
  <r>
    <s v="ORD-2025-752845"/>
    <d v="2024-06-16T00:00:00"/>
    <x v="1"/>
    <x v="0"/>
    <x v="4"/>
    <d v="2025-08-28T00:00:00"/>
    <d v="2025-08-28T00:00:00"/>
    <d v="2025-08-26T00:00:00"/>
    <n v="-2"/>
    <x v="3"/>
    <x v="9"/>
    <s v="Port Harcourt"/>
    <s v="Small Business"/>
    <x v="1"/>
    <x v="3"/>
    <x v="5"/>
    <x v="339"/>
    <n v="521.05999999999995"/>
    <s v="Medium"/>
    <n v="1240.31"/>
    <n v="1240.31"/>
    <n v="0.14599999999999999"/>
    <n v="18"/>
    <n v="181.08525999999998"/>
    <n v="19066.045319999997"/>
    <n v="18884.960059999998"/>
    <n v="9379.0799999999981"/>
    <n v="9686.9653199999993"/>
    <n v="9505.8800599999995"/>
    <n v="2.0328268145702992"/>
  </r>
  <r>
    <s v="ORD-2023-667815"/>
    <d v="2024-06-16T00:00:00"/>
    <x v="1"/>
    <x v="0"/>
    <x v="9"/>
    <d v="2025-03-30T00:00:00"/>
    <d v="2025-04-07T00:00:00"/>
    <d v="2025-04-07T00:00:00"/>
    <n v="8"/>
    <x v="2"/>
    <x v="6"/>
    <s v="São Paulo"/>
    <s v="Non-Profit"/>
    <x v="3"/>
    <x v="1"/>
    <x v="6"/>
    <x v="340"/>
    <n v="71.62"/>
    <s v="Low"/>
    <n v="118.37"/>
    <n v="118.37"/>
    <n v="0.156"/>
    <n v="11"/>
    <n v="18.465720000000001"/>
    <n v="1098.9470800000001"/>
    <n v="1080.4813600000002"/>
    <n v="787.82"/>
    <n v="311.12708000000009"/>
    <n v="292.66136000000017"/>
    <n v="1.3949215302987994"/>
  </r>
  <r>
    <s v="ORD-2025-922513"/>
    <d v="2024-06-19T00:00:00"/>
    <x v="1"/>
    <x v="1"/>
    <x v="5"/>
    <d v="2023-07-18T00:00:00"/>
    <d v="2023-08-10T00:00:00"/>
    <d v="2023-08-10T00:00:00"/>
    <n v="23"/>
    <x v="3"/>
    <x v="11"/>
    <s v="Johannesburg"/>
    <s v="Small Business"/>
    <x v="1"/>
    <x v="1"/>
    <x v="2"/>
    <x v="341"/>
    <n v="1271.56"/>
    <s v="Medium"/>
    <n v="995.47"/>
    <n v="995.47"/>
    <n v="0.192"/>
    <n v="13"/>
    <n v="191.13024000000001"/>
    <n v="10456.416880000001"/>
    <n v="10265.28664"/>
    <n v="16530.28"/>
    <n v="-6073.8631199999982"/>
    <n v="-6264.9933599999986"/>
    <n v="0.63256138915977234"/>
  </r>
  <r>
    <s v="ORD-2024-277241"/>
    <d v="2024-06-23T00:00:00"/>
    <x v="1"/>
    <x v="2"/>
    <x v="7"/>
    <d v="2024-09-07T00:00:00"/>
    <d v="2024-09-07T00:00:00"/>
    <d v="2024-09-07T00:00:00"/>
    <n v="0"/>
    <x v="0"/>
    <x v="4"/>
    <s v="Mumbai"/>
    <s v="Education"/>
    <x v="0"/>
    <x v="11"/>
    <x v="4"/>
    <x v="342"/>
    <n v="1066.6500000000001"/>
    <s v="High"/>
    <n v="2569.77"/>
    <n v="2569.77"/>
    <n v="0.13400000000000001"/>
    <n v="9"/>
    <n v="344.34917999999999"/>
    <n v="20028.787380000002"/>
    <n v="19684.438200000001"/>
    <n v="9599.85"/>
    <n v="10428.937380000001"/>
    <n v="10084.5882"/>
    <n v="2.0863646181971593"/>
  </r>
  <r>
    <s v="ORD-2023-369150"/>
    <d v="2024-06-23T00:00:00"/>
    <x v="1"/>
    <x v="2"/>
    <x v="10"/>
    <d v="2024-01-28T00:00:00"/>
    <d v="2024-01-30T00:00:00"/>
    <d v="2024-01-30T00:00:00"/>
    <n v="2"/>
    <x v="3"/>
    <x v="11"/>
    <s v="Cape Town"/>
    <s v="Consumer"/>
    <x v="3"/>
    <x v="9"/>
    <x v="5"/>
    <x v="343"/>
    <n v="798.45"/>
    <s v="Medium"/>
    <n v="1592.02"/>
    <n v="1592.02"/>
    <n v="6.6000000000000003E-2"/>
    <n v="18"/>
    <n v="105.07332000000001"/>
    <n v="26765.040239999998"/>
    <n v="26659.966919999999"/>
    <n v="14372.1"/>
    <n v="12392.940239999998"/>
    <n v="12287.866919999999"/>
    <n v="1.8622915398584756"/>
  </r>
  <r>
    <s v="ORD-2024-862371"/>
    <d v="2024-06-25T00:00:00"/>
    <x v="1"/>
    <x v="0"/>
    <x v="6"/>
    <d v="2025-04-04T00:00:00"/>
    <d v="2025-04-13T00:00:00"/>
    <d v="2025-04-13T00:00:00"/>
    <n v="9"/>
    <x v="1"/>
    <x v="1"/>
    <s v="Munich"/>
    <s v="Consumer"/>
    <x v="4"/>
    <x v="9"/>
    <x v="1"/>
    <x v="344"/>
    <n v="7.02"/>
    <s v="Low"/>
    <n v="6.28"/>
    <n v="6.28"/>
    <n v="0.13400000000000001"/>
    <n v="14"/>
    <n v="0.84152000000000005"/>
    <n v="76.138720000000006"/>
    <n v="75.297200000000004"/>
    <n v="98.28"/>
    <n v="-22.141279999999995"/>
    <n v="-22.982799999999997"/>
    <n v="0.77471225071225081"/>
  </r>
  <r>
    <s v="ORD-2025-541048"/>
    <d v="2024-06-29T00:00:00"/>
    <x v="1"/>
    <x v="1"/>
    <x v="3"/>
    <d v="2023-06-24T00:00:00"/>
    <d v="2023-07-21T00:00:00"/>
    <d v="2023-07-21T00:00:00"/>
    <n v="27"/>
    <x v="0"/>
    <x v="0"/>
    <s v="Nagoya"/>
    <s v="Consumer"/>
    <x v="4"/>
    <x v="5"/>
    <x v="1"/>
    <x v="345"/>
    <n v="554.76"/>
    <s v="Medium"/>
    <n v="728.69"/>
    <n v="728.69"/>
    <n v="0.22"/>
    <n v="7"/>
    <n v="160.31180000000001"/>
    <n v="3978.6474000000003"/>
    <n v="3818.3356000000003"/>
    <n v="3883.3199999999997"/>
    <n v="95.32740000000058"/>
    <n v="-64.984399999999368"/>
    <n v="1.024547912610859"/>
  </r>
  <r>
    <s v="ORD-2025-983096"/>
    <d v="2024-06-30T00:00:00"/>
    <x v="1"/>
    <x v="1"/>
    <x v="4"/>
    <d v="2023-08-15T00:00:00"/>
    <d v="2023-08-25T00:00:00"/>
    <d v="2023-08-25T00:00:00"/>
    <n v="10"/>
    <x v="3"/>
    <x v="5"/>
    <s v="Nairobi"/>
    <s v="Small Business"/>
    <x v="1"/>
    <x v="0"/>
    <x v="1"/>
    <x v="346"/>
    <n v="91.85"/>
    <s v="Low"/>
    <n v="111.29"/>
    <n v="111.29"/>
    <n v="0"/>
    <n v="6"/>
    <n v="0"/>
    <n v="667.74"/>
    <n v="667.74"/>
    <n v="551.09999999999991"/>
    <n v="116.6400000000001"/>
    <n v="116.6400000000001"/>
    <n v="1.2116494284158956"/>
  </r>
  <r>
    <s v="ORD-2024-366010"/>
    <d v="2024-06-30T00:00:00"/>
    <x v="1"/>
    <x v="0"/>
    <x v="11"/>
    <d v="2025-05-17T00:00:00"/>
    <d v="2025-05-28T00:00:00"/>
    <d v="2025-05-28T00:00:00"/>
    <n v="11"/>
    <x v="0"/>
    <x v="4"/>
    <s v="Bengaluru"/>
    <s v="Corporate"/>
    <x v="0"/>
    <x v="11"/>
    <x v="0"/>
    <x v="347"/>
    <n v="623.4"/>
    <s v="Medium"/>
    <n v="1100.0899999999999"/>
    <n v="1100.0899999999999"/>
    <n v="0.114"/>
    <n v="12"/>
    <n v="125.41025999999999"/>
    <n v="11696.156879999999"/>
    <n v="11570.746619999998"/>
    <n v="7480.7999999999993"/>
    <n v="4215.3568799999994"/>
    <n v="4089.9466199999988"/>
    <n v="1.5634901187038819"/>
  </r>
  <r>
    <s v="ORD-2023-610470"/>
    <d v="2024-06-30T00:00:00"/>
    <x v="1"/>
    <x v="2"/>
    <x v="10"/>
    <d v="2024-01-13T00:00:00"/>
    <d v="2024-02-05T00:00:00"/>
    <d v="2024-02-05T00:00:00"/>
    <n v="23"/>
    <x v="1"/>
    <x v="1"/>
    <s v="Frankfurt"/>
    <s v="Education"/>
    <x v="3"/>
    <x v="11"/>
    <x v="0"/>
    <x v="348"/>
    <n v="1017.93"/>
    <s v="Medium"/>
    <n v="1529.14"/>
    <n v="1529.14"/>
    <n v="0.155"/>
    <n v="12"/>
    <n v="237.01670000000001"/>
    <n v="15505.479600000001"/>
    <n v="15268.4629"/>
    <n v="12215.16"/>
    <n v="3290.3196000000007"/>
    <n v="3053.3029000000006"/>
    <n v="1.2693636104643737"/>
  </r>
  <r>
    <s v="ORD-2025-685236"/>
    <d v="2024-07-09T00:00:00"/>
    <x v="2"/>
    <x v="1"/>
    <x v="3"/>
    <d v="2023-06-15T00:00:00"/>
    <d v="2023-06-23T00:00:00"/>
    <d v="2023-06-23T00:00:00"/>
    <n v="8"/>
    <x v="2"/>
    <x v="10"/>
    <s v="San Francisco"/>
    <s v="Consumer"/>
    <x v="0"/>
    <x v="6"/>
    <x v="3"/>
    <x v="349"/>
    <n v="1097.0899999999999"/>
    <s v="High"/>
    <n v="2182.31"/>
    <n v="2182.31"/>
    <n v="0.112"/>
    <n v="9"/>
    <n v="244.41872000000001"/>
    <n v="17441.021520000002"/>
    <n v="17196.602800000001"/>
    <n v="9873.81"/>
    <n v="7567.2115200000026"/>
    <n v="7322.7928000000011"/>
    <n v="1.766392255876911"/>
  </r>
  <r>
    <s v="ORD-2023-274037"/>
    <d v="2024-07-09T00:00:00"/>
    <x v="2"/>
    <x v="0"/>
    <x v="9"/>
    <d v="2025-03-14T00:00:00"/>
    <d v="2025-03-29T00:00:00"/>
    <d v="2025-03-29T00:00:00"/>
    <n v="15"/>
    <x v="0"/>
    <x v="0"/>
    <s v="Tokyo"/>
    <s v="Non-Profit"/>
    <x v="3"/>
    <x v="14"/>
    <x v="4"/>
    <x v="350"/>
    <n v="1106.96"/>
    <s v="High"/>
    <n v="2726.62"/>
    <n v="2726.62"/>
    <n v="0.317"/>
    <n v="7"/>
    <n v="864.33853999999997"/>
    <n v="13035.970220000001"/>
    <n v="12171.63168"/>
    <n v="7748.72"/>
    <n v="5287.2502200000008"/>
    <n v="4422.9116800000002"/>
    <n v="1.6823385307508854"/>
  </r>
  <r>
    <s v="ORD-2023-715175"/>
    <d v="2024-07-11T00:00:00"/>
    <x v="2"/>
    <x v="1"/>
    <x v="8"/>
    <d v="2023-10-30T00:00:00"/>
    <d v="2023-11-14T00:00:00"/>
    <d v="2023-11-14T00:00:00"/>
    <n v="15"/>
    <x v="0"/>
    <x v="4"/>
    <s v="Bengaluru"/>
    <s v="Corporate"/>
    <x v="2"/>
    <x v="9"/>
    <x v="0"/>
    <x v="351"/>
    <n v="953.46"/>
    <s v="High"/>
    <n v="2066.75"/>
    <n v="2066.75"/>
    <n v="0.13800000000000001"/>
    <n v="5"/>
    <n v="285.2115"/>
    <n v="8907.6924999999992"/>
    <n v="8622.4809999999998"/>
    <n v="4767.3"/>
    <n v="4140.392499999999"/>
    <n v="3855.1809999999996"/>
    <n v="1.8684984162943383"/>
  </r>
  <r>
    <s v="ORD-2024-580808"/>
    <d v="2024-07-13T00:00:00"/>
    <x v="2"/>
    <x v="0"/>
    <x v="3"/>
    <d v="2025-06-24T00:00:00"/>
    <d v="2025-07-14T00:00:00"/>
    <d v="2025-07-14T00:00:00"/>
    <n v="20"/>
    <x v="1"/>
    <x v="1"/>
    <s v="Berlin"/>
    <s v="Corporate"/>
    <x v="3"/>
    <x v="6"/>
    <x v="5"/>
    <x v="352"/>
    <n v="385.08"/>
    <s v="Medium"/>
    <n v="893.19"/>
    <n v="893.19"/>
    <n v="0.151"/>
    <n v="8"/>
    <n v="134.87169"/>
    <n v="6066.54648"/>
    <n v="5931.67479"/>
    <n v="3080.64"/>
    <n v="2985.9064800000001"/>
    <n v="2851.0347900000002"/>
    <n v="1.969248753505765"/>
  </r>
  <r>
    <s v="ORD-2023-211715"/>
    <d v="2024-07-13T00:00:00"/>
    <x v="2"/>
    <x v="2"/>
    <x v="3"/>
    <d v="2024-06-16T00:00:00"/>
    <d v="2024-07-03T00:00:00"/>
    <d v="2024-07-03T00:00:00"/>
    <n v="17"/>
    <x v="3"/>
    <x v="11"/>
    <s v="Johannesburg"/>
    <s v="Enterprise"/>
    <x v="4"/>
    <x v="9"/>
    <x v="1"/>
    <x v="353"/>
    <n v="1173.83"/>
    <s v="High"/>
    <n v="2328.9"/>
    <n v="2328.9"/>
    <n v="0.12"/>
    <n v="17"/>
    <n v="279.46800000000002"/>
    <n v="34840.344000000005"/>
    <n v="34560.876000000004"/>
    <n v="19955.11"/>
    <n v="14885.234000000004"/>
    <n v="14605.766000000003"/>
    <n v="1.7459359532470633"/>
  </r>
  <r>
    <s v="ORD-2025-678328"/>
    <d v="2024-07-15T00:00:00"/>
    <x v="2"/>
    <x v="2"/>
    <x v="9"/>
    <d v="2024-03-27T00:00:00"/>
    <d v="2024-04-11T00:00:00"/>
    <d v="2024-04-11T00:00:00"/>
    <n v="15"/>
    <x v="2"/>
    <x v="10"/>
    <s v="San Francisco"/>
    <s v="Small Business"/>
    <x v="3"/>
    <x v="6"/>
    <x v="4"/>
    <x v="354"/>
    <n v="1338.35"/>
    <s v="High"/>
    <n v="2247.14"/>
    <n v="2247.14"/>
    <n v="0.115"/>
    <n v="40"/>
    <n v="258.42110000000002"/>
    <n v="79548.755999999994"/>
    <n v="79290.334899999987"/>
    <n v="53534"/>
    <n v="26014.755999999994"/>
    <n v="25756.334899999987"/>
    <n v="1.4859482945417863"/>
  </r>
  <r>
    <s v="ORD-2024-948800"/>
    <d v="2024-07-18T00:00:00"/>
    <x v="2"/>
    <x v="2"/>
    <x v="10"/>
    <d v="2024-01-25T00:00:00"/>
    <d v="2024-01-27T00:00:00"/>
    <d v="2024-01-27T00:00:00"/>
    <n v="2"/>
    <x v="2"/>
    <x v="6"/>
    <s v="São Paulo"/>
    <s v="Non-Profit"/>
    <x v="4"/>
    <x v="0"/>
    <x v="0"/>
    <x v="355"/>
    <n v="1410.97"/>
    <s v="Medium"/>
    <n v="1650.75"/>
    <n v="1650.75"/>
    <n v="0.13500000000000001"/>
    <n v="6"/>
    <n v="222.85125000000002"/>
    <n v="8567.3924999999999"/>
    <n v="8344.5412500000002"/>
    <n v="8465.82"/>
    <n v="101.57250000000022"/>
    <n v="-121.27874999999949"/>
    <n v="1.0119979517636803"/>
  </r>
  <r>
    <s v="ORD-2024-499009"/>
    <d v="2024-07-19T00:00:00"/>
    <x v="2"/>
    <x v="2"/>
    <x v="9"/>
    <d v="2024-03-16T00:00:00"/>
    <d v="2024-04-13T00:00:00"/>
    <d v="2024-04-13T00:00:00"/>
    <n v="28"/>
    <x v="1"/>
    <x v="8"/>
    <s v="Paris"/>
    <s v="Small Business"/>
    <x v="2"/>
    <x v="8"/>
    <x v="6"/>
    <x v="356"/>
    <n v="287.61"/>
    <s v="Medium"/>
    <n v="628.54"/>
    <n v="628.54"/>
    <n v="0.13500000000000001"/>
    <n v="21"/>
    <n v="84.852900000000005"/>
    <n v="11417.429099999999"/>
    <n v="11332.5762"/>
    <n v="6039.81"/>
    <n v="5377.619099999999"/>
    <n v="5292.7661999999991"/>
    <n v="1.8903622961649453"/>
  </r>
  <r>
    <s v="ORD-2024-834983"/>
    <d v="2024-07-24T00:00:00"/>
    <x v="2"/>
    <x v="1"/>
    <x v="5"/>
    <d v="2023-07-24T00:00:00"/>
    <d v="2023-08-13T00:00:00"/>
    <d v="2023-08-13T00:00:00"/>
    <n v="20"/>
    <x v="2"/>
    <x v="2"/>
    <s v="Montreal"/>
    <s v="Education"/>
    <x v="3"/>
    <x v="4"/>
    <x v="3"/>
    <x v="357"/>
    <n v="1082.3800000000001"/>
    <s v="Medium"/>
    <n v="1766.55"/>
    <n v="1766.55"/>
    <n v="0.16400000000000001"/>
    <n v="20"/>
    <n v="289.71420000000001"/>
    <n v="29536.716"/>
    <n v="29247.001800000002"/>
    <n v="21647.600000000002"/>
    <n v="7889.1159999999982"/>
    <n v="7599.4017999999996"/>
    <n v="1.3644337478519557"/>
  </r>
  <r>
    <s v="ORD-2024-745822"/>
    <d v="2024-07-25T00:00:00"/>
    <x v="2"/>
    <x v="0"/>
    <x v="0"/>
    <d v="2025-02-19T00:00:00"/>
    <d v="2025-03-09T00:00:00"/>
    <d v="2025-03-09T00:00:00"/>
    <n v="18"/>
    <x v="0"/>
    <x v="4"/>
    <s v="Delhi"/>
    <s v="Small Business"/>
    <x v="3"/>
    <x v="6"/>
    <x v="3"/>
    <x v="358"/>
    <n v="325.87"/>
    <s v="Low"/>
    <n v="538.79"/>
    <n v="538.79"/>
    <n v="0.17399999999999999"/>
    <n v="16"/>
    <n v="93.749459999999985"/>
    <n v="7120.6486400000003"/>
    <n v="7026.8991800000003"/>
    <n v="5213.92"/>
    <n v="1906.7286400000003"/>
    <n v="1812.9791800000003"/>
    <n v="1.3656996348237027"/>
  </r>
  <r>
    <s v="ORD-2023-369160"/>
    <d v="2024-07-25T00:00:00"/>
    <x v="2"/>
    <x v="2"/>
    <x v="9"/>
    <d v="2024-03-31T00:00:00"/>
    <d v="2024-04-17T00:00:00"/>
    <d v="2024-04-17T00:00:00"/>
    <n v="17"/>
    <x v="1"/>
    <x v="1"/>
    <s v="Frankfurt"/>
    <s v="Education"/>
    <x v="3"/>
    <x v="14"/>
    <x v="3"/>
    <x v="359"/>
    <n v="1025.51"/>
    <s v="Medium"/>
    <n v="1436.54"/>
    <n v="1436.54"/>
    <n v="0.13900000000000001"/>
    <n v="28"/>
    <n v="199.67906000000002"/>
    <n v="34632.106319999999"/>
    <n v="34432.427259999997"/>
    <n v="28714.28"/>
    <n v="5917.8263200000001"/>
    <n v="5718.1472599999979"/>
    <n v="1.2060934949439792"/>
  </r>
  <r>
    <s v="ORD-2025-484073"/>
    <d v="2024-07-28T00:00:00"/>
    <x v="2"/>
    <x v="1"/>
    <x v="4"/>
    <d v="2023-08-03T00:00:00"/>
    <d v="2023-08-14T00:00:00"/>
    <d v="2023-08-14T00:00:00"/>
    <n v="11"/>
    <x v="2"/>
    <x v="6"/>
    <s v="Brasília"/>
    <s v="Corporate"/>
    <x v="3"/>
    <x v="5"/>
    <x v="5"/>
    <x v="360"/>
    <n v="232.73"/>
    <s v="Low"/>
    <n v="334.19"/>
    <n v="334.19"/>
    <n v="0.13400000000000001"/>
    <n v="25"/>
    <n v="44.781460000000003"/>
    <n v="7235.2134999999998"/>
    <n v="7190.4320399999997"/>
    <n v="5818.25"/>
    <n v="1416.9634999999998"/>
    <n v="1372.1820399999997"/>
    <n v="1.2435377476045202"/>
  </r>
  <r>
    <s v="ORD-2023-253245"/>
    <d v="2024-07-29T00:00:00"/>
    <x v="2"/>
    <x v="2"/>
    <x v="10"/>
    <d v="2024-01-10T00:00:00"/>
    <d v="2024-01-23T00:00:00"/>
    <d v="2024-01-23T00:00:00"/>
    <n v="13"/>
    <x v="1"/>
    <x v="8"/>
    <s v="Marseille"/>
    <s v="Corporate"/>
    <x v="3"/>
    <x v="3"/>
    <x v="6"/>
    <x v="361"/>
    <n v="720"/>
    <s v="Medium"/>
    <n v="907.59"/>
    <n v="907.59"/>
    <n v="0.154"/>
    <n v="10"/>
    <n v="139.76885999999999"/>
    <n v="7678.2113999999992"/>
    <n v="7538.4425399999991"/>
    <n v="7200"/>
    <n v="478.21139999999923"/>
    <n v="338.4425399999991"/>
    <n v="1.0664182499999999"/>
  </r>
  <r>
    <s v="ORD-2024-885858"/>
    <d v="2024-07-31T00:00:00"/>
    <x v="2"/>
    <x v="1"/>
    <x v="2"/>
    <d v="2023-12-24T00:00:00"/>
    <d v="2024-01-01T00:00:00"/>
    <d v="2024-01-01T00:00:00"/>
    <n v="8"/>
    <x v="2"/>
    <x v="6"/>
    <s v="São Paulo"/>
    <s v="Education"/>
    <x v="3"/>
    <x v="4"/>
    <x v="1"/>
    <x v="362"/>
    <n v="526.49"/>
    <s v="Low"/>
    <n v="496.2"/>
    <n v="496.2"/>
    <n v="0"/>
    <n v="14"/>
    <n v="0"/>
    <n v="6946.8"/>
    <n v="6946.8"/>
    <n v="7370.8600000000006"/>
    <n v="-424.0600000000004"/>
    <n v="-424.0600000000004"/>
    <n v="0.94246804307774124"/>
  </r>
  <r>
    <s v="ORD-2023-967239"/>
    <d v="2024-08-03T00:00:00"/>
    <x v="2"/>
    <x v="1"/>
    <x v="11"/>
    <d v="2023-05-07T00:00:00"/>
    <d v="2023-05-07T00:00:00"/>
    <d v="2023-05-05T00:00:00"/>
    <n v="-2"/>
    <x v="3"/>
    <x v="9"/>
    <s v="Port Harcourt"/>
    <s v="Non-Profit"/>
    <x v="4"/>
    <x v="3"/>
    <x v="2"/>
    <x v="363"/>
    <n v="1269.6500000000001"/>
    <s v="High"/>
    <n v="2462.77"/>
    <n v="2462.77"/>
    <n v="0.107"/>
    <n v="8"/>
    <n v="263.51639"/>
    <n v="17594.028880000002"/>
    <n v="17330.512490000001"/>
    <n v="10157.200000000001"/>
    <n v="7436.8288800000009"/>
    <n v="7173.3124900000003"/>
    <n v="1.7321731264521718"/>
  </r>
  <r>
    <s v="ORD-2023-632893"/>
    <d v="2024-08-04T00:00:00"/>
    <x v="2"/>
    <x v="2"/>
    <x v="8"/>
    <d v="2024-10-08T00:00:00"/>
    <d v="2024-10-08T00:00:00"/>
    <d v="2024-10-08T00:00:00"/>
    <n v="0"/>
    <x v="1"/>
    <x v="7"/>
    <s v="London"/>
    <s v="Corporate"/>
    <x v="2"/>
    <x v="2"/>
    <x v="3"/>
    <x v="364"/>
    <n v="1108.1099999999999"/>
    <s v="High"/>
    <n v="2503.79"/>
    <n v="2503.79"/>
    <n v="0.184"/>
    <n v="19"/>
    <n v="460.69736"/>
    <n v="38818.760160000005"/>
    <n v="38358.062800000007"/>
    <n v="21054.089999999997"/>
    <n v="17764.670160000009"/>
    <n v="17303.97280000001"/>
    <n v="1.8437633808917893"/>
  </r>
  <r>
    <s v="ORD-2024-500511"/>
    <d v="2024-08-07T00:00:00"/>
    <x v="2"/>
    <x v="0"/>
    <x v="7"/>
    <d v="2025-09-02T00:00:00"/>
    <d v="2025-09-11T00:00:00"/>
    <d v="2025-09-11T00:00:00"/>
    <n v="9"/>
    <x v="2"/>
    <x v="2"/>
    <s v="Toronto"/>
    <s v="Corporate"/>
    <x v="0"/>
    <x v="13"/>
    <x v="6"/>
    <x v="365"/>
    <n v="1207.6300000000001"/>
    <s v="Medium"/>
    <n v="921.68"/>
    <n v="921.68"/>
    <n v="0.19600000000000001"/>
    <n v="17"/>
    <n v="180.64928"/>
    <n v="12597.52224"/>
    <n v="12416.872960000001"/>
    <n v="20529.710000000003"/>
    <n v="-7932.1877600000025"/>
    <n v="-8112.8370400000022"/>
    <n v="0.61362397423051751"/>
  </r>
  <r>
    <s v="ORD-2025-898022"/>
    <d v="2024-08-08T00:00:00"/>
    <x v="2"/>
    <x v="0"/>
    <x v="6"/>
    <d v="2025-04-16T00:00:00"/>
    <d v="2025-04-26T00:00:00"/>
    <d v="2025-04-26T00:00:00"/>
    <n v="10"/>
    <x v="3"/>
    <x v="9"/>
    <s v="Port Harcourt"/>
    <s v="Enterprise"/>
    <x v="4"/>
    <x v="9"/>
    <x v="0"/>
    <x v="366"/>
    <n v="1457.44"/>
    <s v="High"/>
    <n v="1996.81"/>
    <n v="1996.81"/>
    <n v="0.126"/>
    <n v="23"/>
    <n v="251.59806"/>
    <n v="40139.874619999995"/>
    <n v="39888.276559999998"/>
    <n v="33521.120000000003"/>
    <n v="6618.7546199999924"/>
    <n v="6367.1565599999958"/>
    <n v="1.1974502826874518"/>
  </r>
  <r>
    <s v="ORD-2025-440093"/>
    <d v="2024-08-10T00:00:00"/>
    <x v="2"/>
    <x v="0"/>
    <x v="3"/>
    <d v="2025-06-21T00:00:00"/>
    <d v="2025-06-27T00:00:00"/>
    <d v="2025-06-27T00:00:00"/>
    <n v="6"/>
    <x v="3"/>
    <x v="11"/>
    <s v="Durban"/>
    <s v="Enterprise"/>
    <x v="0"/>
    <x v="0"/>
    <x v="1"/>
    <x v="367"/>
    <n v="93.91"/>
    <s v="Low"/>
    <n v="99.04"/>
    <n v="99.04"/>
    <n v="5.7000000000000002E-2"/>
    <n v="6"/>
    <n v="5.6452800000000005"/>
    <n v="560.36831999999993"/>
    <n v="554.72303999999997"/>
    <n v="563.46"/>
    <n v="-3.0916800000001103"/>
    <n v="-8.7369600000000673"/>
    <n v="0.99451304440421662"/>
  </r>
  <r>
    <s v="ORD-2023-630430"/>
    <d v="2024-08-12T00:00:00"/>
    <x v="2"/>
    <x v="1"/>
    <x v="11"/>
    <d v="2023-05-27T00:00:00"/>
    <d v="2023-06-19T00:00:00"/>
    <d v="2023-06-19T00:00:00"/>
    <n v="23"/>
    <x v="1"/>
    <x v="1"/>
    <s v="Berlin"/>
    <s v="Education"/>
    <x v="1"/>
    <x v="6"/>
    <x v="5"/>
    <x v="368"/>
    <n v="1471.58"/>
    <s v="High"/>
    <n v="2576.65"/>
    <n v="2576.65"/>
    <n v="4.0000000000000001E-3"/>
    <n v="7"/>
    <n v="10.306600000000001"/>
    <n v="17964.4038"/>
    <n v="17954.0972"/>
    <n v="10301.06"/>
    <n v="7663.3438000000006"/>
    <n v="7653.0372000000007"/>
    <n v="1.7439374006170241"/>
  </r>
  <r>
    <s v="ORD-2025-908258"/>
    <d v="2024-08-12T00:00:00"/>
    <x v="2"/>
    <x v="1"/>
    <x v="4"/>
    <d v="2023-08-04T00:00:00"/>
    <d v="2023-08-24T00:00:00"/>
    <d v="2023-08-24T00:00:00"/>
    <n v="20"/>
    <x v="2"/>
    <x v="6"/>
    <s v="Brasília"/>
    <s v="Non-Profit"/>
    <x v="3"/>
    <x v="4"/>
    <x v="4"/>
    <x v="369"/>
    <n v="582.88"/>
    <s v="Medium"/>
    <n v="1044.1400000000001"/>
    <n v="1044.1400000000001"/>
    <n v="0.216"/>
    <n v="10"/>
    <n v="225.53424000000001"/>
    <n v="8186.057600000001"/>
    <n v="7960.523360000001"/>
    <n v="5828.8"/>
    <n v="2357.2576000000008"/>
    <n v="2131.7233600000009"/>
    <n v="1.4044155915454297"/>
  </r>
  <r>
    <s v="ORD-2023-521280"/>
    <d v="2024-08-14T00:00:00"/>
    <x v="2"/>
    <x v="1"/>
    <x v="11"/>
    <d v="2023-05-20T00:00:00"/>
    <d v="2023-06-07T00:00:00"/>
    <d v="2023-06-07T00:00:00"/>
    <n v="18"/>
    <x v="3"/>
    <x v="9"/>
    <s v="Port Harcourt"/>
    <s v="Enterprise"/>
    <x v="0"/>
    <x v="2"/>
    <x v="2"/>
    <x v="370"/>
    <n v="1120.06"/>
    <s v="High"/>
    <n v="2068.21"/>
    <n v="2068.21"/>
    <n v="7.8E-2"/>
    <n v="12"/>
    <n v="161.32038"/>
    <n v="22882.675440000003"/>
    <n v="22721.355060000002"/>
    <n v="13440.72"/>
    <n v="9441.9554400000034"/>
    <n v="9280.6350600000023"/>
    <n v="1.7024888130992986"/>
  </r>
  <r>
    <s v="ORD-2023-638181"/>
    <d v="2024-08-16T00:00:00"/>
    <x v="2"/>
    <x v="1"/>
    <x v="8"/>
    <d v="2023-10-11T00:00:00"/>
    <d v="2023-10-13T00:00:00"/>
    <d v="2023-10-13T00:00:00"/>
    <n v="2"/>
    <x v="2"/>
    <x v="6"/>
    <s v="Brasília"/>
    <s v="Consumer"/>
    <x v="0"/>
    <x v="3"/>
    <x v="5"/>
    <x v="371"/>
    <n v="715.94"/>
    <s v="Low"/>
    <n v="550.07000000000005"/>
    <n v="550.07000000000005"/>
    <n v="0.14000000000000001"/>
    <n v="16"/>
    <n v="77.009800000000013"/>
    <n v="7568.9632000000001"/>
    <n v="7491.9534000000003"/>
    <n v="11455.04"/>
    <n v="-3886.0768000000007"/>
    <n v="-3963.0866000000005"/>
    <n v="0.66075397379668688"/>
  </r>
  <r>
    <s v="ORD-2023-888140"/>
    <d v="2024-08-17T00:00:00"/>
    <x v="2"/>
    <x v="0"/>
    <x v="3"/>
    <d v="2025-06-27T00:00:00"/>
    <d v="2025-07-05T00:00:00"/>
    <d v="2025-07-05T00:00:00"/>
    <n v="8"/>
    <x v="1"/>
    <x v="1"/>
    <s v="Munich"/>
    <s v="Small Business"/>
    <x v="3"/>
    <x v="12"/>
    <x v="3"/>
    <x v="372"/>
    <n v="314.93"/>
    <s v="Medium"/>
    <n v="687.95"/>
    <n v="687.95"/>
    <n v="0.20499999999999999"/>
    <n v="8"/>
    <n v="141.02975000000001"/>
    <n v="4375.3620000000001"/>
    <n v="4234.3322500000004"/>
    <n v="2519.44"/>
    <n v="1855.922"/>
    <n v="1714.8922500000003"/>
    <n v="1.73664068205633"/>
  </r>
  <r>
    <s v="ORD-2025-184754"/>
    <d v="2024-08-18T00:00:00"/>
    <x v="2"/>
    <x v="1"/>
    <x v="6"/>
    <d v="2023-04-19T00:00:00"/>
    <d v="2023-05-07T00:00:00"/>
    <d v="2023-05-07T00:00:00"/>
    <n v="18"/>
    <x v="1"/>
    <x v="7"/>
    <s v="London"/>
    <s v="Non-Profit"/>
    <x v="3"/>
    <x v="14"/>
    <x v="4"/>
    <x v="373"/>
    <n v="516.96"/>
    <s v="Medium"/>
    <n v="745.38"/>
    <n v="745.38"/>
    <n v="0.19700000000000001"/>
    <n v="4"/>
    <n v="146.83986000000002"/>
    <n v="2394.1605599999998"/>
    <n v="2247.3206999999998"/>
    <n v="2067.84"/>
    <n v="326.32055999999966"/>
    <n v="179.48069999999962"/>
    <n v="1.1578074512534817"/>
  </r>
  <r>
    <s v="ORD-2023-474313"/>
    <d v="2024-08-19T00:00:00"/>
    <x v="2"/>
    <x v="2"/>
    <x v="6"/>
    <d v="2024-04-29T00:00:00"/>
    <d v="2024-05-19T00:00:00"/>
    <d v="2024-05-19T00:00:00"/>
    <n v="20"/>
    <x v="1"/>
    <x v="1"/>
    <s v="Frankfurt"/>
    <s v="Enterprise"/>
    <x v="4"/>
    <x v="4"/>
    <x v="0"/>
    <x v="374"/>
    <n v="668.97"/>
    <s v="Medium"/>
    <n v="1667.44"/>
    <n v="1667.44"/>
    <n v="3.4000000000000002E-2"/>
    <n v="15"/>
    <n v="56.692960000000006"/>
    <n v="24161.205600000001"/>
    <n v="24104.512640000001"/>
    <n v="10034.550000000001"/>
    <n v="14126.6556"/>
    <n v="14069.96264"/>
    <n v="2.4078016054531592"/>
  </r>
  <r>
    <s v="ORD-2023-256951"/>
    <d v="2024-08-19T00:00:00"/>
    <x v="2"/>
    <x v="1"/>
    <x v="8"/>
    <d v="2023-10-05T00:00:00"/>
    <d v="2023-10-06T00:00:00"/>
    <d v="2023-10-06T00:00:00"/>
    <n v="1"/>
    <x v="0"/>
    <x v="4"/>
    <s v="Bengaluru"/>
    <s v="Non-Profit"/>
    <x v="2"/>
    <x v="7"/>
    <x v="2"/>
    <x v="375"/>
    <n v="1470.26"/>
    <s v="High"/>
    <n v="2562.5500000000002"/>
    <n v="2562.5500000000002"/>
    <n v="0.17299999999999999"/>
    <n v="9"/>
    <n v="443.32114999999999"/>
    <n v="19073.059649999999"/>
    <n v="18629.738499999999"/>
    <n v="13232.34"/>
    <n v="5840.7196499999991"/>
    <n v="5397.3984999999993"/>
    <n v="1.441397337885816"/>
  </r>
  <r>
    <s v="ORD-2024-855600"/>
    <d v="2024-08-22T00:00:00"/>
    <x v="2"/>
    <x v="2"/>
    <x v="8"/>
    <d v="2024-10-27T00:00:00"/>
    <d v="2024-11-20T00:00:00"/>
    <d v="2024-11-20T00:00:00"/>
    <n v="24"/>
    <x v="0"/>
    <x v="0"/>
    <s v="Nagoya"/>
    <s v="Non-Profit"/>
    <x v="2"/>
    <x v="14"/>
    <x v="3"/>
    <x v="376"/>
    <n v="317.25"/>
    <s v="Medium"/>
    <n v="758.92"/>
    <n v="758.92"/>
    <n v="5.2999999999999999E-2"/>
    <n v="9"/>
    <n v="40.222759999999994"/>
    <n v="6468.2751599999992"/>
    <n v="6428.0523999999996"/>
    <n v="2855.25"/>
    <n v="3613.0251599999992"/>
    <n v="3572.8023999999996"/>
    <n v="2.2653971315996846"/>
  </r>
  <r>
    <s v="ORD-2024-350100"/>
    <d v="2024-08-23T00:00:00"/>
    <x v="2"/>
    <x v="2"/>
    <x v="5"/>
    <d v="2024-07-29T00:00:00"/>
    <d v="2024-07-31T00:00:00"/>
    <d v="2024-07-31T00:00:00"/>
    <n v="2"/>
    <x v="2"/>
    <x v="10"/>
    <s v="New York"/>
    <s v="Education"/>
    <x v="4"/>
    <x v="7"/>
    <x v="6"/>
    <x v="377"/>
    <n v="798.97"/>
    <s v="Medium"/>
    <n v="1814.06"/>
    <n v="1814.06"/>
    <n v="0.122"/>
    <n v="16"/>
    <n v="221.31531999999999"/>
    <n v="25483.91488"/>
    <n v="25262.599559999999"/>
    <n v="12783.52"/>
    <n v="12700.39488"/>
    <n v="12479.079559999998"/>
    <n v="1.9934974780029286"/>
  </r>
  <r>
    <s v="ORD-2024-220234"/>
    <d v="2024-08-27T00:00:00"/>
    <x v="2"/>
    <x v="1"/>
    <x v="9"/>
    <d v="2023-03-04T00:00:00"/>
    <d v="2023-03-24T00:00:00"/>
    <d v="2023-03-24T00:00:00"/>
    <n v="20"/>
    <x v="2"/>
    <x v="2"/>
    <s v="Montreal"/>
    <s v="Consumer"/>
    <x v="0"/>
    <x v="7"/>
    <x v="0"/>
    <x v="378"/>
    <n v="481.71"/>
    <s v="Medium"/>
    <n v="912.45"/>
    <n v="912.45"/>
    <n v="0.20300000000000001"/>
    <n v="24"/>
    <n v="185.22735000000003"/>
    <n v="17453.3436"/>
    <n v="17268.116249999999"/>
    <n v="11561.039999999999"/>
    <n v="5892.3036000000011"/>
    <n v="5707.0762500000001"/>
    <n v="1.5096689917170083"/>
  </r>
  <r>
    <s v="ORD-2024-301260"/>
    <d v="2024-08-27T00:00:00"/>
    <x v="2"/>
    <x v="2"/>
    <x v="9"/>
    <d v="2024-03-15T00:00:00"/>
    <d v="2024-04-09T00:00:00"/>
    <d v="2024-04-09T00:00:00"/>
    <n v="25"/>
    <x v="2"/>
    <x v="2"/>
    <s v="Vancouver"/>
    <s v="Consumer"/>
    <x v="2"/>
    <x v="9"/>
    <x v="3"/>
    <x v="379"/>
    <n v="648.64"/>
    <s v="Medium"/>
    <n v="815.19"/>
    <n v="815.19"/>
    <n v="0.22500000000000001"/>
    <n v="28"/>
    <n v="183.41775000000001"/>
    <n v="17689.623"/>
    <n v="17506.205249999999"/>
    <n v="18161.919999999998"/>
    <n v="-472.29699999999866"/>
    <n v="-655.71474999999919"/>
    <n v="0.97399520535273809"/>
  </r>
  <r>
    <s v="ORD-2023-276806"/>
    <d v="2024-08-28T00:00:00"/>
    <x v="2"/>
    <x v="2"/>
    <x v="7"/>
    <d v="2024-09-02T00:00:00"/>
    <d v="2024-09-08T00:00:00"/>
    <d v="2024-09-08T00:00:00"/>
    <n v="6"/>
    <x v="2"/>
    <x v="10"/>
    <s v="Austin"/>
    <s v="Consumer"/>
    <x v="3"/>
    <x v="14"/>
    <x v="2"/>
    <x v="380"/>
    <n v="462.94"/>
    <s v="Medium"/>
    <n v="1015.7"/>
    <n v="1015.7"/>
    <n v="0.14299999999999999"/>
    <n v="14"/>
    <n v="145.24510000000001"/>
    <n v="12186.368600000002"/>
    <n v="12041.123500000002"/>
    <n v="6481.16"/>
    <n v="5705.2086000000018"/>
    <n v="5559.9635000000017"/>
    <n v="1.8802758456819462"/>
  </r>
  <r>
    <s v="ORD-2024-664046"/>
    <d v="2024-08-30T00:00:00"/>
    <x v="2"/>
    <x v="0"/>
    <x v="7"/>
    <d v="2025-09-12T00:00:00"/>
    <d v="2025-09-30T00:00:00"/>
    <d v="2025-09-30T00:00:00"/>
    <n v="18"/>
    <x v="0"/>
    <x v="0"/>
    <s v="Nagoya"/>
    <s v="Non-Profit"/>
    <x v="4"/>
    <x v="9"/>
    <x v="3"/>
    <x v="381"/>
    <n v="1212.99"/>
    <s v="Medium"/>
    <n v="1653.64"/>
    <n v="1653.64"/>
    <n v="0.107"/>
    <n v="8"/>
    <n v="176.93948"/>
    <n v="11813.604160000001"/>
    <n v="11636.664680000002"/>
    <n v="9703.92"/>
    <n v="2109.6841600000007"/>
    <n v="1932.7446800000016"/>
    <n v="1.2174053537127265"/>
  </r>
  <r>
    <s v="ORD-2025-248586"/>
    <d v="2024-08-31T00:00:00"/>
    <x v="2"/>
    <x v="2"/>
    <x v="1"/>
    <d v="2024-11-08T00:00:00"/>
    <d v="2024-11-08T00:00:00"/>
    <d v="2024-11-08T00:00:00"/>
    <n v="0"/>
    <x v="3"/>
    <x v="5"/>
    <s v="Nakuru"/>
    <s v="Enterprise"/>
    <x v="4"/>
    <x v="13"/>
    <x v="4"/>
    <x v="382"/>
    <n v="803.28"/>
    <s v="Medium"/>
    <n v="1009"/>
    <n v="1009"/>
    <n v="0.11"/>
    <n v="4"/>
    <n v="110.99"/>
    <n v="3592.04"/>
    <n v="3481.05"/>
    <n v="3213.12"/>
    <n v="378.92000000000007"/>
    <n v="267.93000000000029"/>
    <n v="1.117928991136341"/>
  </r>
  <r>
    <s v="ORD-2024-320972"/>
    <d v="2024-09-02T00:00:00"/>
    <x v="2"/>
    <x v="0"/>
    <x v="6"/>
    <d v="2025-04-22T00:00:00"/>
    <d v="2025-05-02T00:00:00"/>
    <d v="2025-05-02T00:00:00"/>
    <n v="10"/>
    <x v="1"/>
    <x v="1"/>
    <s v="Berlin"/>
    <s v="Corporate"/>
    <x v="4"/>
    <x v="4"/>
    <x v="3"/>
    <x v="383"/>
    <n v="20.149999999999999"/>
    <s v="Low"/>
    <n v="39.74"/>
    <n v="39.74"/>
    <n v="0.151"/>
    <n v="18"/>
    <n v="6.0007400000000004"/>
    <n v="607.30668000000003"/>
    <n v="601.30594000000008"/>
    <n v="362.7"/>
    <n v="244.60668000000004"/>
    <n v="238.60594000000009"/>
    <n v="1.6744049627791564"/>
  </r>
  <r>
    <s v="ORD-2024-544865"/>
    <d v="2024-09-03T00:00:00"/>
    <x v="2"/>
    <x v="2"/>
    <x v="9"/>
    <d v="2024-03-06T00:00:00"/>
    <d v="2024-03-26T00:00:00"/>
    <d v="2024-03-26T00:00:00"/>
    <n v="20"/>
    <x v="3"/>
    <x v="9"/>
    <s v="Port Harcourt"/>
    <s v="Consumer"/>
    <x v="4"/>
    <x v="7"/>
    <x v="1"/>
    <x v="384"/>
    <n v="65.64"/>
    <s v="Low"/>
    <n v="151.88"/>
    <n v="151.88"/>
    <n v="0.16700000000000001"/>
    <n v="23"/>
    <n v="25.363960000000002"/>
    <n v="2909.8689199999999"/>
    <n v="2884.5049599999998"/>
    <n v="1509.72"/>
    <n v="1400.1489199999999"/>
    <n v="1374.7849599999997"/>
    <n v="1.9274229128580134"/>
  </r>
  <r>
    <s v="ORD-2025-946490"/>
    <d v="2024-09-03T00:00:00"/>
    <x v="2"/>
    <x v="2"/>
    <x v="0"/>
    <d v="2024-02-16T00:00:00"/>
    <d v="2024-03-04T00:00:00"/>
    <d v="2024-03-04T00:00:00"/>
    <n v="17"/>
    <x v="2"/>
    <x v="2"/>
    <s v="Montreal"/>
    <s v="Non-Profit"/>
    <x v="1"/>
    <x v="10"/>
    <x v="0"/>
    <x v="385"/>
    <n v="1350.98"/>
    <s v="High"/>
    <n v="2210.4"/>
    <n v="2210.4"/>
    <n v="0.26300000000000001"/>
    <n v="6"/>
    <n v="581.3352000000001"/>
    <n v="9774.3888000000006"/>
    <n v="9193.0536000000011"/>
    <n v="8105.88"/>
    <n v="1668.5088000000005"/>
    <n v="1087.173600000001"/>
    <n v="1.2058393166442138"/>
  </r>
  <r>
    <s v="ORD-2024-853298"/>
    <d v="2024-09-05T00:00:00"/>
    <x v="2"/>
    <x v="1"/>
    <x v="6"/>
    <d v="2023-04-19T00:00:00"/>
    <d v="2023-04-28T00:00:00"/>
    <d v="2023-04-28T00:00:00"/>
    <n v="9"/>
    <x v="2"/>
    <x v="6"/>
    <s v="Rio de Janeiro"/>
    <s v="Corporate"/>
    <x v="0"/>
    <x v="13"/>
    <x v="1"/>
    <x v="386"/>
    <n v="1013.54"/>
    <s v="Medium"/>
    <n v="927.93"/>
    <n v="927.93"/>
    <n v="0.17499999999999999"/>
    <n v="16"/>
    <n v="162.38774999999998"/>
    <n v="12248.675999999999"/>
    <n v="12086.28825"/>
    <n v="16216.64"/>
    <n v="-3967.9639999999999"/>
    <n v="-4130.3517499999998"/>
    <n v="0.75531528109398738"/>
  </r>
  <r>
    <s v="ORD-2024-866535"/>
    <d v="2024-09-06T00:00:00"/>
    <x v="2"/>
    <x v="0"/>
    <x v="4"/>
    <d v="2025-08-02T00:00:00"/>
    <d v="2025-08-08T00:00:00"/>
    <d v="2025-08-08T00:00:00"/>
    <n v="6"/>
    <x v="0"/>
    <x v="0"/>
    <s v="Osaka"/>
    <s v="Consumer"/>
    <x v="3"/>
    <x v="0"/>
    <x v="0"/>
    <x v="387"/>
    <n v="1225.94"/>
    <s v="Medium"/>
    <n v="1793.08"/>
    <n v="1793.08"/>
    <n v="0.13600000000000001"/>
    <n v="22"/>
    <n v="243.85888"/>
    <n v="34082.864639999993"/>
    <n v="33839.005759999993"/>
    <n v="26970.68"/>
    <n v="7112.1846399999922"/>
    <n v="6868.3257599999924"/>
    <n v="1.2637006052498487"/>
  </r>
  <r>
    <s v="ORD-2023-747341"/>
    <d v="2024-09-06T00:00:00"/>
    <x v="2"/>
    <x v="2"/>
    <x v="2"/>
    <d v="2024-12-04T00:00:00"/>
    <d v="2024-12-12T00:00:00"/>
    <d v="2024-12-12T00:00:00"/>
    <n v="8"/>
    <x v="1"/>
    <x v="1"/>
    <s v="Frankfurt"/>
    <s v="Enterprise"/>
    <x v="4"/>
    <x v="11"/>
    <x v="6"/>
    <x v="388"/>
    <n v="72.06"/>
    <s v="Low"/>
    <n v="122.74"/>
    <n v="122.74"/>
    <n v="0.23799999999999999"/>
    <n v="8"/>
    <n v="29.212119999999999"/>
    <n v="748.22303999999997"/>
    <n v="719.01091999999994"/>
    <n v="576.48"/>
    <n v="171.74303999999995"/>
    <n v="142.53091999999992"/>
    <n v="1.2979167360532888"/>
  </r>
  <r>
    <s v="ORD-2025-509940"/>
    <d v="2024-09-07T00:00:00"/>
    <x v="2"/>
    <x v="1"/>
    <x v="7"/>
    <d v="2023-09-19T00:00:00"/>
    <d v="2023-10-08T00:00:00"/>
    <d v="2023-10-08T00:00:00"/>
    <n v="19"/>
    <x v="0"/>
    <x v="4"/>
    <s v="Bengaluru"/>
    <s v="Education"/>
    <x v="3"/>
    <x v="5"/>
    <x v="6"/>
    <x v="389"/>
    <n v="385.32"/>
    <s v="Medium"/>
    <n v="606.76"/>
    <n v="606.76"/>
    <n v="8.5999999999999993E-2"/>
    <n v="8"/>
    <n v="52.181359999999998"/>
    <n v="4436.6291200000005"/>
    <n v="4384.4477600000009"/>
    <n v="3082.56"/>
    <n v="1354.0691200000006"/>
    <n v="1301.887760000001"/>
    <n v="1.4392677255268351"/>
  </r>
  <r>
    <s v="ORD-2025-646342"/>
    <d v="2024-09-07T00:00:00"/>
    <x v="2"/>
    <x v="0"/>
    <x v="11"/>
    <d v="2025-05-16T00:00:00"/>
    <d v="2025-05-27T00:00:00"/>
    <d v="2025-05-27T00:00:00"/>
    <n v="11"/>
    <x v="0"/>
    <x v="3"/>
    <s v="Beijing"/>
    <s v="Enterprise"/>
    <x v="2"/>
    <x v="9"/>
    <x v="1"/>
    <x v="390"/>
    <n v="918.12"/>
    <s v="Medium"/>
    <n v="1337.69"/>
    <n v="1337.69"/>
    <n v="9.5000000000000001E-2"/>
    <n v="8"/>
    <n v="127.08055"/>
    <n v="9684.8756000000012"/>
    <n v="9557.7950500000006"/>
    <n v="7344.96"/>
    <n v="2339.9156000000012"/>
    <n v="2212.8350500000006"/>
    <n v="1.31857431490437"/>
  </r>
  <r>
    <s v="ORD-2023-964434"/>
    <d v="2024-09-09T00:00:00"/>
    <x v="2"/>
    <x v="0"/>
    <x v="5"/>
    <d v="2025-07-17T00:00:00"/>
    <d v="2025-07-23T00:00:00"/>
    <d v="2025-07-23T00:00:00"/>
    <n v="6"/>
    <x v="2"/>
    <x v="2"/>
    <s v="Vancouver"/>
    <s v="Consumer"/>
    <x v="2"/>
    <x v="14"/>
    <x v="2"/>
    <x v="391"/>
    <n v="1364.89"/>
    <s v="High"/>
    <n v="2757.54"/>
    <n v="2757.54"/>
    <n v="0.17199999999999999"/>
    <n v="61"/>
    <n v="474.29687999999993"/>
    <n v="139277.83032000001"/>
    <n v="138803.53344"/>
    <n v="83258.290000000008"/>
    <n v="56019.54032"/>
    <n v="55545.243439999991"/>
    <n v="1.672840390068064"/>
  </r>
  <r>
    <s v="ORD-2024-897622"/>
    <d v="2024-09-09T00:00:00"/>
    <x v="2"/>
    <x v="1"/>
    <x v="1"/>
    <d v="2023-11-28T00:00:00"/>
    <d v="2023-12-07T00:00:00"/>
    <d v="2023-12-07T00:00:00"/>
    <n v="9"/>
    <x v="0"/>
    <x v="4"/>
    <s v="Delhi"/>
    <s v="Enterprise"/>
    <x v="4"/>
    <x v="1"/>
    <x v="1"/>
    <x v="392"/>
    <n v="699.33"/>
    <s v="Medium"/>
    <n v="873.75"/>
    <n v="873.75"/>
    <n v="0.23499999999999999"/>
    <n v="10"/>
    <n v="205.33124999999998"/>
    <n v="6684.1875"/>
    <n v="6478.8562499999998"/>
    <n v="6993.3"/>
    <n v="-309.11250000000018"/>
    <n v="-514.44375000000036"/>
    <n v="0.95579876453176604"/>
  </r>
  <r>
    <s v="ORD-2023-517216"/>
    <d v="2024-09-09T00:00:00"/>
    <x v="2"/>
    <x v="2"/>
    <x v="9"/>
    <d v="2024-03-30T00:00:00"/>
    <d v="2024-04-24T00:00:00"/>
    <d v="2024-04-24T00:00:00"/>
    <n v="25"/>
    <x v="2"/>
    <x v="10"/>
    <s v="Austin"/>
    <s v="Non-Profit"/>
    <x v="2"/>
    <x v="12"/>
    <x v="0"/>
    <x v="393"/>
    <n v="160.82"/>
    <s v="Low"/>
    <n v="258.52"/>
    <n v="258.52"/>
    <n v="0.13"/>
    <n v="17"/>
    <n v="33.607599999999998"/>
    <n v="3823.5108"/>
    <n v="3789.9032000000002"/>
    <n v="2733.94"/>
    <n v="1089.5708"/>
    <n v="1055.9632000000001"/>
    <n v="1.3985350080835717"/>
  </r>
  <r>
    <s v="ORD-2025-132174"/>
    <d v="2024-09-10T00:00:00"/>
    <x v="2"/>
    <x v="2"/>
    <x v="7"/>
    <d v="2024-09-13T00:00:00"/>
    <d v="2024-10-02T00:00:00"/>
    <d v="2024-10-02T00:00:00"/>
    <n v="19"/>
    <x v="3"/>
    <x v="5"/>
    <s v="Mombasa"/>
    <s v="Small Business"/>
    <x v="1"/>
    <x v="13"/>
    <x v="1"/>
    <x v="394"/>
    <n v="1338.99"/>
    <s v="Medium"/>
    <n v="1765.76"/>
    <n v="1765.76"/>
    <n v="0.126"/>
    <n v="24"/>
    <n v="222.48576"/>
    <n v="37038.581760000001"/>
    <n v="36816.095999999998"/>
    <n v="32135.760000000002"/>
    <n v="4902.8217599999989"/>
    <n v="4680.3359999999957"/>
    <n v="1.152565919088268"/>
  </r>
  <r>
    <s v="ORD-2024-805860"/>
    <d v="2024-09-13T00:00:00"/>
    <x v="2"/>
    <x v="2"/>
    <x v="10"/>
    <d v="2024-01-11T00:00:00"/>
    <d v="2024-02-02T00:00:00"/>
    <d v="2024-02-02T00:00:00"/>
    <n v="22"/>
    <x v="0"/>
    <x v="0"/>
    <s v="Nagoya"/>
    <s v="Small Business"/>
    <x v="2"/>
    <x v="10"/>
    <x v="6"/>
    <x v="395"/>
    <n v="1237.68"/>
    <s v="Medium"/>
    <n v="1432.8"/>
    <n v="1432.8"/>
    <n v="6.8000000000000005E-2"/>
    <n v="13"/>
    <n v="97.430400000000006"/>
    <n v="17359.804799999998"/>
    <n v="17262.374399999997"/>
    <n v="16089.84"/>
    <n v="1269.9647999999979"/>
    <n v="1172.5343999999968"/>
    <n v="1.0789296102385106"/>
  </r>
  <r>
    <s v="ORD-2024-281211"/>
    <d v="2024-09-14T00:00:00"/>
    <x v="2"/>
    <x v="1"/>
    <x v="9"/>
    <d v="2023-03-14T00:00:00"/>
    <d v="2023-03-30T00:00:00"/>
    <d v="2023-03-30T00:00:00"/>
    <n v="16"/>
    <x v="3"/>
    <x v="11"/>
    <s v="Cape Town"/>
    <s v="Consumer"/>
    <x v="0"/>
    <x v="8"/>
    <x v="2"/>
    <x v="396"/>
    <n v="1309.77"/>
    <s v="Medium"/>
    <n v="1589.07"/>
    <n v="1589.07"/>
    <n v="0.10199999999999999"/>
    <n v="10"/>
    <n v="162.08514"/>
    <n v="14269.848599999999"/>
    <n v="14107.76346"/>
    <n v="13097.7"/>
    <n v="1172.1485999999986"/>
    <n v="1010.0634599999994"/>
    <n v="1.0894927048260381"/>
  </r>
  <r>
    <s v="ORD-2023-946143"/>
    <d v="2024-09-19T00:00:00"/>
    <x v="2"/>
    <x v="2"/>
    <x v="7"/>
    <d v="2024-09-05T00:00:00"/>
    <d v="2024-09-25T00:00:00"/>
    <d v="2024-09-25T00:00:00"/>
    <n v="20"/>
    <x v="0"/>
    <x v="0"/>
    <s v="Osaka"/>
    <s v="Enterprise"/>
    <x v="0"/>
    <x v="10"/>
    <x v="3"/>
    <x v="397"/>
    <n v="195.54"/>
    <s v="Low"/>
    <n v="405.97"/>
    <n v="405.97"/>
    <n v="0.187"/>
    <n v="16"/>
    <n v="75.916390000000007"/>
    <n v="5280.8577599999999"/>
    <n v="5204.9413699999996"/>
    <n v="3128.64"/>
    <n v="2152.21776"/>
    <n v="2076.3013699999997"/>
    <n v="1.6879084074869593"/>
  </r>
  <r>
    <s v="ORD-2024-569164"/>
    <d v="2024-09-22T00:00:00"/>
    <x v="2"/>
    <x v="2"/>
    <x v="7"/>
    <d v="2024-09-03T00:00:00"/>
    <d v="2024-09-08T00:00:00"/>
    <d v="2024-09-08T00:00:00"/>
    <n v="5"/>
    <x v="3"/>
    <x v="9"/>
    <s v="Lagos"/>
    <s v="Small Business"/>
    <x v="3"/>
    <x v="8"/>
    <x v="6"/>
    <x v="398"/>
    <n v="197.63"/>
    <s v="Low"/>
    <n v="325.79000000000002"/>
    <n v="325.79000000000002"/>
    <n v="0.11600000000000001"/>
    <n v="10"/>
    <n v="37.791640000000001"/>
    <n v="2879.9836"/>
    <n v="2842.1919600000001"/>
    <n v="1976.3"/>
    <n v="903.68360000000007"/>
    <n v="865.89196000000015"/>
    <n v="1.4572603349693873"/>
  </r>
  <r>
    <s v="ORD-2024-423853"/>
    <d v="2024-09-23T00:00:00"/>
    <x v="2"/>
    <x v="0"/>
    <x v="6"/>
    <d v="2025-04-24T00:00:00"/>
    <d v="2025-05-06T00:00:00"/>
    <d v="2025-05-06T00:00:00"/>
    <n v="12"/>
    <x v="2"/>
    <x v="6"/>
    <s v="Brasília"/>
    <s v="Consumer"/>
    <x v="2"/>
    <x v="4"/>
    <x v="1"/>
    <x v="399"/>
    <n v="394.13"/>
    <s v="Medium"/>
    <n v="932.29"/>
    <n v="932.29"/>
    <n v="0.109"/>
    <n v="7"/>
    <n v="101.61960999999999"/>
    <n v="5814.6927299999998"/>
    <n v="5713.07312"/>
    <n v="2758.91"/>
    <n v="3055.7827299999999"/>
    <n v="2954.1631200000002"/>
    <n v="2.1076050795422829"/>
  </r>
  <r>
    <s v="ORD-2025-757957"/>
    <d v="2024-09-25T00:00:00"/>
    <x v="2"/>
    <x v="1"/>
    <x v="11"/>
    <d v="2023-05-23T00:00:00"/>
    <d v="2023-06-10T00:00:00"/>
    <d v="2023-06-10T00:00:00"/>
    <n v="18"/>
    <x v="0"/>
    <x v="3"/>
    <s v="Shanghai"/>
    <s v="Corporate"/>
    <x v="0"/>
    <x v="2"/>
    <x v="2"/>
    <x v="400"/>
    <n v="54.62"/>
    <s v="Low"/>
    <n v="48.94"/>
    <n v="48.94"/>
    <n v="0.14799999999999999"/>
    <n v="16"/>
    <n v="7.2431199999999993"/>
    <n v="667.15008"/>
    <n v="659.90696000000003"/>
    <n v="873.92"/>
    <n v="-206.76991999999996"/>
    <n v="-214.01303999999993"/>
    <n v="0.76339948736726482"/>
  </r>
  <r>
    <s v="ORD-2023-603650"/>
    <d v="2024-10-02T00:00:00"/>
    <x v="3"/>
    <x v="1"/>
    <x v="9"/>
    <d v="2023-03-07T00:00:00"/>
    <d v="2023-04-01T00:00:00"/>
    <d v="2023-04-01T00:00:00"/>
    <n v="25"/>
    <x v="3"/>
    <x v="5"/>
    <s v="Nairobi"/>
    <s v="Consumer"/>
    <x v="4"/>
    <x v="10"/>
    <x v="6"/>
    <x v="401"/>
    <n v="1024.0999999999999"/>
    <s v="Medium"/>
    <n v="918.19"/>
    <n v="918.19"/>
    <n v="0.189"/>
    <n v="10"/>
    <n v="173.53791000000001"/>
    <n v="7446.5209000000004"/>
    <n v="7272.9829900000004"/>
    <n v="10241"/>
    <n v="-2794.4790999999996"/>
    <n v="-2968.0170099999996"/>
    <n v="0.72712829801777179"/>
  </r>
  <r>
    <s v="ORD-2023-949710"/>
    <d v="2024-10-03T00:00:00"/>
    <x v="3"/>
    <x v="0"/>
    <x v="4"/>
    <d v="2025-08-10T00:00:00"/>
    <d v="2025-08-30T00:00:00"/>
    <d v="2025-08-30T00:00:00"/>
    <n v="20"/>
    <x v="2"/>
    <x v="10"/>
    <s v="San Francisco"/>
    <s v="Corporate"/>
    <x v="4"/>
    <x v="8"/>
    <x v="6"/>
    <x v="402"/>
    <n v="933.29"/>
    <s v="Medium"/>
    <n v="1456.81"/>
    <n v="1456.81"/>
    <n v="0.123"/>
    <n v="13"/>
    <n v="179.18762999999998"/>
    <n v="16609.090809999998"/>
    <n v="16429.903179999998"/>
    <n v="12132.77"/>
    <n v="4476.3208099999974"/>
    <n v="4297.1331799999971"/>
    <n v="1.3689446688596254"/>
  </r>
  <r>
    <s v="ORD-2025-289139"/>
    <d v="2024-10-04T00:00:00"/>
    <x v="3"/>
    <x v="1"/>
    <x v="8"/>
    <d v="2023-10-04T00:00:00"/>
    <d v="2023-10-29T00:00:00"/>
    <d v="2023-10-29T00:00:00"/>
    <n v="25"/>
    <x v="2"/>
    <x v="10"/>
    <s v="San Francisco"/>
    <s v="Small Business"/>
    <x v="0"/>
    <x v="6"/>
    <x v="5"/>
    <x v="403"/>
    <n v="1239.8399999999999"/>
    <s v="Medium"/>
    <n v="1482.75"/>
    <n v="1482.75"/>
    <n v="6.7000000000000004E-2"/>
    <n v="4"/>
    <n v="99.344250000000002"/>
    <n v="5533.6230000000005"/>
    <n v="5434.2787500000004"/>
    <n v="4959.3599999999997"/>
    <n v="574.26300000000083"/>
    <n v="474.91875000000073"/>
    <n v="1.1157937717770037"/>
  </r>
  <r>
    <s v="ORD-2023-302041"/>
    <d v="2024-10-08T00:00:00"/>
    <x v="3"/>
    <x v="1"/>
    <x v="5"/>
    <d v="2023-07-30T00:00:00"/>
    <d v="2023-08-07T00:00:00"/>
    <d v="2023-08-07T00:00:00"/>
    <n v="8"/>
    <x v="0"/>
    <x v="0"/>
    <s v="Nagoya"/>
    <s v="Education"/>
    <x v="4"/>
    <x v="3"/>
    <x v="4"/>
    <x v="404"/>
    <n v="1352.44"/>
    <s v="High"/>
    <n v="2698.01"/>
    <n v="2698.01"/>
    <n v="0.13100000000000001"/>
    <n v="13"/>
    <n v="353.43931000000003"/>
    <n v="30479.418970000002"/>
    <n v="30125.979660000001"/>
    <n v="17581.72"/>
    <n v="12897.698970000001"/>
    <n v="12544.25966"/>
    <n v="1.7335857339327438"/>
  </r>
  <r>
    <s v="ORD-2023-290237"/>
    <d v="2024-10-09T00:00:00"/>
    <x v="3"/>
    <x v="1"/>
    <x v="2"/>
    <d v="2023-12-19T00:00:00"/>
    <d v="2023-12-20T00:00:00"/>
    <d v="2023-12-20T00:00:00"/>
    <n v="1"/>
    <x v="2"/>
    <x v="6"/>
    <s v="Rio de Janeiro"/>
    <s v="Consumer"/>
    <x v="0"/>
    <x v="5"/>
    <x v="1"/>
    <x v="405"/>
    <n v="1080.43"/>
    <s v="High"/>
    <n v="2529.15"/>
    <n v="2529.15"/>
    <n v="0.14699999999999999"/>
    <n v="10"/>
    <n v="371.78505000000001"/>
    <n v="21573.6495"/>
    <n v="21201.864450000001"/>
    <n v="10804.300000000001"/>
    <n v="10769.349499999998"/>
    <n v="10397.56445"/>
    <n v="1.9967651305498735"/>
  </r>
  <r>
    <s v="ORD-2023-195665"/>
    <d v="2024-10-10T00:00:00"/>
    <x v="3"/>
    <x v="1"/>
    <x v="6"/>
    <d v="2023-04-19T00:00:00"/>
    <d v="2023-05-07T00:00:00"/>
    <d v="2023-05-07T00:00:00"/>
    <n v="18"/>
    <x v="1"/>
    <x v="7"/>
    <s v="Birmingham"/>
    <s v="Enterprise"/>
    <x v="1"/>
    <x v="0"/>
    <x v="0"/>
    <x v="406"/>
    <n v="1089.1500000000001"/>
    <s v="Medium"/>
    <n v="1088.2"/>
    <n v="1088.2"/>
    <n v="5.0999999999999997E-2"/>
    <n v="15"/>
    <n v="55.498199999999997"/>
    <n v="15490.527"/>
    <n v="15435.0288"/>
    <n v="16337.250000000002"/>
    <n v="-846.72300000000178"/>
    <n v="-902.22120000000177"/>
    <n v="0.94817224441077896"/>
  </r>
  <r>
    <s v="ORD-2023-501220"/>
    <d v="2024-10-11T00:00:00"/>
    <x v="3"/>
    <x v="0"/>
    <x v="5"/>
    <d v="2025-07-16T00:00:00"/>
    <d v="2025-07-17T00:00:00"/>
    <d v="2025-07-17T00:00:00"/>
    <n v="1"/>
    <x v="3"/>
    <x v="11"/>
    <s v="Durban"/>
    <s v="Small Business"/>
    <x v="0"/>
    <x v="11"/>
    <x v="4"/>
    <x v="407"/>
    <n v="1198.9000000000001"/>
    <s v="High"/>
    <n v="2941.2"/>
    <n v="2941.2"/>
    <n v="5.0999999999999997E-2"/>
    <n v="24"/>
    <n v="150.00119999999998"/>
    <n v="66988.771199999988"/>
    <n v="66838.76999999999"/>
    <n v="28773.600000000002"/>
    <n v="38215.171199999982"/>
    <n v="38065.169999999984"/>
    <n v="2.3281331220285257"/>
  </r>
  <r>
    <s v="ORD-2025-678688"/>
    <d v="2024-10-13T00:00:00"/>
    <x v="3"/>
    <x v="1"/>
    <x v="4"/>
    <d v="2023-08-26T00:00:00"/>
    <d v="2023-09-10T00:00:00"/>
    <d v="2023-09-10T00:00:00"/>
    <n v="15"/>
    <x v="3"/>
    <x v="11"/>
    <s v="Cape Town"/>
    <s v="Non-Profit"/>
    <x v="3"/>
    <x v="0"/>
    <x v="2"/>
    <x v="408"/>
    <n v="241.14"/>
    <s v="Low"/>
    <n v="496.52"/>
    <n v="496.52"/>
    <n v="9.2999999999999999E-2"/>
    <n v="10"/>
    <n v="46.176359999999995"/>
    <n v="4503.4363999999996"/>
    <n v="4457.2600399999992"/>
    <n v="2411.3999999999996"/>
    <n v="2092.0364"/>
    <n v="2045.8600399999996"/>
    <n v="1.8675609189682343"/>
  </r>
  <r>
    <s v="ORD-2023-713375"/>
    <d v="2024-10-14T00:00:00"/>
    <x v="3"/>
    <x v="1"/>
    <x v="7"/>
    <d v="2023-09-25T00:00:00"/>
    <d v="2023-10-02T00:00:00"/>
    <d v="2023-10-02T00:00:00"/>
    <n v="7"/>
    <x v="2"/>
    <x v="10"/>
    <s v="New York"/>
    <s v="Education"/>
    <x v="4"/>
    <x v="7"/>
    <x v="5"/>
    <x v="409"/>
    <n v="145.58000000000001"/>
    <s v="Low"/>
    <n v="228.15"/>
    <n v="228.15"/>
    <n v="0.20399999999999999"/>
    <n v="5"/>
    <n v="46.5426"/>
    <n v="908.03700000000003"/>
    <n v="861.49440000000004"/>
    <n v="727.90000000000009"/>
    <n v="180.13699999999994"/>
    <n v="133.59439999999995"/>
    <n v="1.2474749278747079"/>
  </r>
  <r>
    <s v="ORD-2023-271918"/>
    <d v="2024-10-16T00:00:00"/>
    <x v="3"/>
    <x v="0"/>
    <x v="4"/>
    <d v="2025-08-25T00:00:00"/>
    <d v="2025-09-24T00:00:00"/>
    <d v="2025-09-24T00:00:00"/>
    <n v="30"/>
    <x v="3"/>
    <x v="5"/>
    <s v="Nairobi"/>
    <s v="Consumer"/>
    <x v="3"/>
    <x v="11"/>
    <x v="2"/>
    <x v="410"/>
    <n v="589.14"/>
    <s v="Medium"/>
    <n v="1300.58"/>
    <n v="1300.58"/>
    <n v="5.5E-2"/>
    <n v="11"/>
    <n v="71.531899999999993"/>
    <n v="13519.529099999998"/>
    <n v="13447.997199999998"/>
    <n v="6480.54"/>
    <n v="7038.989099999998"/>
    <n v="6967.457199999998"/>
    <n v="2.0861732355637028"/>
  </r>
  <r>
    <s v="ORD-2025-762212"/>
    <d v="2024-10-17T00:00:00"/>
    <x v="3"/>
    <x v="2"/>
    <x v="7"/>
    <d v="2024-09-19T00:00:00"/>
    <d v="2024-10-14T00:00:00"/>
    <d v="2024-10-14T00:00:00"/>
    <n v="25"/>
    <x v="2"/>
    <x v="6"/>
    <s v="Rio de Janeiro"/>
    <s v="Small Business"/>
    <x v="1"/>
    <x v="8"/>
    <x v="6"/>
    <x v="411"/>
    <n v="386.96"/>
    <s v="Medium"/>
    <n v="937.46"/>
    <n v="937.46"/>
    <n v="0.26600000000000001"/>
    <n v="41"/>
    <n v="249.36436000000003"/>
    <n v="28211.92124"/>
    <n v="27962.55688"/>
    <n v="15865.359999999999"/>
    <n v="12346.561240000001"/>
    <n v="12097.196880000001"/>
    <n v="1.7782087037419889"/>
  </r>
  <r>
    <s v="ORD-2024-777623"/>
    <d v="2024-10-19T00:00:00"/>
    <x v="3"/>
    <x v="2"/>
    <x v="8"/>
    <d v="2024-10-11T00:00:00"/>
    <d v="2024-11-09T00:00:00"/>
    <d v="2024-11-09T00:00:00"/>
    <n v="29"/>
    <x v="0"/>
    <x v="3"/>
    <s v="Shanghai"/>
    <s v="Non-Profit"/>
    <x v="2"/>
    <x v="9"/>
    <x v="6"/>
    <x v="412"/>
    <n v="391.64"/>
    <s v="Low"/>
    <n v="504.76"/>
    <n v="504.76"/>
    <n v="4.0000000000000001E-3"/>
    <n v="13"/>
    <n v="2.0190399999999999"/>
    <n v="6535.6324800000002"/>
    <n v="6533.6134400000001"/>
    <n v="5091.32"/>
    <n v="1444.3124800000005"/>
    <n v="1442.2934400000004"/>
    <n v="1.2836813400061282"/>
  </r>
  <r>
    <s v="ORD-2024-720756"/>
    <d v="2024-10-22T00:00:00"/>
    <x v="3"/>
    <x v="1"/>
    <x v="10"/>
    <d v="2023-01-22T00:00:00"/>
    <d v="2023-01-22T00:00:00"/>
    <d v="2023-01-21T00:00:00"/>
    <n v="-1"/>
    <x v="1"/>
    <x v="1"/>
    <s v="Munich"/>
    <s v="Corporate"/>
    <x v="3"/>
    <x v="9"/>
    <x v="3"/>
    <x v="413"/>
    <n v="150.86000000000001"/>
    <s v="Low"/>
    <n v="346.96"/>
    <n v="346.96"/>
    <n v="0.19600000000000001"/>
    <n v="8"/>
    <n v="68.004159999999999"/>
    <n v="2231.6467200000002"/>
    <n v="2163.6425600000002"/>
    <n v="1206.8800000000001"/>
    <n v="1024.7667200000001"/>
    <n v="956.76256000000012"/>
    <n v="1.8491040699986743"/>
  </r>
  <r>
    <s v="ORD-2023-431328"/>
    <d v="2024-10-23T00:00:00"/>
    <x v="3"/>
    <x v="2"/>
    <x v="0"/>
    <d v="2024-02-29T00:00:00"/>
    <d v="2024-03-30T00:00:00"/>
    <d v="2024-03-30T00:00:00"/>
    <n v="30"/>
    <x v="0"/>
    <x v="0"/>
    <s v="Nagoya"/>
    <s v="Small Business"/>
    <x v="3"/>
    <x v="7"/>
    <x v="4"/>
    <x v="414"/>
    <n v="231.11"/>
    <s v="Low"/>
    <n v="318.17"/>
    <n v="318.17"/>
    <n v="0.20100000000000001"/>
    <n v="60"/>
    <n v="63.95217000000001"/>
    <n v="15253.069799999999"/>
    <n v="15189.117629999999"/>
    <n v="13866.6"/>
    <n v="1386.4697999999989"/>
    <n v="1322.5176299999985"/>
    <n v="1.0999862835879017"/>
  </r>
  <r>
    <s v="ORD-2023-613317"/>
    <d v="2024-10-23T00:00:00"/>
    <x v="3"/>
    <x v="1"/>
    <x v="2"/>
    <d v="2023-12-20T00:00:00"/>
    <d v="2024-01-14T00:00:00"/>
    <d v="2024-01-14T00:00:00"/>
    <n v="25"/>
    <x v="0"/>
    <x v="4"/>
    <s v="Mumbai"/>
    <s v="Non-Profit"/>
    <x v="4"/>
    <x v="1"/>
    <x v="3"/>
    <x v="415"/>
    <n v="1085.6099999999999"/>
    <s v="Medium"/>
    <n v="1246.4100000000001"/>
    <n v="1246.4100000000001"/>
    <n v="0.113"/>
    <n v="7"/>
    <n v="140.84433000000001"/>
    <n v="7738.9596900000006"/>
    <n v="7598.1153600000007"/>
    <n v="7599.2699999999995"/>
    <n v="139.68969000000106"/>
    <n v="-1.1546399999988353"/>
    <n v="1.0183819880067428"/>
  </r>
  <r>
    <s v="ORD-2024-197852"/>
    <d v="2024-10-24T00:00:00"/>
    <x v="3"/>
    <x v="1"/>
    <x v="1"/>
    <d v="2023-11-10T00:00:00"/>
    <d v="2023-11-28T00:00:00"/>
    <d v="2023-11-28T00:00:00"/>
    <n v="18"/>
    <x v="2"/>
    <x v="6"/>
    <s v="Brasília"/>
    <s v="Education"/>
    <x v="4"/>
    <x v="1"/>
    <x v="5"/>
    <x v="416"/>
    <n v="388.51"/>
    <s v="Medium"/>
    <n v="776.46"/>
    <n v="776.46"/>
    <n v="0.157"/>
    <n v="12"/>
    <n v="121.90422000000001"/>
    <n v="7854.6693599999999"/>
    <n v="7732.7651399999995"/>
    <n v="4662.12"/>
    <n v="3192.54936"/>
    <n v="3070.6451399999996"/>
    <n v="1.6847848961416694"/>
  </r>
  <r>
    <s v="ORD-2025-564184"/>
    <d v="2024-10-25T00:00:00"/>
    <x v="3"/>
    <x v="2"/>
    <x v="7"/>
    <d v="2024-09-09T00:00:00"/>
    <d v="2024-10-01T00:00:00"/>
    <d v="2024-10-01T00:00:00"/>
    <n v="22"/>
    <x v="0"/>
    <x v="3"/>
    <s v="Shenzhen"/>
    <s v="Consumer"/>
    <x v="3"/>
    <x v="1"/>
    <x v="6"/>
    <x v="417"/>
    <n v="1166.18"/>
    <s v="Medium"/>
    <n v="1335.02"/>
    <n v="1335.02"/>
    <n v="0.128"/>
    <n v="6"/>
    <n v="170.88256000000001"/>
    <n v="6984.8246399999998"/>
    <n v="6813.9420799999998"/>
    <n v="6997.08"/>
    <n v="-12.25536000000011"/>
    <n v="-183.13792000000012"/>
    <n v="0.9982485036615274"/>
  </r>
  <r>
    <s v="ORD-2023-653343"/>
    <d v="2024-10-25T00:00:00"/>
    <x v="3"/>
    <x v="0"/>
    <x v="10"/>
    <d v="2025-01-29T00:00:00"/>
    <d v="2025-02-06T00:00:00"/>
    <d v="2025-02-06T00:00:00"/>
    <n v="8"/>
    <x v="3"/>
    <x v="5"/>
    <s v="Kisumu"/>
    <s v="Education"/>
    <x v="1"/>
    <x v="11"/>
    <x v="1"/>
    <x v="418"/>
    <n v="1445.27"/>
    <s v="High"/>
    <n v="2691.45"/>
    <n v="2691.45"/>
    <n v="0"/>
    <n v="9"/>
    <n v="0"/>
    <n v="24223.05"/>
    <n v="24223.05"/>
    <n v="13007.43"/>
    <n v="11215.619999999999"/>
    <n v="11215.619999999999"/>
    <n v="1.8622471925660948"/>
  </r>
  <r>
    <s v="ORD-2024-988736"/>
    <d v="2024-10-27T00:00:00"/>
    <x v="3"/>
    <x v="0"/>
    <x v="5"/>
    <d v="2025-07-14T00:00:00"/>
    <d v="2025-08-04T00:00:00"/>
    <d v="2025-08-04T00:00:00"/>
    <n v="21"/>
    <x v="2"/>
    <x v="2"/>
    <s v="Montreal"/>
    <s v="Consumer"/>
    <x v="2"/>
    <x v="14"/>
    <x v="3"/>
    <x v="419"/>
    <n v="90.3"/>
    <s v="Low"/>
    <n v="131.76"/>
    <n v="131.76"/>
    <n v="0.10199999999999999"/>
    <n v="15"/>
    <n v="13.439519999999998"/>
    <n v="1774.8072"/>
    <n v="1761.3676800000001"/>
    <n v="1354.5"/>
    <n v="420.30719999999997"/>
    <n v="406.86768000000006"/>
    <n v="1.310304318936877"/>
  </r>
  <r>
    <s v="ORD-2025-586799"/>
    <d v="2024-10-29T00:00:00"/>
    <x v="3"/>
    <x v="2"/>
    <x v="8"/>
    <d v="2024-10-02T00:00:00"/>
    <d v="2024-10-23T00:00:00"/>
    <d v="2024-10-23T00:00:00"/>
    <n v="21"/>
    <x v="3"/>
    <x v="11"/>
    <s v="Durban"/>
    <s v="Corporate"/>
    <x v="4"/>
    <x v="3"/>
    <x v="2"/>
    <x v="420"/>
    <n v="1095.6099999999999"/>
    <s v="High"/>
    <n v="2366.5100000000002"/>
    <n v="2366.5100000000002"/>
    <n v="0.152"/>
    <n v="9"/>
    <n v="359.70952"/>
    <n v="18061.204320000004"/>
    <n v="17701.494800000004"/>
    <n v="9860.49"/>
    <n v="8200.7143200000046"/>
    <n v="7841.0048000000043"/>
    <n v="1.8316741176148452"/>
  </r>
  <r>
    <s v="ORD-2024-686712"/>
    <d v="2024-10-30T00:00:00"/>
    <x v="3"/>
    <x v="0"/>
    <x v="5"/>
    <d v="2025-07-21T00:00:00"/>
    <d v="2025-08-07T00:00:00"/>
    <d v="2025-08-07T00:00:00"/>
    <n v="17"/>
    <x v="3"/>
    <x v="9"/>
    <s v="Lagos"/>
    <s v="Enterprise"/>
    <x v="3"/>
    <x v="13"/>
    <x v="5"/>
    <x v="421"/>
    <n v="1204.95"/>
    <s v="High"/>
    <n v="2065.73"/>
    <n v="2065.73"/>
    <n v="0.13600000000000001"/>
    <n v="10"/>
    <n v="280.93928"/>
    <n v="17847.907199999998"/>
    <n v="17566.967919999999"/>
    <n v="12049.5"/>
    <n v="5798.4071999999978"/>
    <n v="5517.4679199999991"/>
    <n v="1.4812155857089504"/>
  </r>
  <r>
    <s v="ORD-2025-629393"/>
    <d v="2024-11-01T00:00:00"/>
    <x v="3"/>
    <x v="2"/>
    <x v="7"/>
    <d v="2024-09-10T00:00:00"/>
    <d v="2024-10-07T00:00:00"/>
    <d v="2024-10-07T00:00:00"/>
    <n v="27"/>
    <x v="3"/>
    <x v="5"/>
    <s v="Kisumu"/>
    <s v="Consumer"/>
    <x v="1"/>
    <x v="1"/>
    <x v="6"/>
    <x v="422"/>
    <n v="1248.3900000000001"/>
    <s v="Medium"/>
    <n v="1805.11"/>
    <n v="1805.11"/>
    <n v="0.20300000000000001"/>
    <n v="11"/>
    <n v="366.43733000000003"/>
    <n v="15825.399369999997"/>
    <n v="15458.962039999997"/>
    <n v="13732.29"/>
    <n v="2093.1093699999965"/>
    <n v="1726.6720399999958"/>
    <n v="1.1524224561234868"/>
  </r>
  <r>
    <s v="ORD-2025-146850"/>
    <d v="2024-11-02T00:00:00"/>
    <x v="3"/>
    <x v="1"/>
    <x v="5"/>
    <d v="2023-07-02T00:00:00"/>
    <d v="2023-08-01T00:00:00"/>
    <d v="2023-08-01T00:00:00"/>
    <n v="30"/>
    <x v="1"/>
    <x v="7"/>
    <s v="Birmingham"/>
    <s v="Small Business"/>
    <x v="1"/>
    <x v="11"/>
    <x v="2"/>
    <x v="423"/>
    <n v="137.46"/>
    <s v="Low"/>
    <n v="188.3"/>
    <n v="188.3"/>
    <n v="3.7999999999999999E-2"/>
    <n v="37"/>
    <n v="7.1554000000000002"/>
    <n v="6702.3501999999999"/>
    <n v="6695.1948000000002"/>
    <n v="5086.0200000000004"/>
    <n v="1616.3301999999994"/>
    <n v="1609.1747999999998"/>
    <n v="1.3177986323294049"/>
  </r>
  <r>
    <s v="ORD-2024-687100"/>
    <d v="2024-11-02T00:00:00"/>
    <x v="3"/>
    <x v="0"/>
    <x v="10"/>
    <d v="2025-01-21T00:00:00"/>
    <d v="2025-02-14T00:00:00"/>
    <d v="2025-02-14T00:00:00"/>
    <n v="24"/>
    <x v="3"/>
    <x v="5"/>
    <s v="Nairobi"/>
    <s v="Small Business"/>
    <x v="1"/>
    <x v="5"/>
    <x v="5"/>
    <x v="424"/>
    <n v="1030.44"/>
    <s v="High"/>
    <n v="2562.84"/>
    <n v="2562.84"/>
    <n v="0.14799999999999999"/>
    <n v="13"/>
    <n v="379.30032"/>
    <n v="28386.015839999996"/>
    <n v="28006.715519999998"/>
    <n v="13395.720000000001"/>
    <n v="14990.295839999995"/>
    <n v="14610.995519999997"/>
    <n v="2.1190362175381385"/>
  </r>
  <r>
    <s v="ORD-2023-390998"/>
    <d v="2024-11-04T00:00:00"/>
    <x v="3"/>
    <x v="0"/>
    <x v="0"/>
    <d v="2025-02-04T00:00:00"/>
    <d v="2025-02-25T00:00:00"/>
    <d v="2025-02-25T00:00:00"/>
    <n v="21"/>
    <x v="1"/>
    <x v="7"/>
    <s v="Birmingham"/>
    <s v="Corporate"/>
    <x v="4"/>
    <x v="10"/>
    <x v="3"/>
    <x v="425"/>
    <n v="1016.32"/>
    <s v="High"/>
    <n v="2253.42"/>
    <n v="2253.42"/>
    <n v="5.5E-2"/>
    <n v="12"/>
    <n v="123.93810000000001"/>
    <n v="25553.782800000001"/>
    <n v="25429.844700000001"/>
    <n v="12195.84"/>
    <n v="13357.942800000001"/>
    <n v="13234.004700000001"/>
    <n v="2.0952868191120908"/>
  </r>
  <r>
    <s v="ORD-2023-920483"/>
    <d v="2024-11-04T00:00:00"/>
    <x v="3"/>
    <x v="1"/>
    <x v="6"/>
    <d v="2023-04-19T00:00:00"/>
    <d v="2023-04-28T00:00:00"/>
    <d v="2023-04-28T00:00:00"/>
    <n v="9"/>
    <x v="1"/>
    <x v="1"/>
    <s v="Berlin"/>
    <s v="Education"/>
    <x v="2"/>
    <x v="2"/>
    <x v="3"/>
    <x v="426"/>
    <n v="1178.42"/>
    <s v="High"/>
    <n v="2446.56"/>
    <n v="2446.56"/>
    <n v="2.9000000000000001E-2"/>
    <n v="11"/>
    <n v="70.950240000000008"/>
    <n v="26131.70736"/>
    <n v="26060.757120000002"/>
    <n v="12962.62"/>
    <n v="13169.08736"/>
    <n v="13098.137120000001"/>
    <n v="2.0159279034639601"/>
  </r>
  <r>
    <s v="ORD-2025-964661"/>
    <d v="2024-11-05T00:00:00"/>
    <x v="3"/>
    <x v="1"/>
    <x v="10"/>
    <d v="2023-01-20T00:00:00"/>
    <d v="2023-02-03T00:00:00"/>
    <d v="2023-02-03T00:00:00"/>
    <n v="14"/>
    <x v="3"/>
    <x v="5"/>
    <s v="Kisumu"/>
    <s v="Corporate"/>
    <x v="1"/>
    <x v="13"/>
    <x v="4"/>
    <x v="427"/>
    <n v="884.36"/>
    <s v="Medium"/>
    <n v="1545.34"/>
    <n v="1545.34"/>
    <n v="0.24299999999999999"/>
    <n v="41"/>
    <n v="375.51761999999997"/>
    <n v="47962.717579999997"/>
    <n v="47587.199959999998"/>
    <n v="36258.76"/>
    <n v="11703.957579999995"/>
    <n v="11328.439959999996"/>
    <n v="1.3227897914876292"/>
  </r>
  <r>
    <s v="ORD-2023-586275"/>
    <d v="2024-11-06T00:00:00"/>
    <x v="3"/>
    <x v="1"/>
    <x v="4"/>
    <d v="2023-08-15T00:00:00"/>
    <d v="2023-09-07T00:00:00"/>
    <d v="2023-09-07T00:00:00"/>
    <n v="23"/>
    <x v="2"/>
    <x v="10"/>
    <s v="New York"/>
    <s v="Enterprise"/>
    <x v="2"/>
    <x v="8"/>
    <x v="1"/>
    <x v="428"/>
    <n v="590.33000000000004"/>
    <s v="Medium"/>
    <n v="973.04"/>
    <n v="973.04"/>
    <n v="0"/>
    <n v="26"/>
    <n v="0"/>
    <n v="25299.040000000001"/>
    <n v="25299.040000000001"/>
    <n v="15348.580000000002"/>
    <n v="9950.4599999999991"/>
    <n v="9950.4599999999991"/>
    <n v="1.6482984093642539"/>
  </r>
  <r>
    <s v="ORD-2023-133848"/>
    <d v="2024-11-07T00:00:00"/>
    <x v="3"/>
    <x v="2"/>
    <x v="10"/>
    <d v="2024-01-12T00:00:00"/>
    <d v="2024-01-29T00:00:00"/>
    <d v="2024-01-29T00:00:00"/>
    <n v="17"/>
    <x v="2"/>
    <x v="10"/>
    <s v="Chicago"/>
    <s v="Education"/>
    <x v="0"/>
    <x v="3"/>
    <x v="6"/>
    <x v="429"/>
    <n v="493.76"/>
    <s v="Medium"/>
    <n v="625.04"/>
    <n v="625.04"/>
    <n v="0.25800000000000001"/>
    <n v="10"/>
    <n v="161.26032000000001"/>
    <n v="4637.7968000000001"/>
    <n v="4476.5364799999998"/>
    <n v="4937.6000000000004"/>
    <n v="-299.80320000000029"/>
    <n v="-461.06352000000061"/>
    <n v="0.93928159429682434"/>
  </r>
  <r>
    <s v="ORD-2024-999607"/>
    <d v="2024-11-08T00:00:00"/>
    <x v="3"/>
    <x v="1"/>
    <x v="10"/>
    <d v="2023-01-13T00:00:00"/>
    <d v="2023-01-19T00:00:00"/>
    <d v="2023-01-19T00:00:00"/>
    <n v="6"/>
    <x v="2"/>
    <x v="10"/>
    <s v="Chicago"/>
    <s v="Corporate"/>
    <x v="3"/>
    <x v="14"/>
    <x v="1"/>
    <x v="430"/>
    <n v="833.57"/>
    <s v="Medium"/>
    <n v="881.57"/>
    <n v="881.57"/>
    <n v="5.7000000000000002E-2"/>
    <n v="18"/>
    <n v="50.249490000000002"/>
    <n v="14963.769179999999"/>
    <n v="14913.519689999999"/>
    <n v="15004.26"/>
    <n v="-40.490820000000895"/>
    <n v="-90.740310000001045"/>
    <n v="0.99730137840853195"/>
  </r>
  <r>
    <s v="ORD-2023-382017"/>
    <d v="2024-11-11T00:00:00"/>
    <x v="3"/>
    <x v="1"/>
    <x v="6"/>
    <d v="2023-04-14T00:00:00"/>
    <d v="2023-05-13T00:00:00"/>
    <d v="2023-05-13T00:00:00"/>
    <n v="29"/>
    <x v="1"/>
    <x v="1"/>
    <s v="Frankfurt"/>
    <s v="Consumer"/>
    <x v="3"/>
    <x v="5"/>
    <x v="6"/>
    <x v="431"/>
    <n v="1320.33"/>
    <s v="High"/>
    <n v="2645.23"/>
    <n v="2645.23"/>
    <n v="0.155"/>
    <n v="25"/>
    <n v="410.01065"/>
    <n v="55880.483749999999"/>
    <n v="55470.473100000003"/>
    <n v="33008.25"/>
    <n v="22872.233749999999"/>
    <n v="22462.223100000003"/>
    <n v="1.692924761233934"/>
  </r>
  <r>
    <s v="ORD-2023-701153"/>
    <d v="2024-11-12T00:00:00"/>
    <x v="3"/>
    <x v="1"/>
    <x v="10"/>
    <d v="2023-01-30T00:00:00"/>
    <d v="2023-02-21T00:00:00"/>
    <d v="2023-02-21T00:00:00"/>
    <n v="22"/>
    <x v="1"/>
    <x v="1"/>
    <s v="Munich"/>
    <s v="Small Business"/>
    <x v="4"/>
    <x v="12"/>
    <x v="4"/>
    <x v="432"/>
    <n v="1142.8800000000001"/>
    <s v="Medium"/>
    <n v="1465.29"/>
    <n v="1465.29"/>
    <n v="0.186"/>
    <n v="7"/>
    <n v="272.54393999999996"/>
    <n v="8349.2224200000001"/>
    <n v="8076.6784800000005"/>
    <n v="8000.1600000000008"/>
    <n v="349.06241999999929"/>
    <n v="76.518479999999727"/>
    <n v="1.0436319298614027"/>
  </r>
  <r>
    <s v="ORD-2023-575584"/>
    <d v="2024-11-17T00:00:00"/>
    <x v="3"/>
    <x v="2"/>
    <x v="0"/>
    <d v="2024-02-11T00:00:00"/>
    <d v="2024-03-03T00:00:00"/>
    <d v="2024-03-03T00:00:00"/>
    <n v="21"/>
    <x v="3"/>
    <x v="5"/>
    <s v="Kisumu"/>
    <s v="Enterprise"/>
    <x v="2"/>
    <x v="11"/>
    <x v="1"/>
    <x v="433"/>
    <n v="516.86"/>
    <s v="Medium"/>
    <n v="852.54"/>
    <n v="852.54"/>
    <n v="5.0999999999999997E-2"/>
    <n v="14"/>
    <n v="43.479539999999993"/>
    <n v="11326.846439999999"/>
    <n v="11283.366899999999"/>
    <n v="7236.04"/>
    <n v="4090.8064399999994"/>
    <n v="4047.3268999999991"/>
    <n v="1.5653377316874975"/>
  </r>
  <r>
    <s v="ORD-2024-968374"/>
    <d v="2024-11-20T00:00:00"/>
    <x v="3"/>
    <x v="2"/>
    <x v="8"/>
    <d v="2024-10-23T00:00:00"/>
    <d v="2024-11-14T00:00:00"/>
    <d v="2024-11-14T00:00:00"/>
    <n v="22"/>
    <x v="0"/>
    <x v="0"/>
    <s v="Osaka"/>
    <s v="Non-Profit"/>
    <x v="3"/>
    <x v="11"/>
    <x v="1"/>
    <x v="434"/>
    <n v="1406.4"/>
    <s v="Medium"/>
    <n v="1564.76"/>
    <n v="1564.76"/>
    <n v="0.185"/>
    <n v="17"/>
    <n v="289.48059999999998"/>
    <n v="21679.749799999998"/>
    <n v="21390.269199999999"/>
    <n v="23908.800000000003"/>
    <n v="-2229.0502000000051"/>
    <n v="-2518.5308000000041"/>
    <n v="0.90676862912400436"/>
  </r>
  <r>
    <s v="ORD-2024-668926"/>
    <d v="2024-11-21T00:00:00"/>
    <x v="3"/>
    <x v="2"/>
    <x v="7"/>
    <d v="2024-09-22T00:00:00"/>
    <d v="2024-10-01T00:00:00"/>
    <d v="2024-10-01T00:00:00"/>
    <n v="9"/>
    <x v="2"/>
    <x v="6"/>
    <s v="São Paulo"/>
    <s v="Non-Profit"/>
    <x v="2"/>
    <x v="8"/>
    <x v="3"/>
    <x v="435"/>
    <n v="1378.8"/>
    <s v="High"/>
    <n v="1952.04"/>
    <n v="1952.04"/>
    <n v="0.159"/>
    <n v="19"/>
    <n v="310.37436000000002"/>
    <n v="31191.64716"/>
    <n v="30881.272799999999"/>
    <n v="26197.200000000001"/>
    <n v="4994.4471599999997"/>
    <n v="4684.0727999999981"/>
    <n v="1.1906481288076589"/>
  </r>
  <r>
    <s v="ORD-2024-444710"/>
    <d v="2024-11-22T00:00:00"/>
    <x v="3"/>
    <x v="1"/>
    <x v="11"/>
    <d v="2023-05-04T00:00:00"/>
    <d v="2023-05-26T00:00:00"/>
    <d v="2023-05-26T00:00:00"/>
    <n v="22"/>
    <x v="2"/>
    <x v="10"/>
    <s v="San Francisco"/>
    <s v="Enterprise"/>
    <x v="2"/>
    <x v="5"/>
    <x v="4"/>
    <x v="436"/>
    <n v="249.71"/>
    <s v="Low"/>
    <n v="361.33"/>
    <n v="361.33"/>
    <n v="9.4E-2"/>
    <n v="12"/>
    <n v="33.965019999999996"/>
    <n v="3928.3797600000003"/>
    <n v="3894.4147400000002"/>
    <n v="2996.52"/>
    <n v="931.85976000000028"/>
    <n v="897.89474000000018"/>
    <n v="1.3109806575627729"/>
  </r>
  <r>
    <s v="ORD-2023-177794"/>
    <d v="2024-11-25T00:00:00"/>
    <x v="3"/>
    <x v="1"/>
    <x v="8"/>
    <d v="2023-10-15T00:00:00"/>
    <d v="2023-11-13T00:00:00"/>
    <d v="2023-11-13T00:00:00"/>
    <n v="29"/>
    <x v="0"/>
    <x v="3"/>
    <s v="Shenzhen"/>
    <s v="Non-Profit"/>
    <x v="0"/>
    <x v="5"/>
    <x v="6"/>
    <x v="437"/>
    <n v="986.44"/>
    <s v="Medium"/>
    <n v="790.61"/>
    <n v="790.61"/>
    <n v="7.1999999999999995E-2"/>
    <n v="6"/>
    <n v="56.923919999999995"/>
    <n v="4402.1164799999997"/>
    <n v="4345.1925599999995"/>
    <n v="5918.64"/>
    <n v="-1516.5235200000006"/>
    <n v="-1573.4474400000008"/>
    <n v="0.74377162321073753"/>
  </r>
  <r>
    <s v="ORD-2023-925146"/>
    <d v="2024-11-27T00:00:00"/>
    <x v="3"/>
    <x v="2"/>
    <x v="4"/>
    <d v="2024-08-12T00:00:00"/>
    <d v="2024-09-03T00:00:00"/>
    <d v="2024-09-03T00:00:00"/>
    <n v="22"/>
    <x v="2"/>
    <x v="10"/>
    <s v="Austin"/>
    <s v="Consumer"/>
    <x v="0"/>
    <x v="7"/>
    <x v="0"/>
    <x v="438"/>
    <n v="797.8"/>
    <s v="Medium"/>
    <n v="886.22"/>
    <n v="886.22"/>
    <n v="0.23599999999999999"/>
    <n v="36"/>
    <n v="209.14792"/>
    <n v="24374.594880000001"/>
    <n v="24165.446960000001"/>
    <n v="28720.799999999999"/>
    <n v="-4346.2051199999987"/>
    <n v="-4555.3530399999981"/>
    <n v="0.84867395337177243"/>
  </r>
  <r>
    <s v="ORD-2024-760799"/>
    <d v="2024-11-30T00:00:00"/>
    <x v="3"/>
    <x v="2"/>
    <x v="11"/>
    <d v="2024-05-19T00:00:00"/>
    <d v="2024-06-08T00:00:00"/>
    <d v="2024-06-08T00:00:00"/>
    <n v="20"/>
    <x v="2"/>
    <x v="6"/>
    <s v="Brasília"/>
    <s v="Small Business"/>
    <x v="1"/>
    <x v="2"/>
    <x v="3"/>
    <x v="439"/>
    <n v="1075.9000000000001"/>
    <s v="Medium"/>
    <n v="1242.1500000000001"/>
    <n v="1242.1500000000001"/>
    <n v="1.2E-2"/>
    <n v="7"/>
    <n v="14.905800000000001"/>
    <n v="8590.7094000000016"/>
    <n v="8575.8036000000011"/>
    <n v="7531.3000000000011"/>
    <n v="1059.4094000000005"/>
    <n v="1044.5036"/>
    <n v="1.1406675341574497"/>
  </r>
  <r>
    <s v="ORD-2023-197661"/>
    <d v="2024-11-30T00:00:00"/>
    <x v="3"/>
    <x v="2"/>
    <x v="0"/>
    <d v="2024-02-03T00:00:00"/>
    <d v="2024-02-19T00:00:00"/>
    <d v="2024-02-19T00:00:00"/>
    <n v="16"/>
    <x v="0"/>
    <x v="3"/>
    <s v="Shenzhen"/>
    <s v="Small Business"/>
    <x v="2"/>
    <x v="14"/>
    <x v="0"/>
    <x v="440"/>
    <n v="993.75"/>
    <s v="Medium"/>
    <n v="1310.29"/>
    <n v="1310.29"/>
    <n v="0.215"/>
    <n v="19"/>
    <n v="281.71235000000001"/>
    <n v="19542.975350000001"/>
    <n v="19261.262999999999"/>
    <n v="18881.25"/>
    <n v="661.72535000000062"/>
    <n v="380.01299999999901"/>
    <n v="1.0350466918238994"/>
  </r>
  <r>
    <s v="ORD-2024-212990"/>
    <d v="2024-11-30T00:00:00"/>
    <x v="3"/>
    <x v="1"/>
    <x v="4"/>
    <d v="2023-08-08T00:00:00"/>
    <d v="2023-08-22T00:00:00"/>
    <d v="2023-08-22T00:00:00"/>
    <n v="14"/>
    <x v="1"/>
    <x v="7"/>
    <s v="Birmingham"/>
    <s v="Non-Profit"/>
    <x v="3"/>
    <x v="0"/>
    <x v="3"/>
    <x v="441"/>
    <n v="446.69"/>
    <s v="Medium"/>
    <n v="967.25"/>
    <n v="967.25"/>
    <n v="9.4E-2"/>
    <n v="10"/>
    <n v="90.921499999999995"/>
    <n v="8763.2849999999999"/>
    <n v="8672.3634999999995"/>
    <n v="4466.8999999999996"/>
    <n v="4296.3850000000002"/>
    <n v="4205.4634999999998"/>
    <n v="1.9618269941122479"/>
  </r>
  <r>
    <s v="ORD-2024-503082"/>
    <d v="2024-12-04T00:00:00"/>
    <x v="3"/>
    <x v="1"/>
    <x v="5"/>
    <d v="2023-07-19T00:00:00"/>
    <d v="2023-07-31T00:00:00"/>
    <d v="2023-07-31T00:00:00"/>
    <n v="12"/>
    <x v="2"/>
    <x v="6"/>
    <s v="Rio de Janeiro"/>
    <s v="Corporate"/>
    <x v="1"/>
    <x v="4"/>
    <x v="3"/>
    <x v="442"/>
    <n v="1334.64"/>
    <s v="High"/>
    <n v="2273.42"/>
    <n v="2273.42"/>
    <n v="0.11799999999999999"/>
    <n v="14"/>
    <n v="268.26355999999998"/>
    <n v="28072.190160000002"/>
    <n v="27803.926600000003"/>
    <n v="18684.960000000003"/>
    <n v="9387.2301599999992"/>
    <n v="9118.9665999999997"/>
    <n v="1.5023949829167416"/>
  </r>
  <r>
    <s v="ORD-2023-825836"/>
    <d v="2024-12-05T00:00:00"/>
    <x v="3"/>
    <x v="1"/>
    <x v="10"/>
    <d v="2023-01-29T00:00:00"/>
    <d v="2023-02-28T00:00:00"/>
    <d v="2023-02-28T00:00:00"/>
    <n v="30"/>
    <x v="0"/>
    <x v="4"/>
    <s v="Bengaluru"/>
    <s v="Non-Profit"/>
    <x v="1"/>
    <x v="11"/>
    <x v="5"/>
    <x v="443"/>
    <n v="1262.0999999999999"/>
    <s v="Medium"/>
    <n v="1395.53"/>
    <n v="1395.53"/>
    <n v="0.23300000000000001"/>
    <n v="25"/>
    <n v="325.15849000000003"/>
    <n v="26759.28775"/>
    <n v="26434.129259999998"/>
    <n v="31552.499999999996"/>
    <n v="-4793.2122499999969"/>
    <n v="-5118.3707399999985"/>
    <n v="0.8480877188812298"/>
  </r>
  <r>
    <s v="ORD-2025-542939"/>
    <d v="2024-12-07T00:00:00"/>
    <x v="3"/>
    <x v="0"/>
    <x v="10"/>
    <d v="2025-01-13T00:00:00"/>
    <d v="2025-02-08T00:00:00"/>
    <d v="2025-02-08T00:00:00"/>
    <n v="26"/>
    <x v="1"/>
    <x v="8"/>
    <s v="Paris"/>
    <s v="Non-Profit"/>
    <x v="0"/>
    <x v="2"/>
    <x v="3"/>
    <x v="444"/>
    <n v="594.74"/>
    <s v="Medium"/>
    <n v="1020.69"/>
    <n v="1020.69"/>
    <n v="0.21099999999999999"/>
    <n v="6"/>
    <n v="215.36559"/>
    <n v="4831.9464600000001"/>
    <n v="4616.5808699999998"/>
    <n v="3568.44"/>
    <n v="1263.5064600000001"/>
    <n v="1048.1408699999997"/>
    <n v="1.3540781013552141"/>
  </r>
  <r>
    <s v="ORD-2023-399631"/>
    <d v="2024-12-08T00:00:00"/>
    <x v="3"/>
    <x v="1"/>
    <x v="3"/>
    <d v="2023-06-22T00:00:00"/>
    <d v="2023-07-21T00:00:00"/>
    <d v="2023-07-21T00:00:00"/>
    <n v="29"/>
    <x v="1"/>
    <x v="8"/>
    <s v="Lyon"/>
    <s v="Corporate"/>
    <x v="1"/>
    <x v="5"/>
    <x v="5"/>
    <x v="445"/>
    <n v="734.34"/>
    <s v="Medium"/>
    <n v="887.9"/>
    <n v="887.9"/>
    <n v="2.5000000000000001E-2"/>
    <n v="12"/>
    <n v="22.197500000000002"/>
    <n v="10388.429999999998"/>
    <n v="10366.232499999998"/>
    <n v="8812.08"/>
    <n v="1576.3499999999985"/>
    <n v="1554.1524999999983"/>
    <n v="1.1788851213334421"/>
  </r>
  <r>
    <s v="ORD-2023-334213"/>
    <d v="2024-12-10T00:00:00"/>
    <x v="3"/>
    <x v="1"/>
    <x v="4"/>
    <d v="2023-08-19T00:00:00"/>
    <d v="2023-08-23T00:00:00"/>
    <d v="2023-08-23T00:00:00"/>
    <n v="4"/>
    <x v="3"/>
    <x v="9"/>
    <s v="Abuja"/>
    <s v="Small Business"/>
    <x v="2"/>
    <x v="5"/>
    <x v="3"/>
    <x v="446"/>
    <n v="790.63"/>
    <s v="Medium"/>
    <n v="1382.31"/>
    <n v="1382.31"/>
    <n v="0.10100000000000001"/>
    <n v="7"/>
    <n v="139.61331000000001"/>
    <n v="8698.8768300000011"/>
    <n v="8559.2635200000004"/>
    <n v="5534.41"/>
    <n v="3164.4668300000012"/>
    <n v="3024.8535200000006"/>
    <n v="1.571780339729077"/>
  </r>
  <r>
    <s v="ORD-2024-640340"/>
    <d v="2024-12-10T00:00:00"/>
    <x v="3"/>
    <x v="2"/>
    <x v="8"/>
    <d v="2024-10-22T00:00:00"/>
    <d v="2024-10-29T00:00:00"/>
    <d v="2024-10-29T00:00:00"/>
    <n v="7"/>
    <x v="3"/>
    <x v="9"/>
    <s v="Port Harcourt"/>
    <s v="Enterprise"/>
    <x v="0"/>
    <x v="13"/>
    <x v="3"/>
    <x v="447"/>
    <n v="1023.06"/>
    <s v="Medium"/>
    <n v="1355.61"/>
    <n v="1355.61"/>
    <n v="0.153"/>
    <n v="23"/>
    <n v="207.40832999999998"/>
    <n v="26408.63841"/>
    <n v="26201.230080000001"/>
    <n v="23530.379999999997"/>
    <n v="2878.2584100000022"/>
    <n v="2670.8500800000038"/>
    <n v="1.1223209489179522"/>
  </r>
  <r>
    <s v="ORD-2025-898843"/>
    <d v="2024-12-12T00:00:00"/>
    <x v="3"/>
    <x v="0"/>
    <x v="0"/>
    <d v="2025-02-02T00:00:00"/>
    <d v="2025-03-04T00:00:00"/>
    <d v="2025-03-04T00:00:00"/>
    <n v="30"/>
    <x v="0"/>
    <x v="0"/>
    <s v="Osaka"/>
    <s v="Education"/>
    <x v="0"/>
    <x v="1"/>
    <x v="5"/>
    <x v="448"/>
    <n v="766.59"/>
    <s v="High"/>
    <n v="1912.8"/>
    <n v="1912.8"/>
    <n v="0.19600000000000001"/>
    <n v="5"/>
    <n v="374.90879999999999"/>
    <n v="7689.4560000000001"/>
    <n v="7314.5472"/>
    <n v="3832.9500000000003"/>
    <n v="3856.5059999999999"/>
    <n v="3481.5971999999997"/>
    <n v="2.0061456580440651"/>
  </r>
  <r>
    <s v="ORD-2024-237478"/>
    <d v="2024-12-14T00:00:00"/>
    <x v="3"/>
    <x v="2"/>
    <x v="8"/>
    <d v="2024-10-03T00:00:00"/>
    <d v="2024-10-11T00:00:00"/>
    <d v="2024-10-11T00:00:00"/>
    <n v="8"/>
    <x v="0"/>
    <x v="3"/>
    <s v="Beijing"/>
    <s v="Enterprise"/>
    <x v="3"/>
    <x v="11"/>
    <x v="1"/>
    <x v="449"/>
    <n v="1132.6099999999999"/>
    <s v="High"/>
    <n v="2206.63"/>
    <n v="2206.63"/>
    <n v="6.3E-2"/>
    <n v="20"/>
    <n v="139.01769000000002"/>
    <n v="41352.246200000009"/>
    <n v="41213.228510000008"/>
    <n v="22652.199999999997"/>
    <n v="18700.046200000012"/>
    <n v="18561.028510000011"/>
    <n v="1.8255289199283078"/>
  </r>
  <r>
    <s v="ORD-2025-667201"/>
    <d v="2024-12-15T00:00:00"/>
    <x v="3"/>
    <x v="0"/>
    <x v="7"/>
    <d v="2025-09-15T00:00:00"/>
    <d v="2025-09-18T00:00:00"/>
    <d v="2025-09-18T00:00:00"/>
    <n v="3"/>
    <x v="2"/>
    <x v="6"/>
    <s v="Rio de Janeiro"/>
    <s v="Non-Profit"/>
    <x v="3"/>
    <x v="1"/>
    <x v="5"/>
    <x v="450"/>
    <n v="5.5"/>
    <s v="Low"/>
    <n v="5.92"/>
    <n v="5.92"/>
    <n v="0.21199999999999999"/>
    <n v="4"/>
    <n v="1.2550399999999999"/>
    <n v="18.659839999999999"/>
    <n v="17.404799999999998"/>
    <n v="22"/>
    <n v="-3.3401600000000009"/>
    <n v="-4.5952000000000019"/>
    <n v="0.8481745454545454"/>
  </r>
  <r>
    <s v="ORD-2023-987700"/>
    <d v="2024-12-17T00:00:00"/>
    <x v="3"/>
    <x v="1"/>
    <x v="6"/>
    <d v="2023-04-05T00:00:00"/>
    <d v="2023-04-16T00:00:00"/>
    <d v="2023-04-16T00:00:00"/>
    <n v="11"/>
    <x v="2"/>
    <x v="2"/>
    <s v="Vancouver"/>
    <s v="Non-Profit"/>
    <x v="2"/>
    <x v="6"/>
    <x v="3"/>
    <x v="451"/>
    <n v="213.1"/>
    <s v="Low"/>
    <n v="501.31"/>
    <n v="501.31"/>
    <n v="5.6000000000000001E-2"/>
    <n v="15"/>
    <n v="28.073360000000001"/>
    <n v="7098.5495999999994"/>
    <n v="7070.4762399999991"/>
    <n v="3196.5"/>
    <n v="3902.0495999999994"/>
    <n v="3873.9762399999991"/>
    <n v="2.2207256687001404"/>
  </r>
  <r>
    <s v="ORD-2025-652467"/>
    <d v="2024-12-17T00:00:00"/>
    <x v="3"/>
    <x v="0"/>
    <x v="4"/>
    <d v="2025-08-21T00:00:00"/>
    <d v="2025-09-12T00:00:00"/>
    <d v="2025-09-12T00:00:00"/>
    <n v="22"/>
    <x v="0"/>
    <x v="3"/>
    <s v="Shenzhen"/>
    <s v="Education"/>
    <x v="1"/>
    <x v="11"/>
    <x v="6"/>
    <x v="452"/>
    <n v="352.66"/>
    <s v="Low"/>
    <n v="411.18"/>
    <n v="411.18"/>
    <n v="0.17299999999999999"/>
    <n v="13"/>
    <n v="71.134140000000002"/>
    <n v="4420.5961799999995"/>
    <n v="4349.4620399999994"/>
    <n v="4584.58"/>
    <n v="-163.98382000000038"/>
    <n v="-235.11796000000049"/>
    <n v="0.96423144104803482"/>
  </r>
  <r>
    <s v="ORD-2024-960952"/>
    <d v="2024-12-20T00:00:00"/>
    <x v="3"/>
    <x v="2"/>
    <x v="0"/>
    <d v="2024-02-03T00:00:00"/>
    <d v="2024-02-21T00:00:00"/>
    <d v="2024-02-21T00:00:00"/>
    <n v="18"/>
    <x v="1"/>
    <x v="1"/>
    <s v="Frankfurt"/>
    <s v="Corporate"/>
    <x v="1"/>
    <x v="14"/>
    <x v="2"/>
    <x v="453"/>
    <n v="39.229999999999997"/>
    <s v="Low"/>
    <n v="30.09"/>
    <n v="30.09"/>
    <n v="0.17699999999999999"/>
    <n v="13"/>
    <n v="5.3259299999999996"/>
    <n v="321.93290999999999"/>
    <n v="316.60698000000002"/>
    <n v="509.98999999999995"/>
    <n v="-188.05708999999996"/>
    <n v="-193.38301999999993"/>
    <n v="0.63125337751720623"/>
  </r>
  <r>
    <s v="ORD-2023-664749"/>
    <d v="2024-12-21T00:00:00"/>
    <x v="3"/>
    <x v="1"/>
    <x v="4"/>
    <d v="2023-08-27T00:00:00"/>
    <d v="2023-09-11T00:00:00"/>
    <d v="2023-09-11T00:00:00"/>
    <n v="15"/>
    <x v="1"/>
    <x v="7"/>
    <s v="London"/>
    <s v="Consumer"/>
    <x v="4"/>
    <x v="0"/>
    <x v="6"/>
    <x v="454"/>
    <n v="943.79"/>
    <s v="High"/>
    <n v="1913.76"/>
    <n v="1913.76"/>
    <n v="9.0999999999999998E-2"/>
    <n v="9"/>
    <n v="174.15215999999998"/>
    <n v="15656.47056"/>
    <n v="15482.3184"/>
    <n v="8494.11"/>
    <n v="7162.3605599999992"/>
    <n v="6988.2083999999995"/>
    <n v="1.8432149524788353"/>
  </r>
  <r>
    <s v="ORD-2025-845715"/>
    <d v="2024-12-23T00:00:00"/>
    <x v="3"/>
    <x v="0"/>
    <x v="6"/>
    <d v="2025-04-14T00:00:00"/>
    <d v="2025-05-04T00:00:00"/>
    <d v="2025-05-04T00:00:00"/>
    <n v="20"/>
    <x v="1"/>
    <x v="7"/>
    <s v="Birmingham"/>
    <s v="Enterprise"/>
    <x v="4"/>
    <x v="8"/>
    <x v="3"/>
    <x v="455"/>
    <n v="1413.87"/>
    <s v="High"/>
    <n v="3275"/>
    <n v="3275"/>
    <n v="0.255"/>
    <n v="38"/>
    <n v="835.125"/>
    <n v="92715.25"/>
    <n v="91880.125"/>
    <n v="53727.06"/>
    <n v="38988.19"/>
    <n v="38153.065000000002"/>
    <n v="1.7256713842149562"/>
  </r>
  <r>
    <s v="ORD-2024-970848"/>
    <d v="2024-12-24T00:00:00"/>
    <x v="3"/>
    <x v="2"/>
    <x v="11"/>
    <d v="2024-05-23T00:00:00"/>
    <d v="2024-06-03T00:00:00"/>
    <d v="2024-06-03T00:00:00"/>
    <n v="11"/>
    <x v="3"/>
    <x v="11"/>
    <s v="Johannesburg"/>
    <s v="Small Business"/>
    <x v="0"/>
    <x v="9"/>
    <x v="6"/>
    <x v="456"/>
    <n v="180.89"/>
    <s v="Low"/>
    <n v="249.57"/>
    <n v="249.57"/>
    <n v="2.1999999999999999E-2"/>
    <n v="8"/>
    <n v="5.4905399999999993"/>
    <n v="1952.6356799999999"/>
    <n v="1947.1451399999999"/>
    <n v="1447.12"/>
    <n v="505.51567999999997"/>
    <n v="500.02513999999996"/>
    <n v="1.3493253358394603"/>
  </r>
  <r>
    <s v="ORD-2024-605629"/>
    <d v="2024-12-27T00:00:00"/>
    <x v="3"/>
    <x v="2"/>
    <x v="5"/>
    <d v="2024-07-15T00:00:00"/>
    <d v="2024-07-15T00:00:00"/>
    <d v="2024-07-15T00:00:00"/>
    <n v="0"/>
    <x v="0"/>
    <x v="0"/>
    <s v="Tokyo"/>
    <s v="Small Business"/>
    <x v="4"/>
    <x v="12"/>
    <x v="5"/>
    <x v="457"/>
    <n v="801.77"/>
    <s v="Medium"/>
    <n v="1218.92"/>
    <n v="1218.92"/>
    <n v="0.254"/>
    <n v="16"/>
    <n v="309.60568000000001"/>
    <n v="14549.029120000001"/>
    <n v="14239.42344"/>
    <n v="12828.32"/>
    <n v="1720.7091200000013"/>
    <n v="1411.1034400000008"/>
    <n v="1.1341336293450741"/>
  </r>
  <r>
    <s v="ORD-2023-450877"/>
    <d v="2024-12-27T00:00:00"/>
    <x v="3"/>
    <x v="1"/>
    <x v="7"/>
    <d v="2023-09-21T00:00:00"/>
    <d v="2023-10-10T00:00:00"/>
    <d v="2023-10-10T00:00:00"/>
    <n v="19"/>
    <x v="0"/>
    <x v="0"/>
    <s v="Tokyo"/>
    <s v="Education"/>
    <x v="2"/>
    <x v="10"/>
    <x v="2"/>
    <x v="458"/>
    <n v="845.63"/>
    <s v="High"/>
    <n v="2062.12"/>
    <n v="2062.12"/>
    <n v="0.13400000000000001"/>
    <n v="5"/>
    <n v="276.32407999999998"/>
    <n v="8928.9795999999988"/>
    <n v="8652.6555199999984"/>
    <n v="4228.1499999999996"/>
    <n v="4700.8295999999991"/>
    <n v="4424.5055199999988"/>
    <n v="2.1117934794177122"/>
  </r>
  <r>
    <s v="ORD-2023-286994"/>
    <d v="2024-12-27T00:00:00"/>
    <x v="3"/>
    <x v="1"/>
    <x v="0"/>
    <d v="2023-02-24T00:00:00"/>
    <d v="2023-03-09T00:00:00"/>
    <d v="2023-03-09T00:00:00"/>
    <n v="13"/>
    <x v="2"/>
    <x v="10"/>
    <s v="New York"/>
    <s v="Enterprise"/>
    <x v="2"/>
    <x v="13"/>
    <x v="2"/>
    <x v="459"/>
    <n v="6.85"/>
    <s v="Low"/>
    <n v="10.18"/>
    <n v="10.18"/>
    <n v="4.7E-2"/>
    <n v="10"/>
    <n v="0.47846"/>
    <n v="97.0154"/>
    <n v="96.536940000000001"/>
    <n v="68.5"/>
    <n v="28.5154"/>
    <n v="28.036940000000001"/>
    <n v="1.4162832116788322"/>
  </r>
  <r>
    <s v="ORD-2025-700847"/>
    <d v="2024-12-27T00:00:00"/>
    <x v="3"/>
    <x v="0"/>
    <x v="11"/>
    <d v="2025-05-21T00:00:00"/>
    <d v="2025-05-21T00:00:00"/>
    <d v="2025-05-19T00:00:00"/>
    <n v="-2"/>
    <x v="3"/>
    <x v="11"/>
    <s v="Johannesburg"/>
    <s v="Non-Profit"/>
    <x v="0"/>
    <x v="6"/>
    <x v="0"/>
    <x v="460"/>
    <n v="1263.8399999999999"/>
    <s v="High"/>
    <n v="2281.7199999999998"/>
    <n v="2281.7199999999998"/>
    <n v="7.8E-2"/>
    <n v="15"/>
    <n v="177.97415999999998"/>
    <n v="31556.187599999997"/>
    <n v="31378.213439999996"/>
    <n v="18957.599999999999"/>
    <n v="12598.587599999999"/>
    <n v="12420.613439999997"/>
    <n v="1.6645665907076845"/>
  </r>
  <r>
    <s v="ORD-2024-942981"/>
    <d v="2024-12-28T00:00:00"/>
    <x v="3"/>
    <x v="2"/>
    <x v="8"/>
    <d v="2024-10-09T00:00:00"/>
    <d v="2024-11-08T00:00:00"/>
    <d v="2024-11-08T00:00:00"/>
    <n v="30"/>
    <x v="1"/>
    <x v="7"/>
    <s v="Manchester"/>
    <s v="Small Business"/>
    <x v="0"/>
    <x v="5"/>
    <x v="2"/>
    <x v="461"/>
    <n v="343.85"/>
    <s v="Low"/>
    <n v="538.04"/>
    <n v="538.04"/>
    <n v="0.13900000000000001"/>
    <n v="5"/>
    <n v="74.787559999999999"/>
    <n v="2316.2621999999997"/>
    <n v="2241.4746399999995"/>
    <n v="1719.25"/>
    <n v="597.01219999999967"/>
    <n v="522.22463999999945"/>
    <n v="1.3472515340991709"/>
  </r>
  <r>
    <s v="ORD-2023-304451"/>
    <d v="2024-12-29T00:00:00"/>
    <x v="3"/>
    <x v="1"/>
    <x v="8"/>
    <d v="2023-10-07T00:00:00"/>
    <d v="2023-10-23T00:00:00"/>
    <d v="2023-10-23T00:00:00"/>
    <n v="16"/>
    <x v="0"/>
    <x v="4"/>
    <s v="Hyderabad"/>
    <s v="Consumer"/>
    <x v="1"/>
    <x v="12"/>
    <x v="3"/>
    <x v="462"/>
    <n v="906.81"/>
    <s v="Medium"/>
    <n v="1395.56"/>
    <n v="1395.56"/>
    <n v="0.185"/>
    <n v="6"/>
    <n v="258.17859999999996"/>
    <n v="6824.2884000000004"/>
    <n v="6566.1098000000002"/>
    <n v="5440.86"/>
    <n v="1383.4284000000007"/>
    <n v="1125.2498000000005"/>
    <n v="1.2542664946350395"/>
  </r>
  <r>
    <s v="ORD-2024-329104"/>
    <d v="2025-01-03T00:00:00"/>
    <x v="0"/>
    <x v="2"/>
    <x v="11"/>
    <d v="2024-05-23T00:00:00"/>
    <d v="2024-06-14T00:00:00"/>
    <d v="2024-06-14T00:00:00"/>
    <n v="22"/>
    <x v="1"/>
    <x v="8"/>
    <s v="Marseille"/>
    <s v="Small Business"/>
    <x v="2"/>
    <x v="0"/>
    <x v="3"/>
    <x v="463"/>
    <n v="1481.74"/>
    <s v="Medium"/>
    <n v="1848.97"/>
    <n v="1848.97"/>
    <n v="0.254"/>
    <n v="9"/>
    <n v="469.63838000000004"/>
    <n v="12413.98458"/>
    <n v="11944.3462"/>
    <n v="13335.66"/>
    <n v="-921.67541999999958"/>
    <n v="-1391.3137999999999"/>
    <n v="0.93088640382253296"/>
  </r>
  <r>
    <s v="ORD-2023-157993"/>
    <d v="2025-01-04T00:00:00"/>
    <x v="0"/>
    <x v="1"/>
    <x v="6"/>
    <d v="2023-04-18T00:00:00"/>
    <d v="2023-05-18T00:00:00"/>
    <d v="2023-05-18T00:00:00"/>
    <n v="30"/>
    <x v="0"/>
    <x v="3"/>
    <s v="Shenzhen"/>
    <s v="Non-Profit"/>
    <x v="1"/>
    <x v="14"/>
    <x v="0"/>
    <x v="464"/>
    <n v="329.03"/>
    <s v="Low"/>
    <n v="391.15"/>
    <n v="391.15"/>
    <n v="0.19700000000000001"/>
    <n v="46"/>
    <n v="77.056550000000001"/>
    <n v="14448.298699999998"/>
    <n v="14371.242149999998"/>
    <n v="15135.38"/>
    <n v="-687.08130000000165"/>
    <n v="-764.13785000000098"/>
    <n v="0.95460429140199976"/>
  </r>
  <r>
    <s v="ORD-2023-884625"/>
    <d v="2025-01-07T00:00:00"/>
    <x v="0"/>
    <x v="1"/>
    <x v="0"/>
    <d v="2023-02-19T00:00:00"/>
    <d v="2023-03-12T00:00:00"/>
    <d v="2023-03-12T00:00:00"/>
    <n v="21"/>
    <x v="1"/>
    <x v="1"/>
    <s v="Berlin"/>
    <s v="Small Business"/>
    <x v="3"/>
    <x v="1"/>
    <x v="3"/>
    <x v="465"/>
    <n v="1234.81"/>
    <s v="High"/>
    <n v="2055.2399999999998"/>
    <n v="2055.2399999999998"/>
    <n v="5.2999999999999999E-2"/>
    <n v="44"/>
    <n v="108.92771999999998"/>
    <n v="85637.740319999997"/>
    <n v="85528.81259999999"/>
    <n v="54331.64"/>
    <n v="31306.100319999998"/>
    <n v="31197.172599999991"/>
    <n v="1.5762038532243827"/>
  </r>
  <r>
    <s v="ORD-2024-134084"/>
    <d v="2025-01-09T00:00:00"/>
    <x v="0"/>
    <x v="2"/>
    <x v="3"/>
    <d v="2024-06-04T00:00:00"/>
    <d v="2024-06-16T00:00:00"/>
    <d v="2024-06-16T00:00:00"/>
    <n v="12"/>
    <x v="0"/>
    <x v="3"/>
    <s v="Shanghai"/>
    <s v="Corporate"/>
    <x v="1"/>
    <x v="5"/>
    <x v="6"/>
    <x v="466"/>
    <n v="918.42"/>
    <s v="Medium"/>
    <n v="1511.71"/>
    <n v="1511.71"/>
    <n v="0.02"/>
    <n v="8"/>
    <n v="30.234200000000001"/>
    <n v="11851.806399999999"/>
    <n v="11821.572199999999"/>
    <n v="7347.36"/>
    <n v="4504.4463999999998"/>
    <n v="4474.212199999999"/>
    <n v="1.6130700550946191"/>
  </r>
  <r>
    <s v="ORD-2023-240507"/>
    <d v="2025-01-10T00:00:00"/>
    <x v="0"/>
    <x v="1"/>
    <x v="9"/>
    <d v="2023-03-25T00:00:00"/>
    <d v="2023-03-26T00:00:00"/>
    <d v="2023-03-26T00:00:00"/>
    <n v="1"/>
    <x v="0"/>
    <x v="0"/>
    <s v="Osaka"/>
    <s v="Small Business"/>
    <x v="0"/>
    <x v="7"/>
    <x v="3"/>
    <x v="467"/>
    <n v="135.12"/>
    <s v="Low"/>
    <n v="301.7"/>
    <n v="301.7"/>
    <n v="0.14000000000000001"/>
    <n v="47"/>
    <n v="42.238"/>
    <n v="12194.714"/>
    <n v="12152.476000000001"/>
    <n v="6350.64"/>
    <n v="5844.0739999999996"/>
    <n v="5801.8360000000002"/>
    <n v="1.9202338661930136"/>
  </r>
  <r>
    <s v="ORD-2024-219735"/>
    <d v="2025-01-11T00:00:00"/>
    <x v="0"/>
    <x v="2"/>
    <x v="6"/>
    <d v="2024-04-03T00:00:00"/>
    <d v="2024-04-07T00:00:00"/>
    <d v="2024-04-07T00:00:00"/>
    <n v="4"/>
    <x v="2"/>
    <x v="6"/>
    <s v="Brasília"/>
    <s v="Non-Profit"/>
    <x v="3"/>
    <x v="0"/>
    <x v="1"/>
    <x v="468"/>
    <n v="1023.27"/>
    <s v="Medium"/>
    <n v="1343.64"/>
    <n v="1343.64"/>
    <n v="0.13300000000000001"/>
    <n v="7"/>
    <n v="178.70412000000002"/>
    <n v="8154.5511600000009"/>
    <n v="7975.8470400000006"/>
    <n v="7162.8899999999994"/>
    <n v="991.66116000000147"/>
    <n v="812.95704000000114"/>
    <n v="1.1384442815679148"/>
  </r>
  <r>
    <s v="ORD-2024-357368"/>
    <d v="2025-01-13T00:00:00"/>
    <x v="0"/>
    <x v="2"/>
    <x v="8"/>
    <d v="2024-10-30T00:00:00"/>
    <d v="2024-11-24T00:00:00"/>
    <d v="2024-11-24T00:00:00"/>
    <n v="25"/>
    <x v="0"/>
    <x v="3"/>
    <s v="Shenzhen"/>
    <s v="Small Business"/>
    <x v="2"/>
    <x v="2"/>
    <x v="2"/>
    <x v="469"/>
    <n v="811.05"/>
    <s v="Medium"/>
    <n v="1217.71"/>
    <n v="1217.71"/>
    <n v="7.1999999999999995E-2"/>
    <n v="5"/>
    <n v="87.675119999999993"/>
    <n v="5650.1744000000008"/>
    <n v="5562.4992800000009"/>
    <n v="4055.25"/>
    <n v="1594.9244000000008"/>
    <n v="1507.2492800000009"/>
    <n v="1.3932986622279764"/>
  </r>
  <r>
    <s v="ORD-2023-848013"/>
    <d v="2025-01-17T00:00:00"/>
    <x v="0"/>
    <x v="1"/>
    <x v="0"/>
    <d v="2023-02-20T00:00:00"/>
    <d v="2023-03-04T00:00:00"/>
    <d v="2023-03-04T00:00:00"/>
    <n v="12"/>
    <x v="0"/>
    <x v="4"/>
    <s v="Delhi"/>
    <s v="Consumer"/>
    <x v="0"/>
    <x v="13"/>
    <x v="3"/>
    <x v="470"/>
    <n v="299.75"/>
    <s v="Low"/>
    <n v="523.01"/>
    <n v="523.01"/>
    <n v="0.157"/>
    <n v="50"/>
    <n v="82.112570000000005"/>
    <n v="22044.871499999997"/>
    <n v="21962.758929999996"/>
    <n v="14987.5"/>
    <n v="7057.3714999999975"/>
    <n v="6975.2589299999963"/>
    <n v="1.470883836530442"/>
  </r>
  <r>
    <s v="ORD-2025-418232"/>
    <d v="2025-01-20T00:00:00"/>
    <x v="0"/>
    <x v="0"/>
    <x v="4"/>
    <d v="2025-08-01T00:00:00"/>
    <d v="2025-08-21T00:00:00"/>
    <d v="2025-08-21T00:00:00"/>
    <n v="20"/>
    <x v="0"/>
    <x v="3"/>
    <s v="Shanghai"/>
    <s v="Corporate"/>
    <x v="3"/>
    <x v="7"/>
    <x v="1"/>
    <x v="471"/>
    <n v="1220.4100000000001"/>
    <s v="High"/>
    <n v="2552.2199999999998"/>
    <n v="2552.2199999999998"/>
    <n v="0.18099999999999999"/>
    <n v="14"/>
    <n v="461.95181999999994"/>
    <n v="29263.754519999995"/>
    <n v="28801.802699999997"/>
    <n v="17085.740000000002"/>
    <n v="12178.014519999993"/>
    <n v="11716.062699999995"/>
    <n v="1.7127589744430145"/>
  </r>
  <r>
    <s v="ORD-2024-553449"/>
    <d v="2025-01-21T00:00:00"/>
    <x v="0"/>
    <x v="2"/>
    <x v="4"/>
    <d v="2024-08-27T00:00:00"/>
    <d v="2024-09-18T00:00:00"/>
    <d v="2024-09-18T00:00:00"/>
    <n v="22"/>
    <x v="0"/>
    <x v="4"/>
    <s v="Delhi"/>
    <s v="Consumer"/>
    <x v="3"/>
    <x v="11"/>
    <x v="2"/>
    <x v="472"/>
    <n v="896.75"/>
    <s v="Medium"/>
    <n v="1651.14"/>
    <n v="1651.14"/>
    <n v="2.5000000000000001E-2"/>
    <n v="15"/>
    <n v="41.278500000000008"/>
    <n v="24147.922500000001"/>
    <n v="24106.644"/>
    <n v="13451.25"/>
    <n v="10696.672500000001"/>
    <n v="10655.394"/>
    <n v="1.7952177306941735"/>
  </r>
  <r>
    <s v="ORD-2025-766923"/>
    <d v="2025-01-21T00:00:00"/>
    <x v="0"/>
    <x v="0"/>
    <x v="0"/>
    <d v="2025-02-15T00:00:00"/>
    <d v="2025-02-15T00:00:00"/>
    <d v="2025-02-15T00:00:00"/>
    <n v="0"/>
    <x v="1"/>
    <x v="1"/>
    <s v="Frankfurt"/>
    <s v="Small Business"/>
    <x v="4"/>
    <x v="1"/>
    <x v="5"/>
    <x v="473"/>
    <n v="815.83"/>
    <s v="High"/>
    <n v="1982.18"/>
    <n v="1982.18"/>
    <n v="0.127"/>
    <n v="6"/>
    <n v="251.73686000000001"/>
    <n v="10382.65884"/>
    <n v="10130.921979999999"/>
    <n v="4894.9800000000005"/>
    <n v="5487.6788399999996"/>
    <n v="5235.9419799999987"/>
    <n v="2.1210829952318497"/>
  </r>
  <r>
    <s v="ORD-2024-136321"/>
    <d v="2025-01-22T00:00:00"/>
    <x v="0"/>
    <x v="2"/>
    <x v="4"/>
    <d v="2024-08-07T00:00:00"/>
    <d v="2024-08-17T00:00:00"/>
    <d v="2024-08-17T00:00:00"/>
    <n v="10"/>
    <x v="0"/>
    <x v="0"/>
    <s v="Osaka"/>
    <s v="Consumer"/>
    <x v="2"/>
    <x v="8"/>
    <x v="4"/>
    <x v="474"/>
    <n v="436.58"/>
    <s v="Low"/>
    <n v="527.48"/>
    <n v="527.48"/>
    <n v="0.111"/>
    <n v="19"/>
    <n v="58.550280000000001"/>
    <n v="8909.6646800000017"/>
    <n v="8851.1144000000022"/>
    <n v="8295.02"/>
    <n v="614.64468000000124"/>
    <n v="556.09440000000177"/>
    <n v="1.0740980347244493"/>
  </r>
  <r>
    <s v="ORD-2024-764468"/>
    <d v="2025-01-22T00:00:00"/>
    <x v="0"/>
    <x v="2"/>
    <x v="0"/>
    <d v="2024-02-01T00:00:00"/>
    <d v="2024-02-21T00:00:00"/>
    <d v="2024-02-21T00:00:00"/>
    <n v="20"/>
    <x v="1"/>
    <x v="8"/>
    <s v="Paris"/>
    <s v="Small Business"/>
    <x v="4"/>
    <x v="3"/>
    <x v="4"/>
    <x v="475"/>
    <n v="656.2"/>
    <s v="Medium"/>
    <n v="1467.17"/>
    <n v="1467.17"/>
    <n v="1.7999999999999999E-2"/>
    <n v="5"/>
    <n v="26.40906"/>
    <n v="7203.8047000000006"/>
    <n v="7177.3956400000006"/>
    <n v="3281"/>
    <n v="3922.8047000000006"/>
    <n v="3896.3956400000006"/>
    <n v="2.1956125266686985"/>
  </r>
  <r>
    <s v="ORD-2023-842488"/>
    <d v="2025-01-27T00:00:00"/>
    <x v="0"/>
    <x v="1"/>
    <x v="8"/>
    <d v="2023-10-31T00:00:00"/>
    <d v="2023-11-02T00:00:00"/>
    <d v="2023-11-02T00:00:00"/>
    <n v="2"/>
    <x v="3"/>
    <x v="5"/>
    <s v="Kisumu"/>
    <s v="Education"/>
    <x v="1"/>
    <x v="6"/>
    <x v="5"/>
    <x v="476"/>
    <n v="867.89"/>
    <s v="Medium"/>
    <n v="1349.94"/>
    <n v="1349.94"/>
    <n v="0.184"/>
    <n v="10"/>
    <n v="248.38896"/>
    <n v="11015.510400000003"/>
    <n v="10767.121440000003"/>
    <n v="8678.9"/>
    <n v="2336.6104000000032"/>
    <n v="2088.221440000003"/>
    <n v="1.2692288654092112"/>
  </r>
  <r>
    <s v="ORD-2024-201376"/>
    <d v="2025-01-29T00:00:00"/>
    <x v="0"/>
    <x v="2"/>
    <x v="0"/>
    <d v="2024-02-18T00:00:00"/>
    <d v="2024-03-04T00:00:00"/>
    <d v="2024-03-04T00:00:00"/>
    <n v="15"/>
    <x v="3"/>
    <x v="5"/>
    <s v="Kisumu"/>
    <s v="Education"/>
    <x v="3"/>
    <x v="8"/>
    <x v="6"/>
    <x v="477"/>
    <n v="928.68"/>
    <s v="High"/>
    <n v="2145.17"/>
    <n v="2145.17"/>
    <n v="0.13600000000000001"/>
    <n v="16"/>
    <n v="291.74312000000003"/>
    <n v="29654.83008"/>
    <n v="29363.086960000001"/>
    <n v="14858.88"/>
    <n v="14795.950080000001"/>
    <n v="14504.206960000001"/>
    <n v="1.9957648274970927"/>
  </r>
  <r>
    <s v="ORD-2023-596758"/>
    <d v="2025-01-31T00:00:00"/>
    <x v="0"/>
    <x v="1"/>
    <x v="2"/>
    <d v="2023-12-07T00:00:00"/>
    <d v="2023-12-07T00:00:00"/>
    <d v="2023-12-05T00:00:00"/>
    <n v="-2"/>
    <x v="0"/>
    <x v="0"/>
    <s v="Tokyo"/>
    <s v="Non-Profit"/>
    <x v="4"/>
    <x v="14"/>
    <x v="6"/>
    <x v="478"/>
    <n v="1097.5899999999999"/>
    <s v="Medium"/>
    <n v="845.55"/>
    <n v="845.55"/>
    <n v="0.184"/>
    <n v="6"/>
    <n v="155.5812"/>
    <n v="4139.8127999999997"/>
    <n v="3984.2315999999996"/>
    <n v="6585.5399999999991"/>
    <n v="-2445.7271999999994"/>
    <n v="-2601.3083999999994"/>
    <n v="0.62862161645058723"/>
  </r>
  <r>
    <s v="ORD-2023-497686"/>
    <d v="2025-02-02T00:00:00"/>
    <x v="0"/>
    <x v="1"/>
    <x v="5"/>
    <d v="2023-07-03T00:00:00"/>
    <d v="2023-07-23T00:00:00"/>
    <d v="2023-07-23T00:00:00"/>
    <n v="20"/>
    <x v="3"/>
    <x v="11"/>
    <s v="Johannesburg"/>
    <s v="Small Business"/>
    <x v="0"/>
    <x v="9"/>
    <x v="0"/>
    <x v="479"/>
    <n v="1001.96"/>
    <s v="Medium"/>
    <n v="1254.95"/>
    <n v="1254.95"/>
    <n v="4.4999999999999998E-2"/>
    <n v="18"/>
    <n v="56.472749999999998"/>
    <n v="21572.590500000002"/>
    <n v="21516.117750000001"/>
    <n v="18035.28"/>
    <n v="3537.3105000000032"/>
    <n v="3480.8377500000024"/>
    <n v="1.1961328296538787"/>
  </r>
  <r>
    <s v="ORD-2024-438404"/>
    <d v="2025-02-04T00:00:00"/>
    <x v="0"/>
    <x v="2"/>
    <x v="7"/>
    <d v="2024-09-23T00:00:00"/>
    <d v="2024-10-18T00:00:00"/>
    <d v="2024-10-18T00:00:00"/>
    <n v="25"/>
    <x v="2"/>
    <x v="2"/>
    <s v="Vancouver"/>
    <s v="Small Business"/>
    <x v="2"/>
    <x v="0"/>
    <x v="1"/>
    <x v="480"/>
    <n v="1297"/>
    <s v="High"/>
    <n v="2411.52"/>
    <n v="2411.52"/>
    <n v="2.1000000000000001E-2"/>
    <n v="18"/>
    <n v="50.641920000000006"/>
    <n v="42495.805439999996"/>
    <n v="42445.163519999995"/>
    <n v="23346"/>
    <n v="19149.805439999996"/>
    <n v="19099.163519999995"/>
    <n v="1.8202606630686198"/>
  </r>
  <r>
    <s v="ORD-2025-246470"/>
    <d v="2025-02-04T00:00:00"/>
    <x v="0"/>
    <x v="0"/>
    <x v="6"/>
    <d v="2025-04-16T00:00:00"/>
    <d v="2025-05-16T00:00:00"/>
    <d v="2025-05-16T00:00:00"/>
    <n v="30"/>
    <x v="2"/>
    <x v="2"/>
    <s v="Montreal"/>
    <s v="Enterprise"/>
    <x v="0"/>
    <x v="8"/>
    <x v="6"/>
    <x v="481"/>
    <n v="763.32"/>
    <s v="Low"/>
    <n v="568.29"/>
    <n v="568.29"/>
    <n v="0.13100000000000001"/>
    <n v="16"/>
    <n v="74.445989999999995"/>
    <n v="7901.5041599999995"/>
    <n v="7827.0581699999993"/>
    <n v="12213.12"/>
    <n v="-4311.6158400000013"/>
    <n v="-4386.0618300000015"/>
    <n v="0.64696851910077025"/>
  </r>
  <r>
    <s v="ORD-2023-192324"/>
    <d v="2025-02-06T00:00:00"/>
    <x v="0"/>
    <x v="1"/>
    <x v="7"/>
    <d v="2023-09-14T00:00:00"/>
    <d v="2023-09-16T00:00:00"/>
    <d v="2023-09-16T00:00:00"/>
    <n v="2"/>
    <x v="1"/>
    <x v="8"/>
    <s v="Lyon"/>
    <s v="Non-Profit"/>
    <x v="3"/>
    <x v="11"/>
    <x v="6"/>
    <x v="482"/>
    <n v="376.83"/>
    <s v="Medium"/>
    <n v="732.88"/>
    <n v="732.88"/>
    <n v="0.188"/>
    <n v="25"/>
    <n v="137.78144"/>
    <n v="14877.464000000002"/>
    <n v="14739.682560000001"/>
    <n v="9420.75"/>
    <n v="5456.7140000000018"/>
    <n v="5318.9325600000011"/>
    <n v="1.5792228856513548"/>
  </r>
  <r>
    <s v="ORD-2024-211453"/>
    <d v="2025-02-07T00:00:00"/>
    <x v="0"/>
    <x v="2"/>
    <x v="6"/>
    <d v="2024-04-04T00:00:00"/>
    <d v="2024-04-24T00:00:00"/>
    <d v="2024-04-24T00:00:00"/>
    <n v="20"/>
    <x v="1"/>
    <x v="1"/>
    <s v="Frankfurt"/>
    <s v="Non-Profit"/>
    <x v="3"/>
    <x v="6"/>
    <x v="5"/>
    <x v="483"/>
    <n v="683.42"/>
    <s v="Medium"/>
    <n v="951.51"/>
    <n v="951.51"/>
    <n v="0"/>
    <n v="14"/>
    <n v="0"/>
    <n v="13321.14"/>
    <n v="13321.14"/>
    <n v="9567.8799999999992"/>
    <n v="3753.26"/>
    <n v="3753.26"/>
    <n v="1.3922770770536421"/>
  </r>
  <r>
    <s v="ORD-2025-244832"/>
    <d v="2025-02-09T00:00:00"/>
    <x v="0"/>
    <x v="0"/>
    <x v="7"/>
    <d v="2025-09-11T00:00:00"/>
    <d v="2025-09-28T00:00:00"/>
    <d v="2025-09-28T00:00:00"/>
    <n v="17"/>
    <x v="3"/>
    <x v="5"/>
    <s v="Nairobi"/>
    <s v="Non-Profit"/>
    <x v="0"/>
    <x v="5"/>
    <x v="0"/>
    <x v="484"/>
    <n v="891.46"/>
    <s v="Medium"/>
    <n v="728.61"/>
    <n v="728.61"/>
    <n v="0.185"/>
    <n v="6"/>
    <n v="134.79284999999999"/>
    <n v="3562.9028999999996"/>
    <n v="3428.1100499999998"/>
    <n v="5348.76"/>
    <n v="-1785.8571000000006"/>
    <n v="-1920.6499500000004"/>
    <n v="0.66611754874026863"/>
  </r>
  <r>
    <s v="ORD-2023-825495"/>
    <d v="2025-02-12T00:00:00"/>
    <x v="0"/>
    <x v="1"/>
    <x v="1"/>
    <d v="2023-11-30T00:00:00"/>
    <d v="2023-11-30T00:00:00"/>
    <d v="2023-11-29T00:00:00"/>
    <n v="-1"/>
    <x v="3"/>
    <x v="11"/>
    <s v="Durban"/>
    <s v="Small Business"/>
    <x v="4"/>
    <x v="2"/>
    <x v="0"/>
    <x v="485"/>
    <n v="275.56"/>
    <s v="Medium"/>
    <n v="630.72"/>
    <n v="630.72"/>
    <n v="0.107"/>
    <n v="23"/>
    <n v="67.487040000000007"/>
    <n v="12954.358080000002"/>
    <n v="12886.871040000002"/>
    <n v="6337.88"/>
    <n v="6616.4780800000017"/>
    <n v="6548.9910400000017"/>
    <n v="2.043957613586878"/>
  </r>
  <r>
    <s v="ORD-2023-912395"/>
    <d v="2025-02-15T00:00:00"/>
    <x v="0"/>
    <x v="1"/>
    <x v="5"/>
    <d v="2023-07-26T00:00:00"/>
    <d v="2023-08-25T00:00:00"/>
    <d v="2023-08-25T00:00:00"/>
    <n v="30"/>
    <x v="2"/>
    <x v="10"/>
    <s v="New York"/>
    <s v="Consumer"/>
    <x v="1"/>
    <x v="13"/>
    <x v="5"/>
    <x v="486"/>
    <n v="1261.48"/>
    <s v="Medium"/>
    <n v="1643.18"/>
    <n v="1643.18"/>
    <n v="0.151"/>
    <n v="23"/>
    <n v="248.12018"/>
    <n v="32086.37586"/>
    <n v="31838.255679999998"/>
    <n v="29014.04"/>
    <n v="3072.3358599999992"/>
    <n v="2824.2156799999975"/>
    <n v="1.1058913498430414"/>
  </r>
  <r>
    <s v="ORD-2024-389102"/>
    <d v="2025-02-15T00:00:00"/>
    <x v="0"/>
    <x v="2"/>
    <x v="3"/>
    <d v="2024-06-15T00:00:00"/>
    <d v="2024-07-06T00:00:00"/>
    <d v="2024-07-06T00:00:00"/>
    <n v="21"/>
    <x v="2"/>
    <x v="2"/>
    <s v="Toronto"/>
    <s v="Enterprise"/>
    <x v="0"/>
    <x v="1"/>
    <x v="6"/>
    <x v="487"/>
    <n v="817.23"/>
    <s v="Medium"/>
    <n v="1467.17"/>
    <n v="1467.17"/>
    <n v="0.245"/>
    <n v="9"/>
    <n v="359.45665000000002"/>
    <n v="9969.4201499999999"/>
    <n v="9609.9634999999998"/>
    <n v="7355.07"/>
    <n v="2614.3501500000002"/>
    <n v="2254.8935000000001"/>
    <n v="1.3554487108892235"/>
  </r>
  <r>
    <s v="ORD-2023-309373"/>
    <d v="2025-02-15T00:00:00"/>
    <x v="0"/>
    <x v="1"/>
    <x v="5"/>
    <d v="2023-07-05T00:00:00"/>
    <d v="2023-07-14T00:00:00"/>
    <d v="2023-07-14T00:00:00"/>
    <n v="9"/>
    <x v="2"/>
    <x v="6"/>
    <s v="Brasília"/>
    <s v="Enterprise"/>
    <x v="3"/>
    <x v="11"/>
    <x v="4"/>
    <x v="488"/>
    <n v="578.85"/>
    <s v="Medium"/>
    <n v="998.76"/>
    <n v="998.76"/>
    <n v="8.2000000000000003E-2"/>
    <n v="28"/>
    <n v="81.898319999999998"/>
    <n v="25672.127039999999"/>
    <n v="25590.228719999999"/>
    <n v="16207.800000000001"/>
    <n v="9464.3270399999983"/>
    <n v="9382.4287199999981"/>
    <n v="1.5839365638766518"/>
  </r>
  <r>
    <s v="ORD-2024-902741"/>
    <d v="2025-02-16T00:00:00"/>
    <x v="0"/>
    <x v="2"/>
    <x v="2"/>
    <d v="2024-12-23T00:00:00"/>
    <d v="2025-01-11T00:00:00"/>
    <d v="2025-01-11T00:00:00"/>
    <n v="19"/>
    <x v="1"/>
    <x v="1"/>
    <s v="Berlin"/>
    <s v="Education"/>
    <x v="1"/>
    <x v="8"/>
    <x v="1"/>
    <x v="489"/>
    <n v="501.81"/>
    <s v="Medium"/>
    <n v="921.62"/>
    <n v="921.62"/>
    <n v="0.01"/>
    <n v="9"/>
    <n v="9.2162000000000006"/>
    <n v="8211.6342000000004"/>
    <n v="8202.4179999999997"/>
    <n v="4516.29"/>
    <n v="3695.3442000000005"/>
    <n v="3686.1279999999997"/>
    <n v="1.8182256232438574"/>
  </r>
  <r>
    <s v="ORD-2023-906481"/>
    <d v="2025-02-17T00:00:00"/>
    <x v="0"/>
    <x v="1"/>
    <x v="11"/>
    <d v="2023-05-02T00:00:00"/>
    <d v="2023-05-18T00:00:00"/>
    <d v="2023-05-18T00:00:00"/>
    <n v="16"/>
    <x v="0"/>
    <x v="4"/>
    <s v="Delhi"/>
    <s v="Small Business"/>
    <x v="4"/>
    <x v="8"/>
    <x v="3"/>
    <x v="490"/>
    <n v="1463.92"/>
    <s v="High"/>
    <n v="2252.2399999999998"/>
    <n v="2252.2399999999998"/>
    <n v="0.11799999999999999"/>
    <n v="44"/>
    <n v="265.76431999999994"/>
    <n v="87404.929919999995"/>
    <n v="87139.165599999993"/>
    <n v="64412.480000000003"/>
    <n v="22992.449919999992"/>
    <n v="22726.68559999999"/>
    <n v="1.3569564457074155"/>
  </r>
  <r>
    <s v="ORD-2024-232632"/>
    <d v="2025-02-19T00:00:00"/>
    <x v="0"/>
    <x v="2"/>
    <x v="0"/>
    <d v="2024-02-14T00:00:00"/>
    <d v="2024-02-14T00:00:00"/>
    <d v="2024-02-14T00:00:00"/>
    <n v="0"/>
    <x v="0"/>
    <x v="3"/>
    <s v="Beijing"/>
    <s v="Corporate"/>
    <x v="0"/>
    <x v="1"/>
    <x v="5"/>
    <x v="491"/>
    <n v="65.930000000000007"/>
    <s v="Low"/>
    <n v="84.9"/>
    <n v="84.9"/>
    <n v="0.25900000000000001"/>
    <n v="23"/>
    <n v="21.989100000000001"/>
    <n v="1446.9507000000001"/>
    <n v="1424.9616000000001"/>
    <n v="1516.39"/>
    <n v="-69.439300000000003"/>
    <n v="-91.428400000000011"/>
    <n v="0.95420749279538908"/>
  </r>
  <r>
    <s v="ORD-2024-783321"/>
    <d v="2025-02-21T00:00:00"/>
    <x v="0"/>
    <x v="2"/>
    <x v="1"/>
    <d v="2024-11-20T00:00:00"/>
    <d v="2024-12-15T00:00:00"/>
    <d v="2024-12-15T00:00:00"/>
    <n v="25"/>
    <x v="1"/>
    <x v="8"/>
    <s v="Paris"/>
    <s v="Corporate"/>
    <x v="2"/>
    <x v="12"/>
    <x v="6"/>
    <x v="492"/>
    <n v="1203.58"/>
    <s v="Medium"/>
    <n v="1856.16"/>
    <n v="1856.16"/>
    <n v="0.129"/>
    <n v="22"/>
    <n v="239.44464000000002"/>
    <n v="35567.737920000007"/>
    <n v="35328.293280000005"/>
    <n v="26478.76"/>
    <n v="9088.9779200000085"/>
    <n v="8849.5332800000069"/>
    <n v="1.3432554213263765"/>
  </r>
  <r>
    <s v="ORD-2023-613287"/>
    <d v="2025-02-25T00:00:00"/>
    <x v="0"/>
    <x v="1"/>
    <x v="9"/>
    <d v="2023-03-31T00:00:00"/>
    <d v="2023-04-12T00:00:00"/>
    <d v="2023-04-12T00:00:00"/>
    <n v="12"/>
    <x v="3"/>
    <x v="5"/>
    <s v="Mombasa"/>
    <s v="Small Business"/>
    <x v="2"/>
    <x v="4"/>
    <x v="1"/>
    <x v="493"/>
    <n v="304.22000000000003"/>
    <s v="Low"/>
    <n v="393.31"/>
    <n v="393.31"/>
    <n v="0.26500000000000001"/>
    <n v="15"/>
    <n v="104.22715000000001"/>
    <n v="4336.2427499999994"/>
    <n v="4232.0155999999997"/>
    <n v="4563.3"/>
    <n v="-227.05725000000075"/>
    <n v="-331.28440000000046"/>
    <n v="0.95024275195582131"/>
  </r>
  <r>
    <s v="ORD-2024-836421"/>
    <d v="2025-02-28T00:00:00"/>
    <x v="0"/>
    <x v="2"/>
    <x v="2"/>
    <d v="2024-12-14T00:00:00"/>
    <d v="2025-01-12T00:00:00"/>
    <d v="2025-01-12T00:00:00"/>
    <n v="29"/>
    <x v="0"/>
    <x v="3"/>
    <s v="Shenzhen"/>
    <s v="Education"/>
    <x v="2"/>
    <x v="5"/>
    <x v="2"/>
    <x v="494"/>
    <n v="1412.15"/>
    <s v="Medium"/>
    <n v="1631.04"/>
    <n v="1631.04"/>
    <n v="8.9999999999999993E-3"/>
    <n v="6"/>
    <n v="14.679359999999999"/>
    <n v="9698.1638399999993"/>
    <n v="9683.4844799999992"/>
    <n v="8472.9000000000015"/>
    <n v="1225.2638399999978"/>
    <n v="1210.5844799999977"/>
    <n v="1.1446097369259636"/>
  </r>
  <r>
    <s v="ORD-2023-867285"/>
    <d v="2025-03-03T00:00:00"/>
    <x v="0"/>
    <x v="1"/>
    <x v="6"/>
    <d v="2023-04-12T00:00:00"/>
    <d v="2023-04-17T00:00:00"/>
    <d v="2023-04-17T00:00:00"/>
    <n v="5"/>
    <x v="1"/>
    <x v="8"/>
    <s v="Lyon"/>
    <s v="Enterprise"/>
    <x v="3"/>
    <x v="2"/>
    <x v="3"/>
    <x v="495"/>
    <n v="1087.81"/>
    <s v="High"/>
    <n v="2323.87"/>
    <n v="2323.87"/>
    <n v="9.4E-2"/>
    <n v="13"/>
    <n v="218.44378"/>
    <n v="27370.540859999997"/>
    <n v="27152.097079999996"/>
    <n v="14141.529999999999"/>
    <n v="13229.010859999999"/>
    <n v="13010.567079999997"/>
    <n v="1.9354723894797805"/>
  </r>
  <r>
    <s v="ORD-2024-164288"/>
    <d v="2025-03-06T00:00:00"/>
    <x v="0"/>
    <x v="2"/>
    <x v="2"/>
    <d v="2024-12-21T00:00:00"/>
    <d v="2024-12-26T00:00:00"/>
    <d v="2024-12-26T00:00:00"/>
    <n v="5"/>
    <x v="2"/>
    <x v="10"/>
    <s v="San Francisco"/>
    <s v="Consumer"/>
    <x v="4"/>
    <x v="13"/>
    <x v="6"/>
    <x v="496"/>
    <n v="699.57"/>
    <s v="Medium"/>
    <n v="572.71"/>
    <n v="572.71"/>
    <n v="0.192"/>
    <n v="26"/>
    <n v="109.96032000000001"/>
    <n v="12031.491680000001"/>
    <n v="11921.531360000001"/>
    <n v="18188.82"/>
    <n v="-6157.3283199999987"/>
    <n v="-6267.2886399999988"/>
    <n v="0.66147730748888611"/>
  </r>
  <r>
    <s v="ORD-2025-354346"/>
    <d v="2025-03-08T00:00:00"/>
    <x v="0"/>
    <x v="0"/>
    <x v="10"/>
    <d v="2025-01-09T00:00:00"/>
    <d v="2025-01-15T00:00:00"/>
    <d v="2025-01-15T00:00:00"/>
    <n v="6"/>
    <x v="0"/>
    <x v="3"/>
    <s v="Beijing"/>
    <s v="Education"/>
    <x v="2"/>
    <x v="4"/>
    <x v="1"/>
    <x v="497"/>
    <n v="304.77999999999997"/>
    <s v="Low"/>
    <n v="537.27"/>
    <n v="537.27"/>
    <n v="0.187"/>
    <n v="8"/>
    <n v="100.46948999999999"/>
    <n v="3494.4040799999998"/>
    <n v="3393.9345899999998"/>
    <n v="2438.2399999999998"/>
    <n v="1056.16408"/>
    <n v="955.69459000000006"/>
    <n v="1.4331665791718617"/>
  </r>
  <r>
    <s v="ORD-2025-501927"/>
    <d v="2025-03-10T00:00:00"/>
    <x v="0"/>
    <x v="0"/>
    <x v="9"/>
    <d v="2025-03-03T00:00:00"/>
    <d v="2025-03-24T00:00:00"/>
    <d v="2025-03-24T00:00:00"/>
    <n v="21"/>
    <x v="3"/>
    <x v="9"/>
    <s v="Abuja"/>
    <s v="Enterprise"/>
    <x v="3"/>
    <x v="14"/>
    <x v="5"/>
    <x v="498"/>
    <n v="555.95000000000005"/>
    <s v="Low"/>
    <n v="468.09"/>
    <n v="468.09"/>
    <n v="0.14199999999999999"/>
    <n v="11"/>
    <n v="66.468779999999995"/>
    <n v="4417.8334199999999"/>
    <n v="4351.3646399999998"/>
    <n v="6115.4500000000007"/>
    <n v="-1697.6165800000008"/>
    <n v="-1764.0853600000009"/>
    <n v="0.72240528824534567"/>
  </r>
  <r>
    <s v="ORD-2023-430904"/>
    <d v="2025-03-10T00:00:00"/>
    <x v="0"/>
    <x v="1"/>
    <x v="10"/>
    <d v="2023-01-27T00:00:00"/>
    <d v="2023-01-31T00:00:00"/>
    <d v="2023-01-31T00:00:00"/>
    <n v="4"/>
    <x v="1"/>
    <x v="7"/>
    <s v="Manchester"/>
    <s v="Enterprise"/>
    <x v="2"/>
    <x v="0"/>
    <x v="0"/>
    <x v="499"/>
    <n v="941.2"/>
    <s v="Medium"/>
    <n v="668.02"/>
    <n v="668.02"/>
    <n v="0.22"/>
    <n v="16"/>
    <n v="146.96439999999998"/>
    <n v="8336.8896000000004"/>
    <n v="8189.9252000000006"/>
    <n v="15059.2"/>
    <n v="-6722.3104000000003"/>
    <n v="-6869.2748000000001"/>
    <n v="0.55360773480662984"/>
  </r>
  <r>
    <s v="ORD-2023-521818"/>
    <d v="2025-03-11T00:00:00"/>
    <x v="0"/>
    <x v="1"/>
    <x v="10"/>
    <d v="2023-01-22T00:00:00"/>
    <d v="2023-01-30T00:00:00"/>
    <d v="2023-01-30T00:00:00"/>
    <n v="8"/>
    <x v="2"/>
    <x v="10"/>
    <s v="San Francisco"/>
    <s v="Small Business"/>
    <x v="2"/>
    <x v="3"/>
    <x v="4"/>
    <x v="500"/>
    <n v="413.52"/>
    <s v="Medium"/>
    <n v="1004.34"/>
    <n v="1004.34"/>
    <n v="0.111"/>
    <n v="18"/>
    <n v="111.48174"/>
    <n v="16071.44868"/>
    <n v="15959.96694"/>
    <n v="7443.36"/>
    <n v="8628.0886800000007"/>
    <n v="8516.6069400000015"/>
    <n v="2.1591658444573421"/>
  </r>
  <r>
    <s v="ORD-2025-650719"/>
    <d v="2025-03-11T00:00:00"/>
    <x v="0"/>
    <x v="0"/>
    <x v="0"/>
    <d v="2025-02-12T00:00:00"/>
    <d v="2025-02-28T00:00:00"/>
    <d v="2025-02-28T00:00:00"/>
    <n v="16"/>
    <x v="2"/>
    <x v="6"/>
    <s v="São Paulo"/>
    <s v="Non-Profit"/>
    <x v="3"/>
    <x v="11"/>
    <x v="3"/>
    <x v="501"/>
    <n v="414.95"/>
    <s v="Medium"/>
    <n v="1027.73"/>
    <n v="1027.73"/>
    <n v="6.3E-2"/>
    <n v="8"/>
    <n v="64.746989999999997"/>
    <n v="7703.8640800000003"/>
    <n v="7639.1170900000006"/>
    <n v="3319.6"/>
    <n v="4384.2640800000008"/>
    <n v="4319.5170900000012"/>
    <n v="2.3207205928425112"/>
  </r>
  <r>
    <s v="ORD-2025-537785"/>
    <d v="2025-03-14T00:00:00"/>
    <x v="0"/>
    <x v="0"/>
    <x v="4"/>
    <d v="2025-08-05T00:00:00"/>
    <d v="2025-08-14T00:00:00"/>
    <d v="2025-08-14T00:00:00"/>
    <n v="9"/>
    <x v="1"/>
    <x v="7"/>
    <s v="London"/>
    <s v="Non-Profit"/>
    <x v="3"/>
    <x v="2"/>
    <x v="2"/>
    <x v="502"/>
    <n v="41.76"/>
    <s v="Low"/>
    <n v="45.19"/>
    <n v="45.19"/>
    <n v="0.17899999999999999"/>
    <n v="23"/>
    <n v="8.08901"/>
    <n v="853.32276999999988"/>
    <n v="845.23375999999985"/>
    <n v="960.4799999999999"/>
    <n v="-107.15723000000003"/>
    <n v="-115.24624000000006"/>
    <n v="0.88843366858237549"/>
  </r>
  <r>
    <s v="ORD-2024-605518"/>
    <d v="2025-03-14T00:00:00"/>
    <x v="0"/>
    <x v="2"/>
    <x v="11"/>
    <d v="2024-05-30T00:00:00"/>
    <d v="2024-06-13T00:00:00"/>
    <d v="2024-06-13T00:00:00"/>
    <n v="14"/>
    <x v="2"/>
    <x v="10"/>
    <s v="San Francisco"/>
    <s v="Small Business"/>
    <x v="1"/>
    <x v="9"/>
    <x v="1"/>
    <x v="503"/>
    <n v="157.78"/>
    <s v="Low"/>
    <n v="361.1"/>
    <n v="361.1"/>
    <n v="0.187"/>
    <n v="9"/>
    <n v="67.525700000000001"/>
    <n v="2642.1686999999997"/>
    <n v="2574.6429999999996"/>
    <n v="1420.02"/>
    <n v="1222.1486999999997"/>
    <n v="1154.6229999999996"/>
    <n v="1.8606559766763846"/>
  </r>
  <r>
    <s v="ORD-2024-584090"/>
    <d v="2025-03-15T00:00:00"/>
    <x v="0"/>
    <x v="2"/>
    <x v="3"/>
    <d v="2024-06-07T00:00:00"/>
    <d v="2024-06-26T00:00:00"/>
    <d v="2024-06-26T00:00:00"/>
    <n v="19"/>
    <x v="1"/>
    <x v="1"/>
    <s v="Berlin"/>
    <s v="Non-Profit"/>
    <x v="4"/>
    <x v="13"/>
    <x v="2"/>
    <x v="504"/>
    <n v="1064.32"/>
    <s v="Medium"/>
    <n v="1848.39"/>
    <n v="1848.39"/>
    <n v="7.2999999999999995E-2"/>
    <n v="38"/>
    <n v="134.93247"/>
    <n v="65111.38614000001"/>
    <n v="64976.45367000001"/>
    <n v="40444.159999999996"/>
    <n v="24667.226140000013"/>
    <n v="24532.293670000014"/>
    <n v="1.6099082324864706"/>
  </r>
  <r>
    <s v="ORD-2023-883066"/>
    <d v="2025-03-21T00:00:00"/>
    <x v="0"/>
    <x v="1"/>
    <x v="4"/>
    <d v="2023-08-12T00:00:00"/>
    <d v="2023-09-06T00:00:00"/>
    <d v="2023-09-06T00:00:00"/>
    <n v="25"/>
    <x v="0"/>
    <x v="3"/>
    <s v="Shanghai"/>
    <s v="Small Business"/>
    <x v="1"/>
    <x v="11"/>
    <x v="2"/>
    <x v="505"/>
    <n v="950.77"/>
    <s v="Medium"/>
    <n v="694.78"/>
    <n v="694.78"/>
    <n v="8.4000000000000005E-2"/>
    <n v="14"/>
    <n v="58.361519999999999"/>
    <n v="8909.8587200000002"/>
    <n v="8851.4971999999998"/>
    <n v="13310.779999999999"/>
    <n v="-4400.9212799999987"/>
    <n v="-4459.282799999999"/>
    <n v="0.669371646139445"/>
  </r>
  <r>
    <s v="ORD-2023-603238"/>
    <d v="2025-03-23T00:00:00"/>
    <x v="0"/>
    <x v="1"/>
    <x v="4"/>
    <d v="2023-08-21T00:00:00"/>
    <d v="2023-09-04T00:00:00"/>
    <d v="2023-09-04T00:00:00"/>
    <n v="14"/>
    <x v="2"/>
    <x v="2"/>
    <s v="Montreal"/>
    <s v="Education"/>
    <x v="0"/>
    <x v="9"/>
    <x v="2"/>
    <x v="506"/>
    <n v="178.19"/>
    <s v="Low"/>
    <n v="284.43"/>
    <n v="284.43"/>
    <n v="8.8999999999999996E-2"/>
    <n v="8"/>
    <n v="25.31427"/>
    <n v="2072.9258400000003"/>
    <n v="2047.6115700000003"/>
    <n v="1425.52"/>
    <n v="647.40584000000035"/>
    <n v="622.09157000000027"/>
    <n v="1.4541541612885125"/>
  </r>
  <r>
    <s v="ORD-2023-178249"/>
    <d v="2025-03-24T00:00:00"/>
    <x v="0"/>
    <x v="1"/>
    <x v="2"/>
    <d v="2023-12-29T00:00:00"/>
    <d v="2024-01-20T00:00:00"/>
    <d v="2024-01-20T00:00:00"/>
    <n v="22"/>
    <x v="3"/>
    <x v="5"/>
    <s v="Kisumu"/>
    <s v="Corporate"/>
    <x v="3"/>
    <x v="1"/>
    <x v="1"/>
    <x v="507"/>
    <n v="1395.49"/>
    <s v="Medium"/>
    <n v="1679.42"/>
    <n v="1679.42"/>
    <n v="0.20300000000000001"/>
    <n v="12"/>
    <n v="340.92226000000005"/>
    <n v="16061.972879999999"/>
    <n v="15721.05062"/>
    <n v="16745.88"/>
    <n v="-683.90712000000167"/>
    <n v="-1024.829380000001"/>
    <n v="0.95915967867917351"/>
  </r>
  <r>
    <s v="ORD-2024-588972"/>
    <d v="2025-03-24T00:00:00"/>
    <x v="0"/>
    <x v="2"/>
    <x v="1"/>
    <d v="2024-11-02T00:00:00"/>
    <d v="2024-11-29T00:00:00"/>
    <d v="2024-11-29T00:00:00"/>
    <n v="27"/>
    <x v="2"/>
    <x v="6"/>
    <s v="Brasília"/>
    <s v="Small Business"/>
    <x v="3"/>
    <x v="7"/>
    <x v="4"/>
    <x v="508"/>
    <n v="1363.51"/>
    <s v="Medium"/>
    <n v="1433.9"/>
    <n v="1433.9"/>
    <n v="5.7000000000000002E-2"/>
    <n v="8"/>
    <n v="81.732300000000009"/>
    <n v="10817.3416"/>
    <n v="10735.6093"/>
    <n v="10908.08"/>
    <n v="-90.738400000000183"/>
    <n v="-172.47069999999985"/>
    <n v="0.99168154248960405"/>
  </r>
  <r>
    <s v="ORD-2025-184082"/>
    <d v="2025-03-25T00:00:00"/>
    <x v="0"/>
    <x v="0"/>
    <x v="3"/>
    <d v="2025-06-19T00:00:00"/>
    <d v="2025-07-12T00:00:00"/>
    <d v="2025-07-12T00:00:00"/>
    <n v="23"/>
    <x v="1"/>
    <x v="7"/>
    <s v="London"/>
    <s v="Non-Profit"/>
    <x v="3"/>
    <x v="15"/>
    <x v="4"/>
    <x v="509"/>
    <n v="801.24"/>
    <s v="High"/>
    <n v="1959.09"/>
    <n v="1959.09"/>
    <n v="0.123"/>
    <n v="23"/>
    <n v="240.96806999999998"/>
    <n v="39516.804389999998"/>
    <n v="39275.836319999995"/>
    <n v="18428.52"/>
    <n v="21088.284389999997"/>
    <n v="20847.316319999994"/>
    <n v="2.1443287030103337"/>
  </r>
  <r>
    <s v="ORD-2023-576840"/>
    <d v="2025-03-25T00:00:00"/>
    <x v="0"/>
    <x v="1"/>
    <x v="1"/>
    <d v="2023-11-19T00:00:00"/>
    <d v="2023-12-13T00:00:00"/>
    <d v="2023-12-13T00:00:00"/>
    <n v="24"/>
    <x v="1"/>
    <x v="8"/>
    <s v="Lyon"/>
    <s v="Non-Profit"/>
    <x v="3"/>
    <x v="14"/>
    <x v="3"/>
    <x v="510"/>
    <n v="1297.42"/>
    <s v="High"/>
    <n v="2742.97"/>
    <n v="2742.97"/>
    <n v="6.9000000000000006E-2"/>
    <n v="9"/>
    <n v="189.26492999999999"/>
    <n v="22983.34563"/>
    <n v="22794.080699999999"/>
    <n v="11676.78"/>
    <n v="11306.565629999999"/>
    <n v="11117.300699999998"/>
    <n v="1.9682948235729369"/>
  </r>
  <r>
    <s v="ORD-2025-956101"/>
    <d v="2025-03-29T00:00:00"/>
    <x v="0"/>
    <x v="0"/>
    <x v="5"/>
    <d v="2025-07-09T00:00:00"/>
    <d v="2025-07-18T00:00:00"/>
    <d v="2025-07-18T00:00:00"/>
    <n v="9"/>
    <x v="2"/>
    <x v="2"/>
    <s v="Vancouver"/>
    <s v="Education"/>
    <x v="0"/>
    <x v="7"/>
    <x v="0"/>
    <x v="511"/>
    <n v="57.96"/>
    <s v="Low"/>
    <n v="88.51"/>
    <n v="88.51"/>
    <n v="4.2999999999999997E-2"/>
    <n v="7"/>
    <n v="3.80593"/>
    <n v="592.92849000000001"/>
    <n v="589.12256000000002"/>
    <n v="405.72"/>
    <n v="187.20848999999998"/>
    <n v="183.40255999999999"/>
    <n v="1.4614228778467908"/>
  </r>
  <r>
    <s v="ORD-2024-474999"/>
    <d v="2025-03-30T00:00:00"/>
    <x v="0"/>
    <x v="2"/>
    <x v="2"/>
    <d v="2024-12-27T00:00:00"/>
    <d v="2025-01-02T00:00:00"/>
    <d v="2025-01-02T00:00:00"/>
    <n v="6"/>
    <x v="1"/>
    <x v="1"/>
    <s v="Frankfurt"/>
    <s v="Education"/>
    <x v="3"/>
    <x v="9"/>
    <x v="0"/>
    <x v="512"/>
    <n v="1391.99"/>
    <s v="High"/>
    <n v="3469.7"/>
    <n v="3469.7"/>
    <n v="0.184"/>
    <n v="23"/>
    <n v="638.4248"/>
    <n v="65119.329599999997"/>
    <n v="64480.904799999997"/>
    <n v="32015.77"/>
    <n v="33103.559599999993"/>
    <n v="32465.134799999996"/>
    <n v="2.0339766808669602"/>
  </r>
  <r>
    <s v="ORD-2023-427304"/>
    <d v="2025-03-30T00:00:00"/>
    <x v="0"/>
    <x v="1"/>
    <x v="3"/>
    <d v="2023-06-09T00:00:00"/>
    <d v="2023-06-19T00:00:00"/>
    <d v="2023-06-19T00:00:00"/>
    <n v="10"/>
    <x v="0"/>
    <x v="3"/>
    <s v="Beijing"/>
    <s v="Enterprise"/>
    <x v="1"/>
    <x v="9"/>
    <x v="3"/>
    <x v="513"/>
    <n v="339.61"/>
    <s v="Medium"/>
    <n v="621.02"/>
    <n v="621.02"/>
    <n v="7.0999999999999994E-2"/>
    <n v="10"/>
    <n v="44.092419999999997"/>
    <n v="5769.2758000000003"/>
    <n v="5725.1833800000004"/>
    <n v="3396.1000000000004"/>
    <n v="2373.1758"/>
    <n v="2329.08338"/>
    <n v="1.6987944406819586"/>
  </r>
  <r>
    <s v="ORD-2025-698069"/>
    <d v="2025-03-31T00:00:00"/>
    <x v="0"/>
    <x v="0"/>
    <x v="3"/>
    <d v="2025-06-03T00:00:00"/>
    <d v="2025-06-10T00:00:00"/>
    <d v="2025-06-10T00:00:00"/>
    <n v="7"/>
    <x v="2"/>
    <x v="2"/>
    <s v="Toronto"/>
    <s v="Consumer"/>
    <x v="0"/>
    <x v="6"/>
    <x v="6"/>
    <x v="514"/>
    <n v="75.180000000000007"/>
    <s v="Low"/>
    <n v="53.45"/>
    <n v="53.45"/>
    <n v="0.157"/>
    <n v="17"/>
    <n v="8.3916500000000003"/>
    <n v="765.99195000000009"/>
    <n v="757.60030000000006"/>
    <n v="1278.0600000000002"/>
    <n v="-512.06805000000008"/>
    <n v="-520.45970000000011"/>
    <n v="0.59933958499600959"/>
  </r>
  <r>
    <s v="ORD-2023-869884"/>
    <d v="2025-04-01T00:00:00"/>
    <x v="1"/>
    <x v="1"/>
    <x v="9"/>
    <d v="2023-03-02T00:00:00"/>
    <d v="2023-03-05T00:00:00"/>
    <d v="2023-03-05T00:00:00"/>
    <n v="3"/>
    <x v="2"/>
    <x v="6"/>
    <s v="Brasília"/>
    <s v="Enterprise"/>
    <x v="3"/>
    <x v="12"/>
    <x v="3"/>
    <x v="515"/>
    <n v="1473.58"/>
    <s v="High"/>
    <n v="3436.52"/>
    <n v="3436.52"/>
    <n v="0.108"/>
    <n v="8"/>
    <n v="371.14416"/>
    <n v="24523.006720000001"/>
    <n v="24151.862560000001"/>
    <n v="11788.64"/>
    <n v="12734.366720000002"/>
    <n v="12363.222560000002"/>
    <n v="2.0802235643806242"/>
  </r>
  <r>
    <s v="ORD-2025-649239"/>
    <d v="2025-04-04T00:00:00"/>
    <x v="1"/>
    <x v="0"/>
    <x v="10"/>
    <d v="2025-01-17T00:00:00"/>
    <d v="2025-01-24T00:00:00"/>
    <d v="2025-01-24T00:00:00"/>
    <n v="7"/>
    <x v="2"/>
    <x v="10"/>
    <s v="Austin"/>
    <s v="Enterprise"/>
    <x v="2"/>
    <x v="12"/>
    <x v="5"/>
    <x v="516"/>
    <n v="142.09"/>
    <s v="Low"/>
    <n v="218.5"/>
    <n v="218.5"/>
    <n v="0.11899999999999999"/>
    <n v="11"/>
    <n v="26.0015"/>
    <n v="2117.4834999999998"/>
    <n v="2091.482"/>
    <n v="1562.99"/>
    <n v="554.49349999999981"/>
    <n v="528.49199999999996"/>
    <n v="1.3547645858258848"/>
  </r>
  <r>
    <s v="ORD-2023-975863"/>
    <d v="2025-04-04T00:00:00"/>
    <x v="1"/>
    <x v="1"/>
    <x v="1"/>
    <d v="2023-11-20T00:00:00"/>
    <d v="2023-12-05T00:00:00"/>
    <d v="2023-12-05T00:00:00"/>
    <n v="15"/>
    <x v="0"/>
    <x v="0"/>
    <s v="Tokyo"/>
    <s v="Enterprise"/>
    <x v="1"/>
    <x v="1"/>
    <x v="4"/>
    <x v="517"/>
    <n v="354.24"/>
    <s v="Low"/>
    <n v="249.87"/>
    <n v="249.87"/>
    <n v="0"/>
    <n v="6"/>
    <n v="0"/>
    <n v="1499.22"/>
    <n v="1499.22"/>
    <n v="2125.44"/>
    <n v="-626.22"/>
    <n v="-626.22"/>
    <n v="0.70536924119241196"/>
  </r>
  <r>
    <s v="ORD-2024-919471"/>
    <d v="2025-04-06T00:00:00"/>
    <x v="1"/>
    <x v="2"/>
    <x v="3"/>
    <d v="2024-06-29T00:00:00"/>
    <d v="2024-07-26T00:00:00"/>
    <d v="2024-07-26T00:00:00"/>
    <n v="27"/>
    <x v="3"/>
    <x v="11"/>
    <s v="Durban"/>
    <s v="Enterprise"/>
    <x v="0"/>
    <x v="11"/>
    <x v="4"/>
    <x v="518"/>
    <n v="5.36"/>
    <s v="Low"/>
    <n v="4.37"/>
    <n v="4.37"/>
    <n v="0.11799999999999999"/>
    <n v="9"/>
    <n v="0.51566000000000001"/>
    <n v="34.689059999999998"/>
    <n v="34.173400000000001"/>
    <n v="48.24"/>
    <n v="-13.550940000000004"/>
    <n v="-14.066600000000001"/>
    <n v="0.71909328358208946"/>
  </r>
  <r>
    <s v="ORD-2024-223618"/>
    <d v="2025-04-07T00:00:00"/>
    <x v="1"/>
    <x v="2"/>
    <x v="3"/>
    <d v="2024-06-10T00:00:00"/>
    <d v="2024-06-11T00:00:00"/>
    <d v="2024-06-11T00:00:00"/>
    <n v="1"/>
    <x v="1"/>
    <x v="7"/>
    <s v="Birmingham"/>
    <s v="Small Business"/>
    <x v="4"/>
    <x v="13"/>
    <x v="0"/>
    <x v="519"/>
    <n v="1187.1300000000001"/>
    <s v="Medium"/>
    <n v="1795.17"/>
    <n v="1795.17"/>
    <n v="1.2E-2"/>
    <n v="17"/>
    <n v="21.54204"/>
    <n v="30151.675319999998"/>
    <n v="30130.133279999998"/>
    <n v="20181.210000000003"/>
    <n v="9970.4653199999957"/>
    <n v="9948.9232799999954"/>
    <n v="1.4940469535771144"/>
  </r>
  <r>
    <s v="ORD-2024-166150"/>
    <d v="2025-04-09T00:00:00"/>
    <x v="1"/>
    <x v="2"/>
    <x v="3"/>
    <d v="2024-06-02T00:00:00"/>
    <d v="2024-06-08T00:00:00"/>
    <d v="2024-06-08T00:00:00"/>
    <n v="6"/>
    <x v="3"/>
    <x v="5"/>
    <s v="Kisumu"/>
    <s v="Consumer"/>
    <x v="4"/>
    <x v="3"/>
    <x v="5"/>
    <x v="520"/>
    <n v="292.94"/>
    <s v="Low"/>
    <n v="356.55"/>
    <n v="356.55"/>
    <n v="0.22900000000000001"/>
    <n v="2"/>
    <n v="81.649950000000004"/>
    <n v="549.80010000000004"/>
    <n v="468.15015000000005"/>
    <n v="585.88"/>
    <n v="-36.079899999999952"/>
    <n v="-117.72984999999994"/>
    <n v="0.93841759404656255"/>
  </r>
  <r>
    <s v="ORD-2024-909942"/>
    <d v="2025-04-09T00:00:00"/>
    <x v="1"/>
    <x v="2"/>
    <x v="3"/>
    <d v="2024-06-09T00:00:00"/>
    <d v="2024-07-07T00:00:00"/>
    <d v="2024-07-07T00:00:00"/>
    <n v="28"/>
    <x v="0"/>
    <x v="3"/>
    <s v="Shenzhen"/>
    <s v="Corporate"/>
    <x v="2"/>
    <x v="5"/>
    <x v="2"/>
    <x v="521"/>
    <n v="550.22"/>
    <s v="Medium"/>
    <n v="1025.05"/>
    <n v="1025.05"/>
    <n v="0"/>
    <n v="27"/>
    <n v="0"/>
    <n v="27676.35"/>
    <n v="27676.35"/>
    <n v="14855.94"/>
    <n v="12820.409999999998"/>
    <n v="12820.409999999998"/>
    <n v="1.8629820798953145"/>
  </r>
  <r>
    <s v="ORD-2024-792558"/>
    <d v="2025-04-10T00:00:00"/>
    <x v="1"/>
    <x v="2"/>
    <x v="8"/>
    <d v="2024-10-16T00:00:00"/>
    <d v="2024-11-08T00:00:00"/>
    <d v="2024-11-08T00:00:00"/>
    <n v="23"/>
    <x v="0"/>
    <x v="0"/>
    <s v="Osaka"/>
    <s v="Small Business"/>
    <x v="1"/>
    <x v="5"/>
    <x v="4"/>
    <x v="522"/>
    <n v="82.14"/>
    <s v="Low"/>
    <n v="166.04"/>
    <n v="166.04"/>
    <n v="0"/>
    <n v="10"/>
    <n v="0"/>
    <n v="1660.3999999999999"/>
    <n v="1660.3999999999999"/>
    <n v="821.4"/>
    <n v="838.99999999999989"/>
    <n v="838.99999999999989"/>
    <n v="2.0214268322376427"/>
  </r>
  <r>
    <s v="ORD-2024-286833"/>
    <d v="2025-04-11T00:00:00"/>
    <x v="1"/>
    <x v="2"/>
    <x v="4"/>
    <d v="2024-08-14T00:00:00"/>
    <d v="2024-09-04T00:00:00"/>
    <d v="2024-09-04T00:00:00"/>
    <n v="21"/>
    <x v="1"/>
    <x v="7"/>
    <s v="Manchester"/>
    <s v="Non-Profit"/>
    <x v="2"/>
    <x v="5"/>
    <x v="1"/>
    <x v="523"/>
    <n v="1138.8"/>
    <s v="High"/>
    <n v="2250.81"/>
    <n v="2250.81"/>
    <n v="0.123"/>
    <n v="12"/>
    <n v="276.84962999999999"/>
    <n v="23687.524440000001"/>
    <n v="23410.67481"/>
    <n v="13665.599999999999"/>
    <n v="10021.924440000003"/>
    <n v="9745.0748100000019"/>
    <n v="1.7333687829293996"/>
  </r>
  <r>
    <s v="ORD-2023-251563"/>
    <d v="2025-04-12T00:00:00"/>
    <x v="1"/>
    <x v="1"/>
    <x v="11"/>
    <d v="2023-05-11T00:00:00"/>
    <d v="2023-06-07T00:00:00"/>
    <d v="2023-06-07T00:00:00"/>
    <n v="27"/>
    <x v="3"/>
    <x v="5"/>
    <s v="Mombasa"/>
    <s v="Corporate"/>
    <x v="2"/>
    <x v="5"/>
    <x v="1"/>
    <x v="524"/>
    <n v="12.85"/>
    <s v="Low"/>
    <n v="15.41"/>
    <n v="15.41"/>
    <n v="0.13700000000000001"/>
    <n v="39"/>
    <n v="2.11117"/>
    <n v="518.65436999999997"/>
    <n v="516.54319999999996"/>
    <n v="501.15"/>
    <n v="17.504369999999994"/>
    <n v="15.393199999999979"/>
    <n v="1.0349284046692606"/>
  </r>
  <r>
    <s v="ORD-2024-155337"/>
    <d v="2025-04-13T00:00:00"/>
    <x v="1"/>
    <x v="2"/>
    <x v="11"/>
    <d v="2024-05-21T00:00:00"/>
    <d v="2024-05-27T00:00:00"/>
    <d v="2024-05-27T00:00:00"/>
    <n v="6"/>
    <x v="3"/>
    <x v="11"/>
    <s v="Johannesburg"/>
    <s v="Non-Profit"/>
    <x v="2"/>
    <x v="13"/>
    <x v="2"/>
    <x v="525"/>
    <n v="1157.51"/>
    <s v="Medium"/>
    <n v="1394.3"/>
    <n v="1394.3"/>
    <n v="0.27800000000000002"/>
    <n v="12"/>
    <n v="387.61540000000002"/>
    <n v="12080.215199999999"/>
    <n v="11692.599799999998"/>
    <n v="13890.119999999999"/>
    <n v="-1809.9048000000003"/>
    <n v="-2197.5202000000008"/>
    <n v="0.86969840433343981"/>
  </r>
  <r>
    <s v="ORD-2024-771210"/>
    <d v="2025-04-14T00:00:00"/>
    <x v="1"/>
    <x v="2"/>
    <x v="7"/>
    <d v="2024-09-14T00:00:00"/>
    <d v="2024-10-05T00:00:00"/>
    <d v="2024-10-05T00:00:00"/>
    <n v="21"/>
    <x v="0"/>
    <x v="3"/>
    <s v="Shanghai"/>
    <s v="Small Business"/>
    <x v="2"/>
    <x v="14"/>
    <x v="0"/>
    <x v="526"/>
    <n v="1405.56"/>
    <s v="High"/>
    <n v="2968.87"/>
    <n v="2968.87"/>
    <n v="0.16900000000000001"/>
    <n v="5"/>
    <n v="501.73903000000001"/>
    <n v="12335.654849999999"/>
    <n v="11833.915819999998"/>
    <n v="7027.7999999999993"/>
    <n v="5307.8548499999997"/>
    <n v="4806.1158199999991"/>
    <n v="1.7552654956031759"/>
  </r>
  <r>
    <s v="ORD-2025-662997"/>
    <d v="2025-04-16T00:00:00"/>
    <x v="1"/>
    <x v="0"/>
    <x v="9"/>
    <d v="2025-03-31T00:00:00"/>
    <d v="2025-04-04T00:00:00"/>
    <d v="2025-04-04T00:00:00"/>
    <n v="4"/>
    <x v="3"/>
    <x v="5"/>
    <s v="Nakuru"/>
    <s v="Corporate"/>
    <x v="3"/>
    <x v="4"/>
    <x v="0"/>
    <x v="527"/>
    <n v="862.08"/>
    <s v="High"/>
    <n v="1952.83"/>
    <n v="1952.83"/>
    <n v="0"/>
    <n v="7"/>
    <n v="0"/>
    <n v="13669.81"/>
    <n v="13669.81"/>
    <n v="6034.56"/>
    <n v="7635.2499999999991"/>
    <n v="7635.2499999999991"/>
    <n v="2.2652538047512989"/>
  </r>
  <r>
    <s v="ORD-2024-478165"/>
    <d v="2025-04-16T00:00:00"/>
    <x v="1"/>
    <x v="2"/>
    <x v="2"/>
    <d v="2024-12-05T00:00:00"/>
    <d v="2024-12-28T00:00:00"/>
    <d v="2024-12-28T00:00:00"/>
    <n v="23"/>
    <x v="2"/>
    <x v="2"/>
    <s v="Vancouver"/>
    <s v="Corporate"/>
    <x v="3"/>
    <x v="9"/>
    <x v="5"/>
    <x v="528"/>
    <n v="107.03"/>
    <s v="Low"/>
    <n v="242.29"/>
    <n v="242.29"/>
    <n v="0.18"/>
    <n v="30"/>
    <n v="43.612199999999994"/>
    <n v="5960.3340000000007"/>
    <n v="5916.7218000000012"/>
    <n v="3210.9"/>
    <n v="2749.4340000000007"/>
    <n v="2705.8218000000011"/>
    <n v="1.8562814164253014"/>
  </r>
  <r>
    <s v="ORD-2025-328504"/>
    <d v="2025-04-17T00:00:00"/>
    <x v="1"/>
    <x v="0"/>
    <x v="10"/>
    <d v="2025-01-27T00:00:00"/>
    <d v="2025-02-15T00:00:00"/>
    <d v="2025-02-15T00:00:00"/>
    <n v="19"/>
    <x v="0"/>
    <x v="3"/>
    <s v="Shenzhen"/>
    <s v="Non-Profit"/>
    <x v="3"/>
    <x v="1"/>
    <x v="1"/>
    <x v="529"/>
    <n v="1253.22"/>
    <s v="High"/>
    <n v="3104.71"/>
    <n v="3104.71"/>
    <n v="0"/>
    <n v="17"/>
    <n v="0"/>
    <n v="52780.07"/>
    <n v="52780.07"/>
    <n v="21304.74"/>
    <n v="31475.329999999998"/>
    <n v="31475.329999999998"/>
    <n v="2.4773862530122401"/>
  </r>
  <r>
    <s v="ORD-2024-851883"/>
    <d v="2025-04-17T00:00:00"/>
    <x v="1"/>
    <x v="2"/>
    <x v="10"/>
    <d v="2024-01-13T00:00:00"/>
    <d v="2024-01-22T00:00:00"/>
    <d v="2024-01-22T00:00:00"/>
    <n v="9"/>
    <x v="0"/>
    <x v="4"/>
    <s v="Mumbai"/>
    <s v="Enterprise"/>
    <x v="4"/>
    <x v="5"/>
    <x v="2"/>
    <x v="530"/>
    <n v="313.60000000000002"/>
    <s v="Low"/>
    <n v="334.28"/>
    <n v="334.28"/>
    <n v="0.14000000000000001"/>
    <n v="22"/>
    <n v="46.799199999999999"/>
    <n v="6324.5775999999996"/>
    <n v="6277.7783999999992"/>
    <n v="6899.2000000000007"/>
    <n v="-574.62240000000111"/>
    <n v="-621.42160000000149"/>
    <n v="0.91671173469387734"/>
  </r>
  <r>
    <s v="ORD-2025-541501"/>
    <d v="2025-04-22T00:00:00"/>
    <x v="1"/>
    <x v="0"/>
    <x v="5"/>
    <d v="2025-07-22T00:00:00"/>
    <d v="2025-08-18T00:00:00"/>
    <d v="2025-08-18T00:00:00"/>
    <n v="27"/>
    <x v="0"/>
    <x v="3"/>
    <s v="Shenzhen"/>
    <s v="Non-Profit"/>
    <x v="4"/>
    <x v="13"/>
    <x v="4"/>
    <x v="531"/>
    <n v="547.32000000000005"/>
    <s v="Low"/>
    <n v="419.17"/>
    <n v="419.17"/>
    <n v="9.1999999999999998E-2"/>
    <n v="14"/>
    <n v="38.563639999999999"/>
    <n v="5328.4890400000004"/>
    <n v="5289.9254000000001"/>
    <n v="7662.4800000000005"/>
    <n v="-2333.9909600000001"/>
    <n v="-2372.5546000000004"/>
    <n v="0.69540005846671049"/>
  </r>
  <r>
    <s v="ORD-2023-422918"/>
    <d v="2025-04-22T00:00:00"/>
    <x v="1"/>
    <x v="1"/>
    <x v="0"/>
    <d v="2023-02-28T00:00:00"/>
    <d v="2023-03-20T00:00:00"/>
    <d v="2023-03-20T00:00:00"/>
    <n v="20"/>
    <x v="1"/>
    <x v="1"/>
    <s v="Berlin"/>
    <s v="Small Business"/>
    <x v="3"/>
    <x v="14"/>
    <x v="0"/>
    <x v="532"/>
    <n v="1200.78"/>
    <s v="High"/>
    <n v="2001.17"/>
    <n v="2001.17"/>
    <n v="0.29199999999999998"/>
    <n v="18"/>
    <n v="584.34163999999998"/>
    <n v="25502.910479999999"/>
    <n v="24918.56884"/>
    <n v="21614.04"/>
    <n v="3888.8704799999978"/>
    <n v="3304.528839999999"/>
    <n v="1.1799233498226152"/>
  </r>
  <r>
    <s v="ORD-2024-638884"/>
    <d v="2025-04-23T00:00:00"/>
    <x v="1"/>
    <x v="2"/>
    <x v="11"/>
    <d v="2024-05-28T00:00:00"/>
    <d v="2024-05-28T00:00:00"/>
    <d v="2024-05-26T00:00:00"/>
    <n v="-2"/>
    <x v="3"/>
    <x v="9"/>
    <s v="Abuja"/>
    <s v="Enterprise"/>
    <x v="2"/>
    <x v="9"/>
    <x v="5"/>
    <x v="533"/>
    <n v="1227.08"/>
    <s v="High"/>
    <n v="1896.62"/>
    <n v="1896.62"/>
    <n v="0"/>
    <n v="18"/>
    <n v="0"/>
    <n v="34139.159999999996"/>
    <n v="34139.159999999996"/>
    <n v="22087.439999999999"/>
    <n v="12051.719999999998"/>
    <n v="12051.719999999998"/>
    <n v="1.5456367962969"/>
  </r>
  <r>
    <s v="ORD-2025-262491"/>
    <d v="2025-04-24T00:00:00"/>
    <x v="1"/>
    <x v="0"/>
    <x v="4"/>
    <d v="2025-08-01T00:00:00"/>
    <d v="2025-08-16T00:00:00"/>
    <d v="2025-08-16T00:00:00"/>
    <n v="15"/>
    <x v="0"/>
    <x v="4"/>
    <s v="Hyderabad"/>
    <s v="Enterprise"/>
    <x v="3"/>
    <x v="6"/>
    <x v="3"/>
    <x v="534"/>
    <n v="24.44"/>
    <s v="Low"/>
    <n v="28.69"/>
    <n v="28.69"/>
    <n v="0.14599999999999999"/>
    <n v="6"/>
    <n v="4.1887400000000001"/>
    <n v="147.00756000000001"/>
    <n v="142.81882000000002"/>
    <n v="146.64000000000001"/>
    <n v="0.36755999999999744"/>
    <n v="-3.8211799999999982"/>
    <n v="1.0025065466448444"/>
  </r>
  <r>
    <s v="ORD-2024-997336"/>
    <d v="2025-04-27T00:00:00"/>
    <x v="1"/>
    <x v="2"/>
    <x v="8"/>
    <d v="2024-10-04T00:00:00"/>
    <d v="2024-11-02T00:00:00"/>
    <d v="2024-11-02T00:00:00"/>
    <n v="29"/>
    <x v="3"/>
    <x v="9"/>
    <s v="Abuja"/>
    <s v="Corporate"/>
    <x v="0"/>
    <x v="9"/>
    <x v="5"/>
    <x v="535"/>
    <n v="412.09"/>
    <s v="Medium"/>
    <n v="968.94"/>
    <n v="968.94"/>
    <n v="9.9000000000000005E-2"/>
    <n v="23"/>
    <n v="95.925060000000016"/>
    <n v="20079.343620000003"/>
    <n v="19983.418560000002"/>
    <n v="9478.07"/>
    <n v="10601.273620000004"/>
    <n v="10505.348560000002"/>
    <n v="2.118505520638696"/>
  </r>
  <r>
    <s v="ORD-2025-725646"/>
    <d v="2025-04-27T00:00:00"/>
    <x v="1"/>
    <x v="0"/>
    <x v="7"/>
    <d v="2025-09-10T00:00:00"/>
    <d v="2025-09-30T00:00:00"/>
    <d v="2025-09-30T00:00:00"/>
    <n v="20"/>
    <x v="3"/>
    <x v="5"/>
    <s v="Mombasa"/>
    <s v="Corporate"/>
    <x v="3"/>
    <x v="1"/>
    <x v="1"/>
    <x v="536"/>
    <n v="1009.48"/>
    <s v="Medium"/>
    <n v="1088.81"/>
    <n v="1088.81"/>
    <n v="0.16"/>
    <n v="6"/>
    <n v="174.20959999999999"/>
    <n v="5487.6023999999998"/>
    <n v="5313.3927999999996"/>
    <n v="6056.88"/>
    <n v="-569.27760000000035"/>
    <n v="-743.48720000000048"/>
    <n v="0.90601141181598444"/>
  </r>
  <r>
    <s v="ORD-2023-868734"/>
    <d v="2025-04-27T00:00:00"/>
    <x v="1"/>
    <x v="1"/>
    <x v="6"/>
    <d v="2023-04-06T00:00:00"/>
    <d v="2023-04-27T00:00:00"/>
    <d v="2023-04-27T00:00:00"/>
    <n v="21"/>
    <x v="1"/>
    <x v="7"/>
    <s v="Manchester"/>
    <s v="Enterprise"/>
    <x v="0"/>
    <x v="7"/>
    <x v="6"/>
    <x v="537"/>
    <n v="1084.79"/>
    <s v="High"/>
    <n v="2484.9899999999998"/>
    <n v="2484.9899999999998"/>
    <n v="3.4000000000000002E-2"/>
    <n v="18"/>
    <n v="84.489660000000001"/>
    <n v="43209.006119999991"/>
    <n v="43124.516459999992"/>
    <n v="19526.22"/>
    <n v="23682.78611999999"/>
    <n v="23598.29645999999"/>
    <n v="2.2128710072917332"/>
  </r>
  <r>
    <s v="ORD-2025-526752"/>
    <d v="2025-04-28T00:00:00"/>
    <x v="1"/>
    <x v="0"/>
    <x v="3"/>
    <d v="2025-06-09T00:00:00"/>
    <d v="2025-06-25T00:00:00"/>
    <d v="2025-06-25T00:00:00"/>
    <n v="16"/>
    <x v="0"/>
    <x v="4"/>
    <s v="Hyderabad"/>
    <s v="Enterprise"/>
    <x v="0"/>
    <x v="13"/>
    <x v="1"/>
    <x v="538"/>
    <n v="527.33000000000004"/>
    <s v="Medium"/>
    <n v="911.72"/>
    <n v="911.72"/>
    <n v="0.14399999999999999"/>
    <n v="25"/>
    <n v="131.28767999999999"/>
    <n v="19510.808000000001"/>
    <n v="19379.52032"/>
    <n v="13183.250000000002"/>
    <n v="6327.5579999999991"/>
    <n v="6196.2703199999978"/>
    <n v="1.4799695067604723"/>
  </r>
  <r>
    <s v="ORD-2023-374486"/>
    <d v="2025-04-28T00:00:00"/>
    <x v="1"/>
    <x v="1"/>
    <x v="3"/>
    <d v="2023-06-24T00:00:00"/>
    <d v="2023-06-24T00:00:00"/>
    <d v="2023-06-23T00:00:00"/>
    <n v="-1"/>
    <x v="2"/>
    <x v="6"/>
    <s v="Rio de Janeiro"/>
    <s v="Non-Profit"/>
    <x v="1"/>
    <x v="2"/>
    <x v="6"/>
    <x v="539"/>
    <n v="804.01"/>
    <s v="Medium"/>
    <n v="1405.07"/>
    <n v="1405.07"/>
    <n v="9.6000000000000002E-2"/>
    <n v="8"/>
    <n v="134.88672"/>
    <n v="10161.46624"/>
    <n v="10026.579519999999"/>
    <n v="6432.08"/>
    <n v="3729.3862399999998"/>
    <n v="3594.4995199999994"/>
    <n v="1.5798103008669047"/>
  </r>
  <r>
    <s v="ORD-2025-626047"/>
    <d v="2025-05-02T00:00:00"/>
    <x v="1"/>
    <x v="0"/>
    <x v="6"/>
    <d v="2025-04-28T00:00:00"/>
    <d v="2025-05-15T00:00:00"/>
    <d v="2025-05-15T00:00:00"/>
    <n v="17"/>
    <x v="0"/>
    <x v="0"/>
    <s v="Nagoya"/>
    <s v="Education"/>
    <x v="3"/>
    <x v="0"/>
    <x v="4"/>
    <x v="540"/>
    <n v="691.19"/>
    <s v="Medium"/>
    <n v="1284.3"/>
    <n v="1284.3"/>
    <n v="7.3999999999999996E-2"/>
    <n v="7"/>
    <n v="95.038199999999989"/>
    <n v="8324.8326000000015"/>
    <n v="8229.7944000000007"/>
    <n v="4838.33"/>
    <n v="3486.5026000000016"/>
    <n v="3391.4644000000008"/>
    <n v="1.7206004137791349"/>
  </r>
  <r>
    <s v="ORD-2023-258768"/>
    <d v="2025-05-07T00:00:00"/>
    <x v="1"/>
    <x v="1"/>
    <x v="3"/>
    <d v="2023-06-29T00:00:00"/>
    <d v="2023-07-02T00:00:00"/>
    <d v="2023-07-02T00:00:00"/>
    <n v="3"/>
    <x v="0"/>
    <x v="0"/>
    <s v="Nagoya"/>
    <s v="Education"/>
    <x v="4"/>
    <x v="9"/>
    <x v="3"/>
    <x v="541"/>
    <n v="55.65"/>
    <s v="Low"/>
    <n v="83.57"/>
    <n v="83.57"/>
    <n v="6.6000000000000003E-2"/>
    <n v="8"/>
    <n v="5.5156200000000002"/>
    <n v="624.43503999999996"/>
    <n v="618.91941999999995"/>
    <n v="445.2"/>
    <n v="179.23503999999997"/>
    <n v="173.71941999999996"/>
    <n v="1.4025944294699011"/>
  </r>
  <r>
    <s v="ORD-2024-604471"/>
    <d v="2025-05-10T00:00:00"/>
    <x v="1"/>
    <x v="2"/>
    <x v="10"/>
    <d v="2024-01-21T00:00:00"/>
    <d v="2024-01-25T00:00:00"/>
    <d v="2024-01-25T00:00:00"/>
    <n v="4"/>
    <x v="0"/>
    <x v="4"/>
    <s v="Delhi"/>
    <s v="Consumer"/>
    <x v="3"/>
    <x v="4"/>
    <x v="3"/>
    <x v="542"/>
    <n v="523.70000000000005"/>
    <s v="Medium"/>
    <n v="1109.92"/>
    <n v="1109.92"/>
    <n v="0.03"/>
    <n v="11"/>
    <n v="33.297600000000003"/>
    <n v="11842.8464"/>
    <n v="11809.5488"/>
    <n v="5760.7000000000007"/>
    <n v="6082.1463999999996"/>
    <n v="6048.8487999999998"/>
    <n v="2.0557998854305897"/>
  </r>
  <r>
    <s v="ORD-2025-863978"/>
    <d v="2025-05-12T00:00:00"/>
    <x v="1"/>
    <x v="0"/>
    <x v="4"/>
    <d v="2025-08-07T00:00:00"/>
    <d v="2025-08-19T00:00:00"/>
    <d v="2025-08-19T00:00:00"/>
    <n v="12"/>
    <x v="3"/>
    <x v="5"/>
    <s v="Nakuru"/>
    <s v="Corporate"/>
    <x v="1"/>
    <x v="13"/>
    <x v="2"/>
    <x v="543"/>
    <n v="601.51"/>
    <s v="Medium"/>
    <n v="679.35"/>
    <n v="679.35"/>
    <n v="0.188"/>
    <n v="3"/>
    <n v="127.71780000000001"/>
    <n v="1654.8966000000003"/>
    <n v="1527.1788000000001"/>
    <n v="1804.53"/>
    <n v="-149.63339999999971"/>
    <n v="-277.35119999999984"/>
    <n v="0.91707901780519041"/>
  </r>
  <r>
    <s v="ORD-2023-841426"/>
    <d v="2025-05-14T00:00:00"/>
    <x v="1"/>
    <x v="1"/>
    <x v="2"/>
    <d v="2023-12-22T00:00:00"/>
    <d v="2023-12-23T00:00:00"/>
    <d v="2023-12-23T00:00:00"/>
    <n v="1"/>
    <x v="3"/>
    <x v="11"/>
    <s v="Cape Town"/>
    <s v="Non-Profit"/>
    <x v="4"/>
    <x v="10"/>
    <x v="2"/>
    <x v="544"/>
    <n v="1186.18"/>
    <s v="Medium"/>
    <n v="1285.0899999999999"/>
    <n v="1285.0899999999999"/>
    <n v="7.0000000000000007E-2"/>
    <n v="11"/>
    <n v="89.956299999999999"/>
    <n v="13146.470699999998"/>
    <n v="13056.514399999998"/>
    <n v="13047.980000000001"/>
    <n v="98.49069999999665"/>
    <n v="8.5343999999968219"/>
    <n v="1.0075483484799943"/>
  </r>
  <r>
    <s v="ORD-2024-594592"/>
    <d v="2025-05-14T00:00:00"/>
    <x v="1"/>
    <x v="2"/>
    <x v="6"/>
    <d v="2024-04-06T00:00:00"/>
    <d v="2024-04-25T00:00:00"/>
    <d v="2024-04-25T00:00:00"/>
    <n v="19"/>
    <x v="0"/>
    <x v="3"/>
    <s v="Shanghai"/>
    <s v="Corporate"/>
    <x v="1"/>
    <x v="8"/>
    <x v="2"/>
    <x v="545"/>
    <n v="1366.48"/>
    <s v="Medium"/>
    <n v="1678.14"/>
    <n v="1678.14"/>
    <n v="0.154"/>
    <n v="10"/>
    <n v="258.43356"/>
    <n v="14197.064400000001"/>
    <n v="13938.630840000002"/>
    <n v="13664.8"/>
    <n v="532.26440000000184"/>
    <n v="273.83084000000235"/>
    <n v="1.0389514958140627"/>
  </r>
  <r>
    <s v="ORD-2025-330203"/>
    <d v="2025-05-15T00:00:00"/>
    <x v="1"/>
    <x v="0"/>
    <x v="9"/>
    <d v="2025-03-25T00:00:00"/>
    <d v="2025-04-17T00:00:00"/>
    <d v="2025-04-17T00:00:00"/>
    <n v="23"/>
    <x v="1"/>
    <x v="7"/>
    <s v="London"/>
    <s v="Consumer"/>
    <x v="1"/>
    <x v="14"/>
    <x v="4"/>
    <x v="546"/>
    <n v="1421.19"/>
    <s v="Medium"/>
    <n v="1808.26"/>
    <n v="1808.26"/>
    <n v="0.104"/>
    <n v="13"/>
    <n v="188.05903999999998"/>
    <n v="21062.61248"/>
    <n v="20874.55344"/>
    <n v="18475.47"/>
    <n v="2587.1424799999986"/>
    <n v="2399.0834399999985"/>
    <n v="1.1400312132790125"/>
  </r>
  <r>
    <s v="ORD-2025-114382"/>
    <d v="2025-05-16T00:00:00"/>
    <x v="1"/>
    <x v="0"/>
    <x v="11"/>
    <d v="2025-05-14T00:00:00"/>
    <d v="2025-05-24T00:00:00"/>
    <d v="2025-05-24T00:00:00"/>
    <n v="10"/>
    <x v="1"/>
    <x v="8"/>
    <s v="Paris"/>
    <s v="Small Business"/>
    <x v="4"/>
    <x v="8"/>
    <x v="2"/>
    <x v="547"/>
    <n v="170.39"/>
    <s v="Low"/>
    <n v="388.04"/>
    <n v="388.04"/>
    <n v="8.4000000000000005E-2"/>
    <n v="15"/>
    <n v="32.595360000000007"/>
    <n v="5331.6696000000002"/>
    <n v="5299.0742399999999"/>
    <n v="2555.85"/>
    <n v="2775.8196000000003"/>
    <n v="2743.22424"/>
    <n v="2.0860651446681144"/>
  </r>
  <r>
    <s v="ORD-2025-488349"/>
    <d v="2025-05-16T00:00:00"/>
    <x v="1"/>
    <x v="0"/>
    <x v="6"/>
    <d v="2025-04-23T00:00:00"/>
    <d v="2025-04-23T00:00:00"/>
    <d v="2025-04-22T00:00:00"/>
    <n v="-1"/>
    <x v="2"/>
    <x v="10"/>
    <s v="San Francisco"/>
    <s v="Non-Profit"/>
    <x v="0"/>
    <x v="10"/>
    <x v="3"/>
    <x v="548"/>
    <n v="23.24"/>
    <s v="Low"/>
    <n v="44.57"/>
    <n v="44.57"/>
    <n v="0.215"/>
    <n v="15"/>
    <n v="9.5825499999999995"/>
    <n v="524.81174999999996"/>
    <n v="515.22919999999999"/>
    <n v="348.59999999999997"/>
    <n v="176.21174999999999"/>
    <n v="166.62920000000003"/>
    <n v="1.5054840791738382"/>
  </r>
  <r>
    <s v="ORD-2023-159379"/>
    <d v="2025-05-17T00:00:00"/>
    <x v="1"/>
    <x v="1"/>
    <x v="0"/>
    <d v="2023-02-08T00:00:00"/>
    <d v="2023-02-11T00:00:00"/>
    <d v="2023-02-11T00:00:00"/>
    <n v="3"/>
    <x v="3"/>
    <x v="11"/>
    <s v="Cape Town"/>
    <s v="Corporate"/>
    <x v="3"/>
    <x v="13"/>
    <x v="4"/>
    <x v="549"/>
    <n v="1410.05"/>
    <s v="High"/>
    <n v="2763.95"/>
    <n v="2763.95"/>
    <n v="0.161"/>
    <n v="26"/>
    <n v="444.99594999999999"/>
    <n v="60292.805299999993"/>
    <n v="59847.809349999996"/>
    <n v="36661.299999999996"/>
    <n v="23631.505299999997"/>
    <n v="23186.50935"/>
    <n v="1.6445899436190206"/>
  </r>
  <r>
    <s v="ORD-2023-343322"/>
    <d v="2025-05-17T00:00:00"/>
    <x v="1"/>
    <x v="1"/>
    <x v="4"/>
    <d v="2023-08-19T00:00:00"/>
    <d v="2023-09-12T00:00:00"/>
    <d v="2023-09-12T00:00:00"/>
    <n v="24"/>
    <x v="2"/>
    <x v="2"/>
    <s v="Vancouver"/>
    <s v="Enterprise"/>
    <x v="1"/>
    <x v="7"/>
    <x v="6"/>
    <x v="550"/>
    <n v="1183.95"/>
    <s v="Medium"/>
    <n v="1503.53"/>
    <n v="1503.53"/>
    <n v="0.24099999999999999"/>
    <n v="16"/>
    <n v="362.35073"/>
    <n v="18258.868320000001"/>
    <n v="17896.517590000003"/>
    <n v="18943.2"/>
    <n v="-684.33167999999932"/>
    <n v="-1046.6824099999976"/>
    <n v="0.96387454706702147"/>
  </r>
  <r>
    <s v="ORD-2024-192263"/>
    <d v="2025-05-18T00:00:00"/>
    <x v="1"/>
    <x v="2"/>
    <x v="1"/>
    <d v="2024-11-21T00:00:00"/>
    <d v="2024-12-21T00:00:00"/>
    <d v="2024-12-21T00:00:00"/>
    <n v="30"/>
    <x v="1"/>
    <x v="8"/>
    <s v="Marseille"/>
    <s v="Small Business"/>
    <x v="3"/>
    <x v="7"/>
    <x v="3"/>
    <x v="551"/>
    <n v="1122.68"/>
    <s v="High"/>
    <n v="1997.19"/>
    <n v="1997.19"/>
    <n v="0.186"/>
    <n v="3"/>
    <n v="371.47734000000003"/>
    <n v="4877.1379800000004"/>
    <n v="4505.6606400000001"/>
    <n v="3368.04"/>
    <n v="1509.0979800000005"/>
    <n v="1137.6206400000001"/>
    <n v="1.4480641500694766"/>
  </r>
  <r>
    <s v="ORD-2023-290279"/>
    <d v="2025-05-19T00:00:00"/>
    <x v="1"/>
    <x v="1"/>
    <x v="3"/>
    <d v="2023-06-14T00:00:00"/>
    <d v="2023-06-16T00:00:00"/>
    <d v="2023-06-16T00:00:00"/>
    <n v="2"/>
    <x v="1"/>
    <x v="7"/>
    <s v="Manchester"/>
    <s v="Non-Profit"/>
    <x v="3"/>
    <x v="8"/>
    <x v="2"/>
    <x v="251"/>
    <n v="357.36"/>
    <s v="Medium"/>
    <n v="703.62"/>
    <n v="703.62"/>
    <n v="0.25700000000000001"/>
    <n v="20"/>
    <n v="180.83034000000001"/>
    <n v="10455.7932"/>
    <n v="10274.96286"/>
    <n v="7147.2000000000007"/>
    <n v="3308.5931999999993"/>
    <n v="3127.7628599999989"/>
    <n v="1.4629215916722631"/>
  </r>
  <r>
    <s v="ORD-2023-722117"/>
    <d v="2025-05-21T00:00:00"/>
    <x v="1"/>
    <x v="1"/>
    <x v="7"/>
    <d v="2023-09-18T00:00:00"/>
    <d v="2023-10-08T00:00:00"/>
    <d v="2023-10-08T00:00:00"/>
    <n v="20"/>
    <x v="0"/>
    <x v="4"/>
    <s v="Delhi"/>
    <s v="Small Business"/>
    <x v="3"/>
    <x v="11"/>
    <x v="2"/>
    <x v="552"/>
    <n v="825.64"/>
    <s v="Medium"/>
    <n v="1108.43"/>
    <n v="1108.43"/>
    <n v="0.114"/>
    <n v="7"/>
    <n v="126.36102000000001"/>
    <n v="6874.4828600000001"/>
    <n v="6748.1218399999998"/>
    <n v="5779.48"/>
    <n v="1095.0028600000005"/>
    <n v="968.64184000000023"/>
    <n v="1.1894639067874619"/>
  </r>
  <r>
    <s v="ORD-2024-446699"/>
    <d v="2025-05-21T00:00:00"/>
    <x v="1"/>
    <x v="2"/>
    <x v="4"/>
    <d v="2024-08-28T00:00:00"/>
    <d v="2024-09-25T00:00:00"/>
    <d v="2024-09-25T00:00:00"/>
    <n v="28"/>
    <x v="2"/>
    <x v="6"/>
    <s v="Rio de Janeiro"/>
    <s v="Non-Profit"/>
    <x v="2"/>
    <x v="1"/>
    <x v="5"/>
    <x v="553"/>
    <n v="1394.65"/>
    <s v="High"/>
    <n v="3144.1"/>
    <n v="3144.1"/>
    <n v="0.13400000000000001"/>
    <n v="13"/>
    <n v="421.30940000000004"/>
    <n v="35396.277799999996"/>
    <n v="34974.968399999998"/>
    <n v="18130.45"/>
    <n v="17265.827799999995"/>
    <n v="16844.518399999997"/>
    <n v="1.9523110457820956"/>
  </r>
  <r>
    <s v="ORD-2024-451005"/>
    <d v="2025-05-21T00:00:00"/>
    <x v="1"/>
    <x v="2"/>
    <x v="3"/>
    <d v="2024-06-30T00:00:00"/>
    <d v="2024-06-30T00:00:00"/>
    <d v="2024-06-28T00:00:00"/>
    <n v="-2"/>
    <x v="2"/>
    <x v="6"/>
    <s v="Rio de Janeiro"/>
    <s v="Small Business"/>
    <x v="3"/>
    <x v="1"/>
    <x v="5"/>
    <x v="554"/>
    <n v="1112.98"/>
    <s v="High"/>
    <n v="2095.73"/>
    <n v="2095.73"/>
    <n v="7.1999999999999995E-2"/>
    <n v="17"/>
    <n v="150.89256"/>
    <n v="33062.236480000007"/>
    <n v="32911.343920000007"/>
    <n v="18920.66"/>
    <n v="14141.576480000007"/>
    <n v="13990.683920000007"/>
    <n v="1.7474145447357547"/>
  </r>
  <r>
    <s v="ORD-2023-382272"/>
    <d v="2025-05-27T00:00:00"/>
    <x v="1"/>
    <x v="1"/>
    <x v="11"/>
    <d v="2023-05-20T00:00:00"/>
    <d v="2023-05-20T00:00:00"/>
    <d v="2023-05-18T00:00:00"/>
    <n v="-2"/>
    <x v="3"/>
    <x v="11"/>
    <s v="Durban"/>
    <s v="Corporate"/>
    <x v="0"/>
    <x v="3"/>
    <x v="2"/>
    <x v="555"/>
    <n v="917.88"/>
    <s v="Medium"/>
    <n v="1347.92"/>
    <n v="1347.92"/>
    <n v="0.34300000000000003"/>
    <n v="5"/>
    <n v="462.33656000000008"/>
    <n v="4427.9172000000008"/>
    <n v="3965.5806400000006"/>
    <n v="4589.3999999999996"/>
    <n v="-161.48279999999886"/>
    <n v="-623.81935999999905"/>
    <n v="0.9648139626094917"/>
  </r>
  <r>
    <s v="ORD-2024-800947"/>
    <d v="2025-05-29T00:00:00"/>
    <x v="1"/>
    <x v="2"/>
    <x v="2"/>
    <d v="2024-12-15T00:00:00"/>
    <d v="2024-12-20T00:00:00"/>
    <d v="2024-12-20T00:00:00"/>
    <n v="5"/>
    <x v="0"/>
    <x v="3"/>
    <s v="Shenzhen"/>
    <s v="Small Business"/>
    <x v="3"/>
    <x v="5"/>
    <x v="4"/>
    <x v="556"/>
    <n v="717.55"/>
    <s v="Low"/>
    <n v="546.42999999999995"/>
    <n v="546.42999999999995"/>
    <n v="4.7E-2"/>
    <n v="18"/>
    <n v="25.682209999999998"/>
    <n v="9373.460219999999"/>
    <n v="9347.7780099999982"/>
    <n v="12915.9"/>
    <n v="-3542.4397800000006"/>
    <n v="-3568.1219900000015"/>
    <n v="0.72573031844470759"/>
  </r>
  <r>
    <s v="ORD-2024-287210"/>
    <d v="2025-06-01T00:00:00"/>
    <x v="1"/>
    <x v="2"/>
    <x v="9"/>
    <d v="2024-03-18T00:00:00"/>
    <d v="2024-03-21T00:00:00"/>
    <d v="2024-03-21T00:00:00"/>
    <n v="3"/>
    <x v="1"/>
    <x v="1"/>
    <s v="Munich"/>
    <s v="Small Business"/>
    <x v="2"/>
    <x v="13"/>
    <x v="5"/>
    <x v="557"/>
    <n v="910.63"/>
    <s v="Medium"/>
    <n v="1269.4000000000001"/>
    <n v="1269.4000000000001"/>
    <n v="6.8000000000000005E-2"/>
    <n v="9"/>
    <n v="86.319200000000009"/>
    <n v="10647.727199999999"/>
    <n v="10561.407999999999"/>
    <n v="8195.67"/>
    <n v="2452.0571999999993"/>
    <n v="2365.7379999999994"/>
    <n v="1.299189352426342"/>
  </r>
  <r>
    <s v="ORD-2025-640677"/>
    <d v="2025-06-01T00:00:00"/>
    <x v="1"/>
    <x v="0"/>
    <x v="6"/>
    <d v="2025-04-09T00:00:00"/>
    <d v="2025-05-06T00:00:00"/>
    <d v="2025-05-06T00:00:00"/>
    <n v="27"/>
    <x v="2"/>
    <x v="6"/>
    <s v="Brasília"/>
    <s v="Enterprise"/>
    <x v="4"/>
    <x v="9"/>
    <x v="0"/>
    <x v="558"/>
    <n v="264.19"/>
    <s v="Low"/>
    <n v="620.92999999999995"/>
    <n v="620.92999999999995"/>
    <n v="0.14199999999999999"/>
    <n v="12"/>
    <n v="88.172059999999988"/>
    <n v="6393.0952799999995"/>
    <n v="6304.9232199999997"/>
    <n v="3170.2799999999997"/>
    <n v="3222.8152799999998"/>
    <n v="3134.6432199999999"/>
    <n v="2.0165711798326962"/>
  </r>
  <r>
    <s v="ORD-2024-939873"/>
    <d v="2025-06-01T00:00:00"/>
    <x v="1"/>
    <x v="2"/>
    <x v="6"/>
    <d v="2024-04-12T00:00:00"/>
    <d v="2024-05-07T00:00:00"/>
    <d v="2024-05-07T00:00:00"/>
    <n v="25"/>
    <x v="3"/>
    <x v="11"/>
    <s v="Johannesburg"/>
    <s v="Education"/>
    <x v="0"/>
    <x v="3"/>
    <x v="0"/>
    <x v="559"/>
    <n v="1376.51"/>
    <s v="Medium"/>
    <n v="1455.91"/>
    <n v="1455.91"/>
    <n v="0.185"/>
    <n v="17"/>
    <n v="269.34334999999999"/>
    <n v="20171.63305"/>
    <n v="19902.289700000001"/>
    <n v="23400.67"/>
    <n v="-3229.0369499999979"/>
    <n v="-3498.3802999999971"/>
    <n v="0.86201091891813364"/>
  </r>
  <r>
    <s v="ORD-2023-809913"/>
    <d v="2025-06-03T00:00:00"/>
    <x v="1"/>
    <x v="1"/>
    <x v="6"/>
    <d v="2023-04-21T00:00:00"/>
    <d v="2023-05-10T00:00:00"/>
    <d v="2023-05-10T00:00:00"/>
    <n v="19"/>
    <x v="0"/>
    <x v="3"/>
    <s v="Shanghai"/>
    <s v="Corporate"/>
    <x v="1"/>
    <x v="3"/>
    <x v="2"/>
    <x v="560"/>
    <n v="882.33"/>
    <s v="Medium"/>
    <n v="1880.15"/>
    <n v="1880.15"/>
    <n v="0.05"/>
    <n v="5"/>
    <n v="94.007500000000007"/>
    <n v="8930.7124999999996"/>
    <n v="8836.7049999999999"/>
    <n v="4411.6500000000005"/>
    <n v="4519.0624999999991"/>
    <n v="4425.0549999999994"/>
    <n v="2.0243474663674585"/>
  </r>
  <r>
    <s v="ORD-2023-749324"/>
    <d v="2025-06-05T00:00:00"/>
    <x v="1"/>
    <x v="1"/>
    <x v="4"/>
    <d v="2023-08-19T00:00:00"/>
    <d v="2023-09-07T00:00:00"/>
    <d v="2023-09-07T00:00:00"/>
    <n v="19"/>
    <x v="3"/>
    <x v="11"/>
    <s v="Johannesburg"/>
    <s v="Enterprise"/>
    <x v="1"/>
    <x v="10"/>
    <x v="3"/>
    <x v="561"/>
    <n v="494.61"/>
    <s v="Low"/>
    <n v="605.23"/>
    <n v="605.23"/>
    <n v="0.20399999999999999"/>
    <n v="18"/>
    <n v="123.46692"/>
    <n v="8671.7354400000004"/>
    <n v="8548.2685199999996"/>
    <n v="8902.98"/>
    <n v="-231.24455999999918"/>
    <n v="-354.71147999999994"/>
    <n v="0.97402616202664738"/>
  </r>
  <r>
    <s v="ORD-2023-239789"/>
    <d v="2025-06-09T00:00:00"/>
    <x v="1"/>
    <x v="1"/>
    <x v="2"/>
    <d v="2023-12-03T00:00:00"/>
    <d v="2023-12-26T00:00:00"/>
    <d v="2023-12-26T00:00:00"/>
    <n v="23"/>
    <x v="2"/>
    <x v="6"/>
    <s v="Rio de Janeiro"/>
    <s v="Education"/>
    <x v="1"/>
    <x v="6"/>
    <x v="1"/>
    <x v="562"/>
    <n v="1303.1099999999999"/>
    <s v="Medium"/>
    <n v="1145.67"/>
    <n v="1145.67"/>
    <n v="0.184"/>
    <n v="13"/>
    <n v="210.80328"/>
    <n v="12153.267360000002"/>
    <n v="11942.464080000002"/>
    <n v="16940.43"/>
    <n v="-4787.1626399999986"/>
    <n v="-4997.9659199999987"/>
    <n v="0.71741197596519102"/>
  </r>
  <r>
    <s v="ORD-2023-548874"/>
    <d v="2025-06-09T00:00:00"/>
    <x v="1"/>
    <x v="1"/>
    <x v="9"/>
    <d v="2023-03-19T00:00:00"/>
    <d v="2023-04-09T00:00:00"/>
    <d v="2023-04-09T00:00:00"/>
    <n v="21"/>
    <x v="1"/>
    <x v="7"/>
    <s v="Manchester"/>
    <s v="Consumer"/>
    <x v="1"/>
    <x v="1"/>
    <x v="5"/>
    <x v="563"/>
    <n v="1082.17"/>
    <s v="Medium"/>
    <n v="1234.0999999999999"/>
    <n v="1234.0999999999999"/>
    <n v="0.189"/>
    <n v="16"/>
    <n v="233.24489999999997"/>
    <n v="16013.681599999998"/>
    <n v="15780.436699999998"/>
    <n v="17314.72"/>
    <n v="-1301.0384000000031"/>
    <n v="-1534.2833000000028"/>
    <n v="0.92485940286646262"/>
  </r>
  <r>
    <s v="ORD-2024-347736"/>
    <d v="2025-06-09T00:00:00"/>
    <x v="1"/>
    <x v="2"/>
    <x v="11"/>
    <d v="2024-05-22T00:00:00"/>
    <d v="2024-06-06T00:00:00"/>
    <d v="2024-06-06T00:00:00"/>
    <n v="15"/>
    <x v="0"/>
    <x v="0"/>
    <s v="Nagoya"/>
    <s v="Corporate"/>
    <x v="0"/>
    <x v="4"/>
    <x v="3"/>
    <x v="564"/>
    <n v="673.88"/>
    <s v="Medium"/>
    <n v="1228.01"/>
    <n v="1228.01"/>
    <n v="0.105"/>
    <n v="13"/>
    <n v="128.94104999999999"/>
    <n v="14287.896349999999"/>
    <n v="14158.9553"/>
    <n v="8760.44"/>
    <n v="5527.4563499999986"/>
    <n v="5398.5152999999991"/>
    <n v="1.6309564759304325"/>
  </r>
  <r>
    <s v="ORD-2023-480975"/>
    <d v="2025-06-14T00:00:00"/>
    <x v="1"/>
    <x v="1"/>
    <x v="0"/>
    <d v="2023-02-15T00:00:00"/>
    <d v="2023-02-26T00:00:00"/>
    <d v="2023-02-26T00:00:00"/>
    <n v="11"/>
    <x v="3"/>
    <x v="11"/>
    <s v="Johannesburg"/>
    <s v="Non-Profit"/>
    <x v="1"/>
    <x v="8"/>
    <x v="0"/>
    <x v="565"/>
    <n v="498.5"/>
    <s v="Medium"/>
    <n v="755.87"/>
    <n v="755.87"/>
    <n v="0.13"/>
    <n v="40"/>
    <n v="98.263100000000009"/>
    <n v="26304.275999999998"/>
    <n v="26206.012899999998"/>
    <n v="19940"/>
    <n v="6364.275999999998"/>
    <n v="6266.0128999999979"/>
    <n v="1.3191713139418253"/>
  </r>
  <r>
    <s v="ORD-2025-526650"/>
    <d v="2025-06-15T00:00:00"/>
    <x v="1"/>
    <x v="0"/>
    <x v="6"/>
    <d v="2025-04-27T00:00:00"/>
    <d v="2025-05-25T00:00:00"/>
    <d v="2025-05-25T00:00:00"/>
    <n v="28"/>
    <x v="1"/>
    <x v="8"/>
    <s v="Paris"/>
    <s v="Small Business"/>
    <x v="4"/>
    <x v="7"/>
    <x v="1"/>
    <x v="566"/>
    <n v="603.45000000000005"/>
    <s v="Medium"/>
    <n v="1244.08"/>
    <n v="1244.08"/>
    <n v="0.2"/>
    <n v="11"/>
    <n v="248.816"/>
    <n v="10947.904"/>
    <n v="10699.088"/>
    <n v="6637.9500000000007"/>
    <n v="4309.9539999999997"/>
    <n v="4061.137999999999"/>
    <n v="1.6492899163145247"/>
  </r>
  <r>
    <s v="ORD-2024-247979"/>
    <d v="2025-06-15T00:00:00"/>
    <x v="1"/>
    <x v="2"/>
    <x v="1"/>
    <d v="2024-11-02T00:00:00"/>
    <d v="2024-11-18T00:00:00"/>
    <d v="2024-11-18T00:00:00"/>
    <n v="16"/>
    <x v="0"/>
    <x v="4"/>
    <s v="Mumbai"/>
    <s v="Small Business"/>
    <x v="0"/>
    <x v="6"/>
    <x v="3"/>
    <x v="567"/>
    <n v="1233.58"/>
    <s v="Medium"/>
    <n v="1912.51"/>
    <n v="1912.51"/>
    <n v="0.255"/>
    <n v="51"/>
    <n v="487.69004999999999"/>
    <n v="72665.817450000002"/>
    <n v="72178.127399999998"/>
    <n v="62912.579999999994"/>
    <n v="9753.2374500000078"/>
    <n v="9265.5474000000031"/>
    <n v="1.1550284132362718"/>
  </r>
  <r>
    <s v="ORD-2025-779574"/>
    <d v="2025-06-17T00:00:00"/>
    <x v="1"/>
    <x v="0"/>
    <x v="7"/>
    <d v="2025-09-10T00:00:00"/>
    <d v="2025-09-12T00:00:00"/>
    <d v="2025-09-12T00:00:00"/>
    <n v="2"/>
    <x v="0"/>
    <x v="0"/>
    <s v="Tokyo"/>
    <s v="Consumer"/>
    <x v="2"/>
    <x v="6"/>
    <x v="2"/>
    <x v="568"/>
    <n v="1470.15"/>
    <s v="High"/>
    <n v="2593.7800000000002"/>
    <n v="2593.7800000000002"/>
    <n v="0.11"/>
    <n v="12"/>
    <n v="285.31580000000002"/>
    <n v="27701.570400000001"/>
    <n v="27416.2546"/>
    <n v="17641.800000000003"/>
    <n v="10059.770399999998"/>
    <n v="9774.4545999999973"/>
    <n v="1.5702235826276227"/>
  </r>
  <r>
    <s v="ORD-2025-762301"/>
    <d v="2025-06-19T00:00:00"/>
    <x v="1"/>
    <x v="0"/>
    <x v="11"/>
    <d v="2025-05-02T00:00:00"/>
    <d v="2025-05-13T00:00:00"/>
    <d v="2025-05-13T00:00:00"/>
    <n v="11"/>
    <x v="3"/>
    <x v="5"/>
    <s v="Nakuru"/>
    <s v="Small Business"/>
    <x v="2"/>
    <x v="3"/>
    <x v="5"/>
    <x v="569"/>
    <n v="1057.5999999999999"/>
    <s v="Medium"/>
    <n v="1437.06"/>
    <n v="1437.06"/>
    <n v="0.20499999999999999"/>
    <n v="4"/>
    <n v="294.59729999999996"/>
    <n v="4569.8508000000002"/>
    <n v="4275.2534999999998"/>
    <n v="4230.3999999999996"/>
    <n v="339.45080000000053"/>
    <n v="44.853500000000167"/>
    <n v="1.0802408282904692"/>
  </r>
  <r>
    <s v="ORD-2024-906395"/>
    <d v="2025-06-19T00:00:00"/>
    <x v="1"/>
    <x v="2"/>
    <x v="9"/>
    <d v="2024-03-10T00:00:00"/>
    <d v="2024-04-09T00:00:00"/>
    <d v="2024-04-09T00:00:00"/>
    <n v="30"/>
    <x v="1"/>
    <x v="8"/>
    <s v="Lyon"/>
    <s v="Corporate"/>
    <x v="3"/>
    <x v="7"/>
    <x v="2"/>
    <x v="570"/>
    <n v="1176.56"/>
    <s v="Medium"/>
    <n v="1911.89"/>
    <n v="1911.89"/>
    <n v="0.11899999999999999"/>
    <n v="20"/>
    <n v="227.51491000000001"/>
    <n v="33687.501800000005"/>
    <n v="33459.986890000007"/>
    <n v="23531.199999999997"/>
    <n v="10156.301800000008"/>
    <n v="9928.7868900000103"/>
    <n v="1.431610024138166"/>
  </r>
  <r>
    <s v="ORD-2025-639542"/>
    <d v="2025-06-21T00:00:00"/>
    <x v="1"/>
    <x v="0"/>
    <x v="3"/>
    <d v="2025-06-09T00:00:00"/>
    <d v="2025-06-18T00:00:00"/>
    <d v="2025-06-18T00:00:00"/>
    <n v="9"/>
    <x v="1"/>
    <x v="8"/>
    <s v="Marseille"/>
    <s v="Small Business"/>
    <x v="4"/>
    <x v="14"/>
    <x v="5"/>
    <x v="571"/>
    <n v="1225.5"/>
    <s v="Low"/>
    <n v="5.27"/>
    <n v="-5.27"/>
    <n v="7.4999999999999997E-2"/>
    <n v="56"/>
    <n v="0.39524999999999993"/>
    <n v="272.98599999999999"/>
    <n v="272.59075000000001"/>
    <n v="68628"/>
    <n v="-68355.013999999996"/>
    <n v="-68355.409249999997"/>
    <n v="3.9777641778865769E-3"/>
  </r>
  <r>
    <s v="ORD-2024-289089"/>
    <d v="2025-06-22T00:00:00"/>
    <x v="1"/>
    <x v="2"/>
    <x v="2"/>
    <d v="2024-12-17T00:00:00"/>
    <d v="2024-12-18T00:00:00"/>
    <d v="2024-12-18T00:00:00"/>
    <n v="1"/>
    <x v="1"/>
    <x v="1"/>
    <s v="Munich"/>
    <s v="Education"/>
    <x v="1"/>
    <x v="1"/>
    <x v="5"/>
    <x v="572"/>
    <n v="346.82"/>
    <s v="Medium"/>
    <n v="701.95"/>
    <n v="701.95"/>
    <n v="0.14699999999999999"/>
    <n v="8"/>
    <n v="103.18665"/>
    <n v="4790.1068000000005"/>
    <n v="4686.9201500000008"/>
    <n v="2774.56"/>
    <n v="2015.5468000000005"/>
    <n v="1912.3601500000009"/>
    <n v="1.7264383541894932"/>
  </r>
  <r>
    <s v="ORD-2025-578007"/>
    <d v="2025-06-24T00:00:00"/>
    <x v="1"/>
    <x v="0"/>
    <x v="10"/>
    <d v="2025-01-21T00:00:00"/>
    <d v="2025-02-16T00:00:00"/>
    <d v="2025-02-16T00:00:00"/>
    <n v="26"/>
    <x v="1"/>
    <x v="8"/>
    <s v="Lyon"/>
    <s v="Corporate"/>
    <x v="0"/>
    <x v="6"/>
    <x v="0"/>
    <x v="573"/>
    <n v="204.11"/>
    <s v="Low"/>
    <n v="236.87"/>
    <n v="236.87"/>
    <n v="0.182"/>
    <n v="13"/>
    <n v="43.110340000000001"/>
    <n v="2518.8755800000004"/>
    <n v="2475.7652400000002"/>
    <n v="2653.4300000000003"/>
    <n v="-134.55441999999994"/>
    <n v="-177.66476000000011"/>
    <n v="0.94929038263681353"/>
  </r>
  <r>
    <s v="ORD-2023-235230"/>
    <d v="2025-06-24T00:00:00"/>
    <x v="1"/>
    <x v="1"/>
    <x v="4"/>
    <d v="2023-08-30T00:00:00"/>
    <d v="2023-09-01T00:00:00"/>
    <d v="2023-09-01T00:00:00"/>
    <n v="2"/>
    <x v="1"/>
    <x v="1"/>
    <s v="Munich"/>
    <s v="Corporate"/>
    <x v="3"/>
    <x v="0"/>
    <x v="4"/>
    <x v="574"/>
    <n v="44.42"/>
    <s v="Low"/>
    <n v="41.9"/>
    <n v="41.9"/>
    <n v="0.14399999999999999"/>
    <n v="6"/>
    <n v="6.033599999999999"/>
    <n v="215.19839999999996"/>
    <n v="209.16479999999996"/>
    <n v="266.52"/>
    <n v="-51.321600000000018"/>
    <n v="-57.355200000000025"/>
    <n v="0.80743809095002239"/>
  </r>
  <r>
    <s v="ORD-2025-765220"/>
    <d v="2025-06-24T00:00:00"/>
    <x v="1"/>
    <x v="0"/>
    <x v="6"/>
    <d v="2025-04-06T00:00:00"/>
    <d v="2025-04-30T00:00:00"/>
    <d v="2025-04-30T00:00:00"/>
    <n v="24"/>
    <x v="2"/>
    <x v="6"/>
    <s v="Brasília"/>
    <s v="Education"/>
    <x v="2"/>
    <x v="8"/>
    <x v="3"/>
    <x v="575"/>
    <n v="855.78"/>
    <s v="Medium"/>
    <n v="977.38"/>
    <n v="977.38"/>
    <n v="0.14699999999999999"/>
    <n v="38"/>
    <n v="143.67486"/>
    <n v="31680.795320000001"/>
    <n v="31537.120460000002"/>
    <n v="32519.64"/>
    <n v="-838.84467999999833"/>
    <n v="-982.51953999999751"/>
    <n v="0.97420498258898325"/>
  </r>
  <r>
    <s v="ORD-2025-931538"/>
    <d v="2025-06-24T00:00:00"/>
    <x v="1"/>
    <x v="0"/>
    <x v="0"/>
    <d v="2025-02-09T00:00:00"/>
    <d v="2025-03-01T00:00:00"/>
    <d v="2025-03-01T00:00:00"/>
    <n v="20"/>
    <x v="2"/>
    <x v="6"/>
    <s v="São Paulo"/>
    <s v="Corporate"/>
    <x v="0"/>
    <x v="11"/>
    <x v="0"/>
    <x v="576"/>
    <n v="1154.6400000000001"/>
    <s v="High"/>
    <n v="2794.13"/>
    <n v="2794.13"/>
    <n v="3.5000000000000003E-2"/>
    <n v="11"/>
    <n v="97.794550000000015"/>
    <n v="29659.68995"/>
    <n v="29561.895400000001"/>
    <n v="12701.04"/>
    <n v="16958.649949999999"/>
    <n v="16860.8554"/>
    <n v="2.3352174270768375"/>
  </r>
  <r>
    <s v="ORD-2023-419187"/>
    <d v="2025-06-25T00:00:00"/>
    <x v="1"/>
    <x v="1"/>
    <x v="9"/>
    <d v="2023-03-31T00:00:00"/>
    <d v="2023-04-05T00:00:00"/>
    <d v="2023-04-05T00:00:00"/>
    <n v="5"/>
    <x v="3"/>
    <x v="5"/>
    <s v="Nakuru"/>
    <s v="Education"/>
    <x v="4"/>
    <x v="11"/>
    <x v="0"/>
    <x v="577"/>
    <n v="533.26"/>
    <s v="Low"/>
    <n v="385.72"/>
    <n v="385.72"/>
    <n v="0"/>
    <n v="15"/>
    <n v="0"/>
    <n v="5785.8"/>
    <n v="5785.8"/>
    <n v="7998.9"/>
    <n v="-2213.0999999999995"/>
    <n v="-2213.0999999999995"/>
    <n v="0.72332445711285309"/>
  </r>
  <r>
    <s v="ORD-2024-260775"/>
    <d v="2025-06-26T00:00:00"/>
    <x v="1"/>
    <x v="2"/>
    <x v="8"/>
    <d v="2024-10-17T00:00:00"/>
    <d v="2024-11-06T00:00:00"/>
    <d v="2024-11-06T00:00:00"/>
    <n v="20"/>
    <x v="0"/>
    <x v="4"/>
    <s v="Bengaluru"/>
    <s v="Enterprise"/>
    <x v="0"/>
    <x v="6"/>
    <x v="3"/>
    <x v="578"/>
    <n v="72.94"/>
    <s v="Low"/>
    <n v="106.3"/>
    <n v="106.3"/>
    <n v="0.29499999999999998"/>
    <n v="8"/>
    <n v="31.358499999999996"/>
    <n v="599.53200000000004"/>
    <n v="568.17349999999999"/>
    <n v="583.52"/>
    <n v="16.012000000000057"/>
    <n v="-15.346499999999992"/>
    <n v="1.0274403619413217"/>
  </r>
  <r>
    <s v="ORD-2023-292714"/>
    <d v="2025-06-27T00:00:00"/>
    <x v="1"/>
    <x v="1"/>
    <x v="5"/>
    <d v="2023-07-10T00:00:00"/>
    <d v="2023-08-01T00:00:00"/>
    <d v="2023-08-01T00:00:00"/>
    <n v="22"/>
    <x v="1"/>
    <x v="8"/>
    <s v="Marseille"/>
    <s v="Consumer"/>
    <x v="4"/>
    <x v="11"/>
    <x v="6"/>
    <x v="579"/>
    <n v="1303.56"/>
    <s v="Medium"/>
    <n v="1791.37"/>
    <n v="1791.37"/>
    <n v="0.126"/>
    <n v="22"/>
    <n v="225.71261999999999"/>
    <n v="34444.462359999998"/>
    <n v="34218.749739999999"/>
    <n v="28678.32"/>
    <n v="5766.142359999998"/>
    <n v="5540.4297399999996"/>
    <n v="1.2010627665776794"/>
  </r>
  <r>
    <s v="ORD-2024-468501"/>
    <d v="2025-06-27T00:00:00"/>
    <x v="1"/>
    <x v="2"/>
    <x v="1"/>
    <d v="2024-11-06T00:00:00"/>
    <d v="2024-11-22T00:00:00"/>
    <d v="2024-11-22T00:00:00"/>
    <n v="16"/>
    <x v="2"/>
    <x v="2"/>
    <s v="Toronto"/>
    <s v="Non-Profit"/>
    <x v="0"/>
    <x v="10"/>
    <x v="5"/>
    <x v="580"/>
    <n v="1454.11"/>
    <s v="High"/>
    <n v="2629.75"/>
    <n v="2629.75"/>
    <n v="0.29199999999999998"/>
    <n v="8"/>
    <n v="767.88699999999994"/>
    <n v="14894.903999999999"/>
    <n v="14127.016999999998"/>
    <n v="11632.88"/>
    <n v="3262.0239999999994"/>
    <n v="2494.1369999999988"/>
    <n v="1.2804141364821093"/>
  </r>
  <r>
    <s v="ORD-2024-548345"/>
    <d v="2025-07-03T00:00:00"/>
    <x v="2"/>
    <x v="2"/>
    <x v="11"/>
    <d v="2024-05-14T00:00:00"/>
    <d v="2024-05-28T00:00:00"/>
    <d v="2024-05-28T00:00:00"/>
    <n v="14"/>
    <x v="1"/>
    <x v="7"/>
    <s v="Birmingham"/>
    <s v="Consumer"/>
    <x v="1"/>
    <x v="11"/>
    <x v="4"/>
    <x v="581"/>
    <n v="1421.14"/>
    <s v="High"/>
    <n v="3524"/>
    <n v="3524"/>
    <n v="0"/>
    <n v="31"/>
    <n v="0"/>
    <n v="109244"/>
    <n v="109244"/>
    <n v="44055.340000000004"/>
    <n v="65188.659999999996"/>
    <n v="65188.659999999996"/>
    <n v="2.479699396259341"/>
  </r>
  <r>
    <s v="ORD-2024-966651"/>
    <d v="2025-07-03T00:00:00"/>
    <x v="2"/>
    <x v="2"/>
    <x v="8"/>
    <d v="2024-10-14T00:00:00"/>
    <d v="2024-11-08T00:00:00"/>
    <d v="2024-11-08T00:00:00"/>
    <n v="25"/>
    <x v="3"/>
    <x v="9"/>
    <s v="Lagos"/>
    <s v="Enterprise"/>
    <x v="2"/>
    <x v="6"/>
    <x v="4"/>
    <x v="582"/>
    <n v="859.35"/>
    <s v="Medium"/>
    <n v="1825.61"/>
    <n v="1825.61"/>
    <n v="0.187"/>
    <n v="24"/>
    <n v="341.38907"/>
    <n v="35621.302319999995"/>
    <n v="35279.913249999998"/>
    <n v="20624.400000000001"/>
    <n v="14996.902319999994"/>
    <n v="14655.513249999996"/>
    <n v="1.7271436899982542"/>
  </r>
  <r>
    <s v="ORD-2023-128295"/>
    <d v="2025-07-09T00:00:00"/>
    <x v="2"/>
    <x v="1"/>
    <x v="3"/>
    <d v="2023-06-23T00:00:00"/>
    <d v="2023-07-03T00:00:00"/>
    <d v="2023-07-03T00:00:00"/>
    <n v="10"/>
    <x v="3"/>
    <x v="9"/>
    <s v="Abuja"/>
    <s v="Consumer"/>
    <x v="2"/>
    <x v="5"/>
    <x v="6"/>
    <x v="583"/>
    <n v="337.75"/>
    <s v="Low"/>
    <n v="548.89"/>
    <n v="548.89"/>
    <n v="0"/>
    <n v="13"/>
    <n v="0"/>
    <n v="7135.57"/>
    <n v="7135.57"/>
    <n v="4390.75"/>
    <n v="2744.8199999999997"/>
    <n v="2744.8199999999997"/>
    <n v="1.6251369356032568"/>
  </r>
  <r>
    <s v="ORD-2024-389336"/>
    <d v="2025-07-11T00:00:00"/>
    <x v="2"/>
    <x v="2"/>
    <x v="11"/>
    <d v="2024-05-20T00:00:00"/>
    <d v="2024-06-02T00:00:00"/>
    <d v="2024-06-02T00:00:00"/>
    <n v="13"/>
    <x v="2"/>
    <x v="2"/>
    <s v="Vancouver"/>
    <s v="Enterprise"/>
    <x v="4"/>
    <x v="8"/>
    <x v="2"/>
    <x v="584"/>
    <n v="675.43"/>
    <s v="Medium"/>
    <n v="996.36"/>
    <n v="996.36"/>
    <n v="0.182"/>
    <n v="22"/>
    <n v="181.33751999999998"/>
    <n v="17930.494560000003"/>
    <n v="17749.157040000002"/>
    <n v="14859.46"/>
    <n v="3071.0345600000037"/>
    <n v="2889.6970400000027"/>
    <n v="1.2066720163451434"/>
  </r>
  <r>
    <s v="ORD-2023-308124"/>
    <d v="2025-07-11T00:00:00"/>
    <x v="2"/>
    <x v="1"/>
    <x v="6"/>
    <d v="2023-04-19T00:00:00"/>
    <d v="2023-04-30T00:00:00"/>
    <d v="2023-04-30T00:00:00"/>
    <n v="11"/>
    <x v="0"/>
    <x v="4"/>
    <s v="Delhi"/>
    <s v="Small Business"/>
    <x v="1"/>
    <x v="3"/>
    <x v="4"/>
    <x v="585"/>
    <n v="826.55"/>
    <s v="Medium"/>
    <n v="1397.05"/>
    <n v="1397.05"/>
    <n v="0.16900000000000001"/>
    <n v="28"/>
    <n v="236.10145"/>
    <n v="32506.559399999998"/>
    <n v="32270.45795"/>
    <n v="23143.399999999998"/>
    <n v="9363.1594000000005"/>
    <n v="9127.0579500000022"/>
    <n v="1.4045714717802917"/>
  </r>
  <r>
    <s v="ORD-2025-820255"/>
    <d v="2025-07-14T00:00:00"/>
    <x v="2"/>
    <x v="0"/>
    <x v="11"/>
    <d v="2025-05-29T00:00:00"/>
    <d v="2025-06-20T00:00:00"/>
    <d v="2025-06-20T00:00:00"/>
    <n v="22"/>
    <x v="1"/>
    <x v="1"/>
    <s v="Berlin"/>
    <s v="Corporate"/>
    <x v="3"/>
    <x v="3"/>
    <x v="6"/>
    <x v="586"/>
    <n v="483.47"/>
    <s v="Medium"/>
    <n v="1135.43"/>
    <n v="1135.43"/>
    <n v="0.14599999999999999"/>
    <n v="11"/>
    <n v="165.77278000000001"/>
    <n v="10666.229420000001"/>
    <n v="10500.456640000002"/>
    <n v="5318.17"/>
    <n v="5348.0594200000014"/>
    <n v="5182.2866400000021"/>
    <n v="2.005620245309947"/>
  </r>
  <r>
    <s v="ORD-2024-998320"/>
    <d v="2025-07-16T00:00:00"/>
    <x v="2"/>
    <x v="2"/>
    <x v="8"/>
    <d v="2024-10-25T00:00:00"/>
    <d v="2024-11-14T00:00:00"/>
    <d v="2024-11-14T00:00:00"/>
    <n v="20"/>
    <x v="3"/>
    <x v="5"/>
    <s v="Mombasa"/>
    <s v="Corporate"/>
    <x v="3"/>
    <x v="14"/>
    <x v="6"/>
    <x v="587"/>
    <n v="1396.48"/>
    <s v="High"/>
    <n v="3204.5"/>
    <n v="3204.5"/>
    <n v="0.318"/>
    <n v="14"/>
    <n v="1019.0310000000001"/>
    <n v="30596.565999999999"/>
    <n v="29577.535"/>
    <n v="19550.72"/>
    <n v="11045.845999999998"/>
    <n v="10026.814999999999"/>
    <n v="1.5649841028872593"/>
  </r>
  <r>
    <s v="ORD-2024-296582"/>
    <d v="2025-07-17T00:00:00"/>
    <x v="2"/>
    <x v="2"/>
    <x v="10"/>
    <d v="2024-01-11T00:00:00"/>
    <d v="2024-02-02T00:00:00"/>
    <d v="2024-02-02T00:00:00"/>
    <n v="22"/>
    <x v="3"/>
    <x v="11"/>
    <s v="Durban"/>
    <s v="Consumer"/>
    <x v="2"/>
    <x v="8"/>
    <x v="4"/>
    <x v="588"/>
    <n v="1206.2"/>
    <s v="Medium"/>
    <n v="1759.79"/>
    <n v="1759.79"/>
    <n v="0"/>
    <n v="6"/>
    <n v="0"/>
    <n v="10558.74"/>
    <n v="10558.74"/>
    <n v="7237.2000000000007"/>
    <n v="3321.5399999999991"/>
    <n v="3321.5399999999991"/>
    <n v="1.4589537390150886"/>
  </r>
  <r>
    <s v="ORD-2024-635626"/>
    <d v="2025-07-19T00:00:00"/>
    <x v="2"/>
    <x v="2"/>
    <x v="4"/>
    <d v="2024-08-27T00:00:00"/>
    <d v="2024-09-19T00:00:00"/>
    <d v="2024-09-19T00:00:00"/>
    <n v="23"/>
    <x v="1"/>
    <x v="1"/>
    <s v="Berlin"/>
    <s v="Small Business"/>
    <x v="3"/>
    <x v="10"/>
    <x v="3"/>
    <x v="589"/>
    <n v="1024.01"/>
    <s v="Medium"/>
    <n v="1580.97"/>
    <n v="1580.97"/>
    <n v="3.6999999999999998E-2"/>
    <n v="27"/>
    <n v="58.495889999999996"/>
    <n v="41106.800970000004"/>
    <n v="41048.305080000006"/>
    <n v="27648.27"/>
    <n v="13458.530970000003"/>
    <n v="13400.035080000005"/>
    <n v="1.4867766037441041"/>
  </r>
  <r>
    <s v="ORD-2023-651638"/>
    <d v="2025-07-20T00:00:00"/>
    <x v="2"/>
    <x v="1"/>
    <x v="3"/>
    <d v="2023-06-17T00:00:00"/>
    <d v="2023-06-24T00:00:00"/>
    <d v="2023-06-24T00:00:00"/>
    <n v="7"/>
    <x v="2"/>
    <x v="10"/>
    <s v="San Francisco"/>
    <s v="Corporate"/>
    <x v="1"/>
    <x v="7"/>
    <x v="6"/>
    <x v="590"/>
    <n v="313.99"/>
    <s v="Low"/>
    <n v="454.42"/>
    <n v="454.42"/>
    <n v="0.129"/>
    <n v="9"/>
    <n v="58.620180000000005"/>
    <n v="3562.1983800000003"/>
    <n v="3503.5782000000004"/>
    <n v="2825.91"/>
    <n v="736.28838000000042"/>
    <n v="677.66820000000052"/>
    <n v="1.2605491257683368"/>
  </r>
  <r>
    <s v="ORD-2024-599522"/>
    <d v="2025-07-21T00:00:00"/>
    <x v="2"/>
    <x v="2"/>
    <x v="6"/>
    <d v="2024-04-19T00:00:00"/>
    <d v="2024-05-06T00:00:00"/>
    <d v="2024-05-06T00:00:00"/>
    <n v="17"/>
    <x v="3"/>
    <x v="9"/>
    <s v="Port Harcourt"/>
    <s v="Non-Profit"/>
    <x v="2"/>
    <x v="3"/>
    <x v="6"/>
    <x v="591"/>
    <n v="865.33"/>
    <s v="Medium"/>
    <n v="1395.64"/>
    <n v="1395.64"/>
    <n v="0.17499999999999999"/>
    <n v="13"/>
    <n v="244.23699999999999"/>
    <n v="14968.239"/>
    <n v="14724.002"/>
    <n v="11249.29"/>
    <n v="3718.9489999999987"/>
    <n v="3474.7119999999995"/>
    <n v="1.3305941086059652"/>
  </r>
  <r>
    <s v="ORD-2025-718992"/>
    <d v="2025-07-22T00:00:00"/>
    <x v="2"/>
    <x v="0"/>
    <x v="3"/>
    <d v="2025-06-24T00:00:00"/>
    <d v="2025-07-10T00:00:00"/>
    <d v="2025-07-10T00:00:00"/>
    <n v="16"/>
    <x v="0"/>
    <x v="3"/>
    <s v="Shanghai"/>
    <s v="Enterprise"/>
    <x v="3"/>
    <x v="0"/>
    <x v="2"/>
    <x v="592"/>
    <n v="757.19"/>
    <s v="Medium"/>
    <n v="1735.41"/>
    <n v="1735.41"/>
    <n v="0.13600000000000001"/>
    <n v="8"/>
    <n v="236.01576000000003"/>
    <n v="11995.153920000001"/>
    <n v="11759.13816"/>
    <n v="6057.52"/>
    <n v="5937.6339200000002"/>
    <n v="5701.61816"/>
    <n v="1.9802087190797555"/>
  </r>
  <r>
    <s v="ORD-2023-864121"/>
    <d v="2025-07-23T00:00:00"/>
    <x v="2"/>
    <x v="1"/>
    <x v="9"/>
    <d v="2023-03-27T00:00:00"/>
    <d v="2023-04-22T00:00:00"/>
    <d v="2023-04-22T00:00:00"/>
    <n v="26"/>
    <x v="0"/>
    <x v="4"/>
    <s v="Delhi"/>
    <s v="Non-Profit"/>
    <x v="4"/>
    <x v="5"/>
    <x v="6"/>
    <x v="593"/>
    <n v="178.53"/>
    <s v="Low"/>
    <n v="199.37"/>
    <n v="199.37"/>
    <n v="0.10100000000000001"/>
    <n v="37"/>
    <n v="20.136370000000003"/>
    <n v="6631.6443100000006"/>
    <n v="6611.5079400000004"/>
    <n v="6605.61"/>
    <n v="26.034310000000914"/>
    <n v="5.8979400000007445"/>
    <n v="1.0039412423682295"/>
  </r>
  <r>
    <s v="ORD-2024-692673"/>
    <d v="2025-07-23T00:00:00"/>
    <x v="2"/>
    <x v="2"/>
    <x v="9"/>
    <d v="2024-03-07T00:00:00"/>
    <d v="2024-03-25T00:00:00"/>
    <d v="2024-03-25T00:00:00"/>
    <n v="18"/>
    <x v="1"/>
    <x v="1"/>
    <s v="Munich"/>
    <s v="Corporate"/>
    <x v="2"/>
    <x v="11"/>
    <x v="2"/>
    <x v="594"/>
    <n v="712.84"/>
    <s v="Medium"/>
    <n v="927.51"/>
    <n v="927.51"/>
    <n v="0.24299999999999999"/>
    <n v="27"/>
    <n v="225.38493"/>
    <n v="18957.37689"/>
    <n v="18731.991959999999"/>
    <n v="19246.68"/>
    <n v="-289.30311000000074"/>
    <n v="-514.68804000000091"/>
    <n v="0.98496867459738502"/>
  </r>
  <r>
    <s v="ORD-2024-167215"/>
    <d v="2025-07-24T00:00:00"/>
    <x v="2"/>
    <x v="2"/>
    <x v="4"/>
    <d v="2024-08-23T00:00:00"/>
    <d v="2024-08-23T00:00:00"/>
    <d v="2024-08-21T00:00:00"/>
    <n v="-2"/>
    <x v="3"/>
    <x v="11"/>
    <s v="Johannesburg"/>
    <s v="Education"/>
    <x v="1"/>
    <x v="2"/>
    <x v="2"/>
    <x v="595"/>
    <n v="1432.52"/>
    <s v="High"/>
    <n v="3036.87"/>
    <n v="3036.87"/>
    <n v="0"/>
    <n v="9"/>
    <n v="0"/>
    <n v="27331.829999999998"/>
    <n v="27331.829999999998"/>
    <n v="12892.68"/>
    <n v="14439.149999999998"/>
    <n v="14439.149999999998"/>
    <n v="2.1199494596934074"/>
  </r>
  <r>
    <s v="ORD-2024-629525"/>
    <d v="2025-07-27T00:00:00"/>
    <x v="2"/>
    <x v="2"/>
    <x v="6"/>
    <d v="2024-04-18T00:00:00"/>
    <d v="2024-05-08T00:00:00"/>
    <d v="2024-05-08T00:00:00"/>
    <n v="20"/>
    <x v="1"/>
    <x v="7"/>
    <s v="London"/>
    <s v="Non-Profit"/>
    <x v="0"/>
    <x v="10"/>
    <x v="0"/>
    <x v="596"/>
    <n v="645.33000000000004"/>
    <s v="Medium"/>
    <n v="1321.85"/>
    <n v="1321.85"/>
    <n v="0"/>
    <n v="10"/>
    <n v="0"/>
    <n v="13218.5"/>
    <n v="13218.5"/>
    <n v="6453.3"/>
    <n v="6765.2"/>
    <n v="6765.2"/>
    <n v="2.0483318612182915"/>
  </r>
  <r>
    <s v="ORD-2023-562894"/>
    <d v="2025-08-01T00:00:00"/>
    <x v="2"/>
    <x v="1"/>
    <x v="0"/>
    <d v="2023-02-23T00:00:00"/>
    <d v="2023-03-25T00:00:00"/>
    <d v="2023-03-25T00:00:00"/>
    <n v="30"/>
    <x v="2"/>
    <x v="2"/>
    <s v="Montreal"/>
    <s v="Enterprise"/>
    <x v="2"/>
    <x v="10"/>
    <x v="1"/>
    <x v="597"/>
    <n v="1242.6600000000001"/>
    <s v="Medium"/>
    <n v="1794.07"/>
    <n v="1794.07"/>
    <n v="8.8999999999999996E-2"/>
    <n v="16"/>
    <n v="159.67222999999998"/>
    <n v="26150.364320000001"/>
    <n v="25990.69209"/>
    <n v="19882.560000000001"/>
    <n v="6267.8043199999993"/>
    <n v="6108.1320899999992"/>
    <n v="1.3152413129898766"/>
  </r>
  <r>
    <s v="ORD-2025-474710"/>
    <d v="2025-08-01T00:00:00"/>
    <x v="2"/>
    <x v="0"/>
    <x v="5"/>
    <d v="2025-07-24T00:00:00"/>
    <d v="2025-08-06T00:00:00"/>
    <d v="2025-08-06T00:00:00"/>
    <n v="13"/>
    <x v="3"/>
    <x v="11"/>
    <s v="Johannesburg"/>
    <s v="Education"/>
    <x v="4"/>
    <x v="10"/>
    <x v="4"/>
    <x v="598"/>
    <n v="1463.9"/>
    <s v="High"/>
    <n v="2633.02"/>
    <n v="2633.02"/>
    <n v="8.4000000000000005E-2"/>
    <n v="4"/>
    <n v="221.17368000000002"/>
    <n v="9647.3852800000004"/>
    <n v="9426.2116000000005"/>
    <n v="5855.6"/>
    <n v="3791.7852800000001"/>
    <n v="3570.6116000000002"/>
    <n v="1.6475485483981145"/>
  </r>
  <r>
    <s v="ORD-2024-170313"/>
    <d v="2025-08-02T00:00:00"/>
    <x v="2"/>
    <x v="2"/>
    <x v="2"/>
    <d v="2024-12-27T00:00:00"/>
    <d v="2025-01-15T00:00:00"/>
    <d v="2025-01-15T00:00:00"/>
    <n v="19"/>
    <x v="0"/>
    <x v="4"/>
    <s v="Delhi"/>
    <s v="Non-Profit"/>
    <x v="0"/>
    <x v="12"/>
    <x v="2"/>
    <x v="599"/>
    <n v="495.59"/>
    <s v="Medium"/>
    <n v="631.78"/>
    <n v="631.78"/>
    <n v="8.6999999999999994E-2"/>
    <n v="17"/>
    <n v="54.964859999999994"/>
    <n v="9805.8573800000013"/>
    <n v="9750.8925200000012"/>
    <n v="8425.0299999999988"/>
    <n v="1380.8273800000024"/>
    <n v="1325.8625200000024"/>
    <n v="1.1638958413204465"/>
  </r>
  <r>
    <s v="ORD-2025-548982"/>
    <d v="2025-08-03T00:00:00"/>
    <x v="2"/>
    <x v="0"/>
    <x v="6"/>
    <d v="2025-04-07T00:00:00"/>
    <d v="2025-04-11T00:00:00"/>
    <d v="2025-04-11T00:00:00"/>
    <n v="4"/>
    <x v="1"/>
    <x v="8"/>
    <s v="Lyon"/>
    <s v="Education"/>
    <x v="1"/>
    <x v="2"/>
    <x v="4"/>
    <x v="600"/>
    <n v="754.77"/>
    <s v="Medium"/>
    <n v="1666.18"/>
    <n v="1666.18"/>
    <n v="0.13900000000000001"/>
    <n v="14"/>
    <n v="231.59902000000002"/>
    <n v="20084.133720000002"/>
    <n v="19852.5347"/>
    <n v="10566.779999999999"/>
    <n v="9517.3537200000028"/>
    <n v="9285.7547000000013"/>
    <n v="1.9006862752891613"/>
  </r>
  <r>
    <s v="ORD-2024-855073"/>
    <d v="2025-08-05T00:00:00"/>
    <x v="2"/>
    <x v="2"/>
    <x v="5"/>
    <d v="2024-07-19T00:00:00"/>
    <d v="2024-07-19T00:00:00"/>
    <d v="2024-07-19T00:00:00"/>
    <n v="0"/>
    <x v="3"/>
    <x v="5"/>
    <s v="Kisumu"/>
    <s v="Small Business"/>
    <x v="1"/>
    <x v="3"/>
    <x v="1"/>
    <x v="601"/>
    <n v="857.24"/>
    <s v="Medium"/>
    <n v="758.23"/>
    <n v="758.23"/>
    <n v="0.125"/>
    <n v="6"/>
    <n v="94.778750000000002"/>
    <n v="3980.7075"/>
    <n v="3885.92875"/>
    <n v="5143.4400000000005"/>
    <n v="-1162.7325000000005"/>
    <n v="-1257.5112500000005"/>
    <n v="0.77393874527553541"/>
  </r>
  <r>
    <s v="ORD-2023-897079"/>
    <d v="2025-08-05T00:00:00"/>
    <x v="2"/>
    <x v="1"/>
    <x v="6"/>
    <d v="2023-04-14T00:00:00"/>
    <d v="2023-05-14T00:00:00"/>
    <d v="2023-05-14T00:00:00"/>
    <n v="30"/>
    <x v="3"/>
    <x v="5"/>
    <s v="Nakuru"/>
    <s v="Consumer"/>
    <x v="4"/>
    <x v="13"/>
    <x v="1"/>
    <x v="602"/>
    <n v="209.25"/>
    <s v="Low"/>
    <n v="434.8"/>
    <n v="434.8"/>
    <n v="0"/>
    <n v="9"/>
    <n v="0"/>
    <n v="3913.2000000000003"/>
    <n v="3913.2000000000003"/>
    <n v="1883.25"/>
    <n v="2029.9500000000003"/>
    <n v="2029.9500000000003"/>
    <n v="2.0778972520908008"/>
  </r>
  <r>
    <s v="ORD-2024-788105"/>
    <d v="2025-08-06T00:00:00"/>
    <x v="2"/>
    <x v="2"/>
    <x v="1"/>
    <d v="2024-11-30T00:00:00"/>
    <d v="2024-12-30T00:00:00"/>
    <d v="2024-12-30T00:00:00"/>
    <n v="30"/>
    <x v="1"/>
    <x v="8"/>
    <s v="Marseille"/>
    <s v="Consumer"/>
    <x v="4"/>
    <x v="9"/>
    <x v="6"/>
    <x v="603"/>
    <n v="117.64"/>
    <s v="Low"/>
    <n v="175.67"/>
    <n v="175.67"/>
    <n v="0"/>
    <n v="10"/>
    <n v="0"/>
    <n v="1756.6999999999998"/>
    <n v="1756.6999999999998"/>
    <n v="1176.4000000000001"/>
    <n v="580.29999999999973"/>
    <n v="580.29999999999973"/>
    <n v="1.4932845970758242"/>
  </r>
  <r>
    <s v="ORD-2023-271836"/>
    <d v="2025-08-07T00:00:00"/>
    <x v="2"/>
    <x v="1"/>
    <x v="0"/>
    <d v="2023-02-07T00:00:00"/>
    <d v="2023-02-12T00:00:00"/>
    <d v="2023-02-12T00:00:00"/>
    <n v="5"/>
    <x v="2"/>
    <x v="6"/>
    <s v="São Paulo"/>
    <s v="Education"/>
    <x v="2"/>
    <x v="0"/>
    <x v="2"/>
    <x v="604"/>
    <n v="948.55"/>
    <s v="Medium"/>
    <n v="2089.16"/>
    <n v="2089.16"/>
    <n v="7.0000000000000001E-3"/>
    <n v="12"/>
    <n v="14.62412"/>
    <n v="24894.430559999997"/>
    <n v="24879.806439999997"/>
    <n v="11382.599999999999"/>
    <n v="13511.830559999999"/>
    <n v="13497.206439999998"/>
    <n v="2.1870601233461597"/>
  </r>
  <r>
    <s v="ORD-2024-215294"/>
    <d v="2025-08-07T00:00:00"/>
    <x v="2"/>
    <x v="2"/>
    <x v="3"/>
    <d v="2024-06-30T00:00:00"/>
    <d v="2024-07-14T00:00:00"/>
    <d v="2024-07-14T00:00:00"/>
    <n v="14"/>
    <x v="2"/>
    <x v="6"/>
    <s v="Brasília"/>
    <s v="Education"/>
    <x v="1"/>
    <x v="4"/>
    <x v="5"/>
    <x v="605"/>
    <n v="1491.85"/>
    <s v="High"/>
    <n v="2583.02"/>
    <n v="2583.02"/>
    <n v="0.16800000000000001"/>
    <n v="4"/>
    <n v="433.94736"/>
    <n v="8596.2905599999995"/>
    <n v="8162.3431999999993"/>
    <n v="5967.4"/>
    <n v="2628.8905599999998"/>
    <n v="2194.9431999999997"/>
    <n v="1.4405420384086871"/>
  </r>
  <r>
    <s v="ORD-2024-500109"/>
    <d v="2025-08-10T00:00:00"/>
    <x v="2"/>
    <x v="2"/>
    <x v="11"/>
    <d v="2024-05-18T00:00:00"/>
    <d v="2024-05-23T00:00:00"/>
    <d v="2024-05-23T00:00:00"/>
    <n v="5"/>
    <x v="2"/>
    <x v="10"/>
    <s v="Chicago"/>
    <s v="Enterprise"/>
    <x v="1"/>
    <x v="14"/>
    <x v="0"/>
    <x v="606"/>
    <n v="1274.5899999999999"/>
    <s v="High"/>
    <n v="2553.69"/>
    <n v="2553.69"/>
    <n v="0.01"/>
    <n v="8"/>
    <n v="25.536900000000003"/>
    <n v="20225.2248"/>
    <n v="20199.687900000001"/>
    <n v="10196.719999999999"/>
    <n v="10028.504800000001"/>
    <n v="10002.967900000001"/>
    <n v="1.9835030088106764"/>
  </r>
  <r>
    <s v="ORD-2025-580047"/>
    <d v="2025-08-11T00:00:00"/>
    <x v="2"/>
    <x v="0"/>
    <x v="3"/>
    <d v="2025-06-14T00:00:00"/>
    <d v="2025-06-29T00:00:00"/>
    <d v="2025-06-29T00:00:00"/>
    <n v="15"/>
    <x v="3"/>
    <x v="9"/>
    <s v="Port Harcourt"/>
    <s v="Consumer"/>
    <x v="4"/>
    <x v="13"/>
    <x v="5"/>
    <x v="607"/>
    <n v="730.99"/>
    <s v="Medium"/>
    <n v="1242.8399999999999"/>
    <n v="1242.8399999999999"/>
    <n v="0.12"/>
    <n v="10"/>
    <n v="149.14079999999998"/>
    <n v="10936.992"/>
    <n v="10787.851200000001"/>
    <n v="7309.9"/>
    <n v="3627.0920000000006"/>
    <n v="3477.9512000000013"/>
    <n v="1.4961890039535426"/>
  </r>
  <r>
    <s v="ORD-2023-867836"/>
    <d v="2025-08-13T00:00:00"/>
    <x v="2"/>
    <x v="1"/>
    <x v="11"/>
    <d v="2023-05-11T00:00:00"/>
    <d v="2023-05-28T00:00:00"/>
    <d v="2023-05-28T00:00:00"/>
    <n v="17"/>
    <x v="0"/>
    <x v="3"/>
    <s v="Shenzhen"/>
    <s v="Enterprise"/>
    <x v="4"/>
    <x v="2"/>
    <x v="4"/>
    <x v="608"/>
    <n v="1331.19"/>
    <s v="High"/>
    <n v="2903.09"/>
    <n v="2903.09"/>
    <n v="0.14299999999999999"/>
    <n v="8"/>
    <n v="415.14186999999998"/>
    <n v="19903.585040000002"/>
    <n v="19488.443170000002"/>
    <n v="10649.52"/>
    <n v="9254.0650400000013"/>
    <n v="8838.9231700000018"/>
    <n v="1.868965459476108"/>
  </r>
  <r>
    <s v="ORD-2024-798002"/>
    <d v="2025-08-14T00:00:00"/>
    <x v="2"/>
    <x v="2"/>
    <x v="5"/>
    <d v="2024-07-25T00:00:00"/>
    <d v="2024-07-25T00:00:00"/>
    <d v="2024-07-24T00:00:00"/>
    <n v="-1"/>
    <x v="3"/>
    <x v="5"/>
    <s v="Mombasa"/>
    <s v="Non-Profit"/>
    <x v="3"/>
    <x v="5"/>
    <x v="0"/>
    <x v="609"/>
    <n v="1494.4"/>
    <s v="High"/>
    <n v="3661.07"/>
    <n v="3661.07"/>
    <n v="7.1999999999999995E-2"/>
    <n v="7"/>
    <n v="263.59703999999999"/>
    <n v="23782.310720000001"/>
    <n v="23518.713680000001"/>
    <n v="10460.800000000001"/>
    <n v="13321.51072"/>
    <n v="13057.91368"/>
    <n v="2.2734695931477513"/>
  </r>
  <r>
    <s v="ORD-2025-745263"/>
    <d v="2025-08-20T00:00:00"/>
    <x v="2"/>
    <x v="0"/>
    <x v="11"/>
    <d v="2025-05-21T00:00:00"/>
    <d v="2025-05-21T00:00:00"/>
    <d v="2025-05-19T00:00:00"/>
    <n v="-2"/>
    <x v="1"/>
    <x v="7"/>
    <s v="Birmingham"/>
    <s v="Enterprise"/>
    <x v="2"/>
    <x v="13"/>
    <x v="0"/>
    <x v="610"/>
    <n v="1015.16"/>
    <s v="High"/>
    <n v="2148.14"/>
    <n v="2148.14"/>
    <n v="3.7999999999999999E-2"/>
    <n v="19"/>
    <n v="81.629319999999993"/>
    <n v="39263.702919999996"/>
    <n v="39182.073599999996"/>
    <n v="19288.04"/>
    <n v="19975.662919999995"/>
    <n v="19894.033599999995"/>
    <n v="2.0356502226250046"/>
  </r>
  <r>
    <s v="ORD-2025-233883"/>
    <d v="2025-08-21T00:00:00"/>
    <x v="2"/>
    <x v="0"/>
    <x v="7"/>
    <d v="2025-09-08T00:00:00"/>
    <d v="2025-09-16T00:00:00"/>
    <d v="2025-09-16T00:00:00"/>
    <n v="8"/>
    <x v="0"/>
    <x v="0"/>
    <s v="Osaka"/>
    <s v="Corporate"/>
    <x v="0"/>
    <x v="4"/>
    <x v="1"/>
    <x v="611"/>
    <n v="1225.57"/>
    <s v="High"/>
    <n v="2705.57"/>
    <n v="2705.57"/>
    <n v="0.183"/>
    <n v="16"/>
    <n v="495.11931000000004"/>
    <n v="35367.211040000002"/>
    <n v="34872.09173"/>
    <n v="19609.12"/>
    <n v="15758.091040000003"/>
    <n v="15262.971730000001"/>
    <n v="1.8036103119364868"/>
  </r>
  <r>
    <s v="ORD-2025-843974"/>
    <d v="2025-08-21T00:00:00"/>
    <x v="2"/>
    <x v="0"/>
    <x v="5"/>
    <d v="2025-07-20T00:00:00"/>
    <d v="2025-08-05T00:00:00"/>
    <d v="2025-08-05T00:00:00"/>
    <n v="16"/>
    <x v="2"/>
    <x v="6"/>
    <s v="Brasília"/>
    <s v="Enterprise"/>
    <x v="4"/>
    <x v="12"/>
    <x v="5"/>
    <x v="612"/>
    <n v="1068.17"/>
    <s v="High"/>
    <n v="2375.37"/>
    <n v="2375.37"/>
    <n v="0.109"/>
    <n v="18"/>
    <n v="258.91532999999998"/>
    <n v="38096.18406"/>
    <n v="37837.268729999996"/>
    <n v="19227.060000000001"/>
    <n v="18869.124059999998"/>
    <n v="18610.208729999995"/>
    <n v="1.9813837404158512"/>
  </r>
  <r>
    <s v="ORD-2024-206081"/>
    <d v="2025-08-25T00:00:00"/>
    <x v="2"/>
    <x v="2"/>
    <x v="2"/>
    <d v="2024-12-10T00:00:00"/>
    <d v="2025-01-08T00:00:00"/>
    <d v="2025-01-08T00:00:00"/>
    <n v="29"/>
    <x v="1"/>
    <x v="8"/>
    <s v="Marseille"/>
    <s v="Small Business"/>
    <x v="1"/>
    <x v="8"/>
    <x v="6"/>
    <x v="613"/>
    <n v="891.08"/>
    <s v="High"/>
    <n v="1040.0999999999999"/>
    <n v="1040.0999999999999"/>
    <n v="0.109"/>
    <n v="28"/>
    <n v="113.37089999999999"/>
    <n v="25948.414799999995"/>
    <n v="25835.043899999993"/>
    <n v="24950.240000000002"/>
    <n v="998.17479999999341"/>
    <n v="884.8038999999917"/>
    <n v="1.0400066211787939"/>
  </r>
  <r>
    <s v="ORD-2025-840976"/>
    <d v="2025-08-28T00:00:00"/>
    <x v="2"/>
    <x v="0"/>
    <x v="7"/>
    <d v="2025-09-01T00:00:00"/>
    <d v="2025-09-30T00:00:00"/>
    <d v="2025-09-30T00:00:00"/>
    <n v="29"/>
    <x v="2"/>
    <x v="6"/>
    <s v="Brasília"/>
    <s v="Education"/>
    <x v="1"/>
    <x v="8"/>
    <x v="5"/>
    <x v="614"/>
    <n v="780.59"/>
    <s v="Medium"/>
    <n v="631.57000000000005"/>
    <n v="631.57000000000005"/>
    <n v="0"/>
    <n v="12"/>
    <n v="0"/>
    <n v="7578.84"/>
    <n v="7578.84"/>
    <n v="9367.08"/>
    <n v="-1788.2399999999998"/>
    <n v="-1788.2399999999998"/>
    <n v="0.80909312186935523"/>
  </r>
  <r>
    <s v="ORD-2023-937291"/>
    <d v="2025-08-28T00:00:00"/>
    <x v="2"/>
    <x v="1"/>
    <x v="6"/>
    <d v="2023-04-23T00:00:00"/>
    <d v="2023-04-23T00:00:00"/>
    <d v="2023-04-22T00:00:00"/>
    <n v="-1"/>
    <x v="3"/>
    <x v="5"/>
    <s v="Nairobi"/>
    <s v="Small Business"/>
    <x v="3"/>
    <x v="2"/>
    <x v="0"/>
    <x v="615"/>
    <n v="756.51"/>
    <s v="High"/>
    <n v="850.8"/>
    <n v="850.8"/>
    <n v="7.3999999999999996E-2"/>
    <n v="9"/>
    <n v="62.959199999999996"/>
    <n v="7090.5672000000004"/>
    <n v="7027.6080000000002"/>
    <n v="6808.59"/>
    <n v="281.97720000000027"/>
    <n v="219.01800000000003"/>
    <n v="1.0414149185073562"/>
  </r>
  <r>
    <s v="ORD-2025-487261"/>
    <d v="2025-08-30T00:00:00"/>
    <x v="2"/>
    <x v="0"/>
    <x v="9"/>
    <d v="2025-03-06T00:00:00"/>
    <d v="2025-03-31T00:00:00"/>
    <d v="2025-03-31T00:00:00"/>
    <n v="25"/>
    <x v="2"/>
    <x v="6"/>
    <s v="Brasília"/>
    <s v="Non-Profit"/>
    <x v="2"/>
    <x v="5"/>
    <x v="2"/>
    <x v="616"/>
    <n v="331.57"/>
    <s v="Low"/>
    <n v="548.4"/>
    <n v="548.4"/>
    <n v="9.4E-2"/>
    <n v="10"/>
    <n v="51.549599999999998"/>
    <n v="4968.5039999999999"/>
    <n v="4916.9543999999996"/>
    <n v="3315.7"/>
    <n v="1652.8040000000001"/>
    <n v="1601.2543999999998"/>
    <n v="1.4984781494103809"/>
  </r>
  <r>
    <s v="ORD-2024-890180"/>
    <d v="2025-08-30T00:00:00"/>
    <x v="2"/>
    <x v="2"/>
    <x v="10"/>
    <d v="2024-01-20T00:00:00"/>
    <d v="2024-02-13T00:00:00"/>
    <d v="2024-02-13T00:00:00"/>
    <n v="24"/>
    <x v="1"/>
    <x v="8"/>
    <s v="Marseille"/>
    <s v="Corporate"/>
    <x v="1"/>
    <x v="14"/>
    <x v="6"/>
    <x v="617"/>
    <n v="643.53"/>
    <s v="High"/>
    <n v="1439.01"/>
    <n v="1439.01"/>
    <n v="0"/>
    <n v="15"/>
    <n v="0"/>
    <n v="21585.15"/>
    <n v="21585.15"/>
    <n v="9652.9499999999989"/>
    <n v="11932.200000000003"/>
    <n v="11932.200000000003"/>
    <n v="2.2361195282271229"/>
  </r>
  <r>
    <s v="ORD-2025-515515"/>
    <d v="2025-09-01T00:00:00"/>
    <x v="2"/>
    <x v="0"/>
    <x v="10"/>
    <d v="2025-01-03T00:00:00"/>
    <d v="2025-01-23T00:00:00"/>
    <d v="2025-01-23T00:00:00"/>
    <n v="20"/>
    <x v="0"/>
    <x v="0"/>
    <s v="Osaka"/>
    <s v="Corporate"/>
    <x v="0"/>
    <x v="9"/>
    <x v="1"/>
    <x v="618"/>
    <n v="908.6"/>
    <s v="Medium"/>
    <n v="691.37"/>
    <n v="691.37"/>
    <n v="0.25"/>
    <n v="20"/>
    <n v="172.8425"/>
    <n v="10370.549999999999"/>
    <n v="10197.707499999999"/>
    <n v="18172"/>
    <n v="-7801.4500000000007"/>
    <n v="-7974.2925000000014"/>
    <n v="0.5706884217477437"/>
  </r>
  <r>
    <s v="ORD-2024-210687"/>
    <d v="2025-09-02T00:00:00"/>
    <x v="2"/>
    <x v="2"/>
    <x v="10"/>
    <d v="2024-01-28T00:00:00"/>
    <d v="2024-02-09T00:00:00"/>
    <d v="2024-02-09T00:00:00"/>
    <n v="12"/>
    <x v="1"/>
    <x v="1"/>
    <s v="Berlin"/>
    <s v="Corporate"/>
    <x v="2"/>
    <x v="12"/>
    <x v="5"/>
    <x v="619"/>
    <n v="644.16999999999996"/>
    <s v="Medium"/>
    <n v="700.12"/>
    <n v="700.12"/>
    <n v="6.0000000000000001E-3"/>
    <n v="23"/>
    <n v="4.2007200000000005"/>
    <n v="16006.14344"/>
    <n v="16001.942719999999"/>
    <n v="14815.91"/>
    <n v="1190.23344"/>
    <n v="1186.0327199999992"/>
    <n v="1.0803348184485462"/>
  </r>
  <r>
    <s v="ORD-2024-589570"/>
    <d v="2025-09-08T00:00:00"/>
    <x v="2"/>
    <x v="2"/>
    <x v="11"/>
    <d v="2024-05-04T00:00:00"/>
    <d v="2024-05-29T00:00:00"/>
    <d v="2024-05-29T00:00:00"/>
    <n v="25"/>
    <x v="3"/>
    <x v="9"/>
    <s v="Abuja"/>
    <s v="Non-Profit"/>
    <x v="4"/>
    <x v="6"/>
    <x v="3"/>
    <x v="620"/>
    <n v="1295.3399999999999"/>
    <s v="High"/>
    <n v="2530.81"/>
    <n v="2530.81"/>
    <n v="3.1E-2"/>
    <n v="6"/>
    <n v="78.455110000000005"/>
    <n v="14714.12934"/>
    <n v="14635.674229999999"/>
    <n v="7772.0399999999991"/>
    <n v="6942.0893400000004"/>
    <n v="6863.6342299999997"/>
    <n v="1.8932132799110659"/>
  </r>
  <r>
    <s v="ORD-2025-997421"/>
    <d v="2025-09-08T00:00:00"/>
    <x v="2"/>
    <x v="0"/>
    <x v="11"/>
    <d v="2025-05-21T00:00:00"/>
    <d v="2025-06-09T00:00:00"/>
    <d v="2025-06-09T00:00:00"/>
    <n v="19"/>
    <x v="2"/>
    <x v="6"/>
    <s v="São Paulo"/>
    <s v="Non-Profit"/>
    <x v="2"/>
    <x v="3"/>
    <x v="2"/>
    <x v="621"/>
    <n v="1331.38"/>
    <s v="High"/>
    <n v="2309.56"/>
    <n v="2309.56"/>
    <n v="0.14899999999999999"/>
    <n v="31"/>
    <n v="344.12443999999999"/>
    <n v="60928.502359999999"/>
    <n v="60584.377919999999"/>
    <n v="41272.780000000006"/>
    <n v="19655.722359999992"/>
    <n v="19311.597919999993"/>
    <n v="1.4762393606633717"/>
  </r>
  <r>
    <s v="ORD-2024-336584"/>
    <d v="2025-09-10T00:00:00"/>
    <x v="2"/>
    <x v="2"/>
    <x v="2"/>
    <d v="2024-12-27T00:00:00"/>
    <d v="2025-01-14T00:00:00"/>
    <d v="2025-01-14T00:00:00"/>
    <n v="18"/>
    <x v="0"/>
    <x v="4"/>
    <s v="Bengaluru"/>
    <s v="Small Business"/>
    <x v="4"/>
    <x v="2"/>
    <x v="3"/>
    <x v="622"/>
    <n v="586.07000000000005"/>
    <s v="High"/>
    <n v="845.97"/>
    <n v="845.97"/>
    <n v="0.14699999999999999"/>
    <n v="4"/>
    <n v="124.35759"/>
    <n v="2886.4496399999998"/>
    <n v="2762.0920499999997"/>
    <n v="2344.2800000000002"/>
    <n v="542.16963999999962"/>
    <n v="417.81204999999954"/>
    <n v="1.2312734144385482"/>
  </r>
  <r>
    <s v="ORD-2023-112666"/>
    <d v="2025-09-10T00:00:00"/>
    <x v="2"/>
    <x v="1"/>
    <x v="10"/>
    <d v="2023-01-15T00:00:00"/>
    <d v="2023-01-15T00:00:00"/>
    <d v="2023-01-13T00:00:00"/>
    <n v="-2"/>
    <x v="3"/>
    <x v="9"/>
    <s v="Abuja"/>
    <s v="Education"/>
    <x v="2"/>
    <x v="6"/>
    <x v="6"/>
    <x v="623"/>
    <n v="28.38"/>
    <s v="Low"/>
    <n v="47.22"/>
    <n v="47.22"/>
    <n v="0.19400000000000001"/>
    <n v="18"/>
    <n v="9.1606799999999993"/>
    <n v="685.06776000000002"/>
    <n v="675.90708000000006"/>
    <n v="510.84"/>
    <n v="174.22776000000005"/>
    <n v="165.06708000000009"/>
    <n v="1.3410613107822411"/>
  </r>
  <r>
    <s v="ORD-2023-723587"/>
    <d v="2025-09-11T00:00:00"/>
    <x v="2"/>
    <x v="1"/>
    <x v="10"/>
    <d v="2023-01-02T00:00:00"/>
    <d v="2023-01-05T00:00:00"/>
    <d v="2023-01-05T00:00:00"/>
    <n v="3"/>
    <x v="2"/>
    <x v="2"/>
    <s v="Toronto"/>
    <s v="Corporate"/>
    <x v="0"/>
    <x v="11"/>
    <x v="0"/>
    <x v="624"/>
    <n v="315.87"/>
    <s v="Medium"/>
    <n v="591.67999999999995"/>
    <n v="591.67999999999995"/>
    <n v="0"/>
    <n v="7"/>
    <n v="0"/>
    <n v="4141.7599999999993"/>
    <n v="4141.7599999999993"/>
    <n v="2211.09"/>
    <n v="1930.6699999999992"/>
    <n v="1930.6699999999992"/>
    <n v="1.873175673536581"/>
  </r>
  <r>
    <s v="ORD-2023-824839"/>
    <d v="2025-09-12T00:00:00"/>
    <x v="2"/>
    <x v="1"/>
    <x v="2"/>
    <d v="2023-12-06T00:00:00"/>
    <d v="2023-12-31T00:00:00"/>
    <d v="2023-12-31T00:00:00"/>
    <n v="25"/>
    <x v="0"/>
    <x v="0"/>
    <s v="Osaka"/>
    <s v="Consumer"/>
    <x v="1"/>
    <x v="1"/>
    <x v="6"/>
    <x v="625"/>
    <n v="663.03"/>
    <s v="High"/>
    <n v="813.51"/>
    <n v="813.51"/>
    <n v="0.10199999999999999"/>
    <n v="15"/>
    <n v="82.978020000000001"/>
    <n v="10957.9797"/>
    <n v="10875.001679999999"/>
    <n v="9945.4499999999989"/>
    <n v="1012.529700000001"/>
    <n v="929.55168000000049"/>
    <n v="1.101808334464504"/>
  </r>
  <r>
    <s v="ORD-2023-373538"/>
    <d v="2025-09-14T00:00:00"/>
    <x v="2"/>
    <x v="1"/>
    <x v="0"/>
    <d v="2023-02-28T00:00:00"/>
    <d v="2023-03-25T00:00:00"/>
    <d v="2023-03-25T00:00:00"/>
    <n v="25"/>
    <x v="3"/>
    <x v="5"/>
    <s v="Nairobi"/>
    <s v="Corporate"/>
    <x v="1"/>
    <x v="7"/>
    <x v="4"/>
    <x v="626"/>
    <n v="1460.76"/>
    <s v="Low"/>
    <n v="30.66"/>
    <n v="-30.66"/>
    <n v="0.13100000000000001"/>
    <n v="12"/>
    <n v="4.0164600000000004"/>
    <n v="319.72248000000002"/>
    <n v="315.70602000000002"/>
    <n v="17529.12"/>
    <n v="-17209.397519999999"/>
    <n v="-17213.413979999998"/>
    <n v="1.8239505462909721E-2"/>
  </r>
  <r>
    <s v="ORD-2025-168148"/>
    <d v="2025-09-14T00:00:00"/>
    <x v="2"/>
    <x v="0"/>
    <x v="9"/>
    <d v="2025-03-29T00:00:00"/>
    <d v="2025-04-02T00:00:00"/>
    <d v="2025-04-02T00:00:00"/>
    <n v="4"/>
    <x v="3"/>
    <x v="9"/>
    <s v="Lagos"/>
    <s v="Non-Profit"/>
    <x v="4"/>
    <x v="12"/>
    <x v="1"/>
    <x v="627"/>
    <n v="259.93"/>
    <s v="Low"/>
    <n v="255.94"/>
    <n v="255.94"/>
    <n v="7.1999999999999995E-2"/>
    <n v="22"/>
    <n v="18.427679999999999"/>
    <n v="5225.2710400000005"/>
    <n v="5206.8433600000008"/>
    <n v="5718.46"/>
    <n v="-493.1889599999995"/>
    <n v="-511.61663999999928"/>
    <n v="0.91375493402069796"/>
  </r>
  <r>
    <s v="ORD-2024-275203"/>
    <d v="2025-09-15T00:00:00"/>
    <x v="2"/>
    <x v="2"/>
    <x v="9"/>
    <d v="2024-03-11T00:00:00"/>
    <d v="2024-04-06T00:00:00"/>
    <d v="2024-04-06T00:00:00"/>
    <n v="26"/>
    <x v="3"/>
    <x v="5"/>
    <s v="Kisumu"/>
    <s v="Corporate"/>
    <x v="1"/>
    <x v="4"/>
    <x v="2"/>
    <x v="628"/>
    <n v="279.24"/>
    <s v="Low"/>
    <n v="608.9"/>
    <n v="608.9"/>
    <n v="0.112"/>
    <n v="9"/>
    <n v="68.196799999999996"/>
    <n v="4866.3287999999993"/>
    <n v="4798.1319999999996"/>
    <n v="2513.16"/>
    <n v="2353.1687999999995"/>
    <n v="2284.9719999999998"/>
    <n v="2.0679896826780979"/>
  </r>
  <r>
    <s v="ORD-2024-358795"/>
    <d v="2025-09-15T00:00:00"/>
    <x v="2"/>
    <x v="2"/>
    <x v="8"/>
    <d v="2024-10-23T00:00:00"/>
    <d v="2024-10-23T00:00:00"/>
    <d v="2024-10-22T00:00:00"/>
    <n v="-1"/>
    <x v="3"/>
    <x v="9"/>
    <s v="Port Harcourt"/>
    <s v="Education"/>
    <x v="2"/>
    <x v="5"/>
    <x v="6"/>
    <x v="629"/>
    <n v="1084.3900000000001"/>
    <s v="Low"/>
    <n v="759.33"/>
    <n v="759.33"/>
    <n v="0.23699999999999999"/>
    <n v="31"/>
    <n v="179.96120999999999"/>
    <n v="17960.432489999999"/>
    <n v="17780.471279999998"/>
    <n v="33616.090000000004"/>
    <n v="-15655.657510000005"/>
    <n v="-15835.618720000006"/>
    <n v="0.5342808306974427"/>
  </r>
  <r>
    <m/>
    <m/>
    <x v="4"/>
    <x v="3"/>
    <x v="12"/>
    <m/>
    <m/>
    <m/>
    <m/>
    <x v="4"/>
    <x v="12"/>
    <m/>
    <m/>
    <x v="5"/>
    <x v="16"/>
    <x v="7"/>
    <x v="630"/>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x v="0"/>
    <d v="2023-01-02T00:00:00"/>
    <s v="q1"/>
    <s v="2025"/>
    <s v="Feb"/>
    <d v="2025-02-28T00:00:00"/>
    <d v="2025-03-10T00:00:00"/>
    <d v="2025-03-10T00:00:00"/>
    <x v="0"/>
    <n v="10"/>
    <n v="10"/>
    <x v="0"/>
    <x v="0"/>
    <s v="Osaka"/>
    <s v="Education"/>
    <x v="0"/>
    <x v="0"/>
    <x v="0"/>
    <x v="0"/>
    <n v="51.86"/>
    <s v="Low"/>
    <n v="45.98"/>
    <n v="45.98"/>
    <n v="0.17299999999999999"/>
    <n v="7"/>
    <n v="7.9545399999999988"/>
    <n v="266.17821999999995"/>
    <n v="258.22367999999994"/>
    <n v="363.02"/>
    <n v="-96.841780000000028"/>
    <n v="-104.79632000000004"/>
    <n v="0.73323293482452745"/>
    <n v="0.17299999999999999"/>
    <n v="59.638999999999996"/>
    <n v="8.4"/>
  </r>
  <r>
    <x v="1"/>
    <d v="2023-01-07T00:00:00"/>
    <s v="q1"/>
    <s v="2023"/>
    <s v="Nov"/>
    <d v="2023-11-19T00:00:00"/>
    <d v="2023-12-19T00:00:00"/>
    <d v="2023-12-19T00:00:00"/>
    <x v="0"/>
    <n v="30"/>
    <n v="30"/>
    <x v="0"/>
    <x v="0"/>
    <s v="Nagoya"/>
    <s v="Consumer"/>
    <x v="1"/>
    <x v="1"/>
    <x v="1"/>
    <x v="1"/>
    <n v="807.11"/>
    <s v="Medium"/>
    <n v="1853.86"/>
    <n v="1853.86"/>
    <n v="0.13900000000000001"/>
    <n v="8"/>
    <n v="257.68654000000004"/>
    <n v="12769.38768"/>
    <n v="12511.701139999999"/>
    <n v="6456.88"/>
    <n v="6312.5076799999997"/>
    <n v="6054.8211399999991"/>
    <n v="1.9776405446593401"/>
    <n v="0.13900000000000001"/>
    <n v="928.17649999999992"/>
    <n v="9.6"/>
  </r>
  <r>
    <x v="2"/>
    <d v="2023-01-10T00:00:00"/>
    <s v="q1"/>
    <s v="2023"/>
    <s v="Dec"/>
    <d v="2023-12-07T00:00:00"/>
    <d v="2024-01-02T00:00:00"/>
    <d v="2024-01-02T00:00:00"/>
    <x v="0"/>
    <n v="26"/>
    <n v="26"/>
    <x v="1"/>
    <x v="1"/>
    <s v="Frankfurt"/>
    <s v="Enterprise"/>
    <x v="0"/>
    <x v="2"/>
    <x v="2"/>
    <x v="2"/>
    <n v="1071.99"/>
    <s v="High"/>
    <n v="2397.3000000000002"/>
    <n v="2397.3000000000002"/>
    <n v="6.2E-2"/>
    <n v="18"/>
    <n v="148.6326"/>
    <n v="40476.013200000001"/>
    <n v="40327.380600000004"/>
    <n v="19295.82"/>
    <n v="21180.193200000002"/>
    <n v="21031.560600000004"/>
    <n v="2.0976570676965269"/>
    <n v="6.2E-2"/>
    <n v="1232.7884999999999"/>
    <n v="21.599999999999998"/>
  </r>
  <r>
    <x v="3"/>
    <d v="2023-01-12T00:00:00"/>
    <s v="q1"/>
    <s v="2023"/>
    <s v="Jun"/>
    <d v="2023-06-23T00:00:00"/>
    <d v="2023-07-18T00:00:00"/>
    <d v="2023-07-18T00:00:00"/>
    <x v="0"/>
    <n v="25"/>
    <n v="25"/>
    <x v="2"/>
    <x v="2"/>
    <s v="Vancouver"/>
    <s v="Enterprise"/>
    <x v="2"/>
    <x v="0"/>
    <x v="1"/>
    <x v="3"/>
    <n v="807.02"/>
    <s v="Medium"/>
    <n v="1435.54"/>
    <n v="1435.54"/>
    <n v="0"/>
    <n v="23"/>
    <n v="0"/>
    <n v="33017.42"/>
    <n v="33017.42"/>
    <n v="18561.46"/>
    <n v="14455.96"/>
    <n v="14455.96"/>
    <n v="1.7788158905603331"/>
    <n v="0"/>
    <n v="928.07299999999987"/>
    <n v="27.599999999999998"/>
  </r>
  <r>
    <x v="4"/>
    <d v="2023-01-13T00:00:00"/>
    <s v="q1"/>
    <s v="2023"/>
    <s v="Aug"/>
    <d v="2023-08-03T00:00:00"/>
    <d v="2023-08-30T00:00:00"/>
    <d v="2023-08-30T00:00:00"/>
    <x v="0"/>
    <n v="27"/>
    <n v="27"/>
    <x v="0"/>
    <x v="3"/>
    <s v="Shanghai"/>
    <s v="Consumer"/>
    <x v="0"/>
    <x v="0"/>
    <x v="3"/>
    <x v="4"/>
    <n v="226.04"/>
    <s v="Low"/>
    <n v="545.72"/>
    <n v="545.72"/>
    <n v="0.151"/>
    <n v="11"/>
    <n v="82.403720000000007"/>
    <n v="5096.4790800000001"/>
    <n v="5014.0753599999998"/>
    <n v="2486.44"/>
    <n v="2610.03908"/>
    <n v="2527.6353599999998"/>
    <n v="2.0497092549991152"/>
    <n v="0.151"/>
    <n v="259.94599999999997"/>
    <n v="13.2"/>
  </r>
  <r>
    <x v="5"/>
    <d v="2023-01-15T00:00:00"/>
    <s v="q1"/>
    <s v="2023"/>
    <s v="Dec"/>
    <d v="2023-12-22T00:00:00"/>
    <d v="2024-01-16T00:00:00"/>
    <d v="2024-01-16T00:00:00"/>
    <x v="0"/>
    <n v="25"/>
    <n v="25"/>
    <x v="0"/>
    <x v="4"/>
    <s v="Hyderabad"/>
    <s v="Small Business"/>
    <x v="1"/>
    <x v="3"/>
    <x v="2"/>
    <x v="5"/>
    <n v="1346.81"/>
    <s v="Medium"/>
    <n v="978.09"/>
    <n v="978.09"/>
    <n v="0.159"/>
    <n v="17"/>
    <n v="155.51631"/>
    <n v="13983.752729999998"/>
    <n v="13828.236419999997"/>
    <n v="22895.77"/>
    <n v="-8912.0172700000021"/>
    <n v="-9067.533580000003"/>
    <n v="0.61075704071101333"/>
    <n v="0.159"/>
    <n v="1548.8314999999998"/>
    <n v="20.399999999999999"/>
  </r>
  <r>
    <x v="6"/>
    <d v="2023-01-19T00:00:00"/>
    <s v="q1"/>
    <s v="2023"/>
    <s v="Nov"/>
    <d v="2023-11-19T00:00:00"/>
    <d v="2023-12-12T00:00:00"/>
    <d v="2023-12-12T00:00:00"/>
    <x v="0"/>
    <n v="23"/>
    <n v="23"/>
    <x v="0"/>
    <x v="4"/>
    <s v="Delhi"/>
    <s v="Small Business"/>
    <x v="3"/>
    <x v="4"/>
    <x v="4"/>
    <x v="6"/>
    <n v="1349.04"/>
    <s v="High"/>
    <n v="2636.6"/>
    <n v="2636.6"/>
    <n v="0.114"/>
    <n v="14"/>
    <n v="300.57240000000002"/>
    <n v="32704.386400000003"/>
    <n v="32403.814000000002"/>
    <n v="18886.559999999998"/>
    <n v="13817.826400000005"/>
    <n v="13517.254000000004"/>
    <n v="1.7316221905947937"/>
    <n v="0.114"/>
    <n v="1551.3959999999997"/>
    <n v="16.8"/>
  </r>
  <r>
    <x v="7"/>
    <d v="2023-01-20T00:00:00"/>
    <s v="q1"/>
    <s v="2023"/>
    <s v="Aug"/>
    <d v="2023-08-03T00:00:00"/>
    <d v="2023-08-03T00:00:00"/>
    <d v="2023-08-02T00:00:00"/>
    <x v="1"/>
    <n v="0"/>
    <n v="-1"/>
    <x v="0"/>
    <x v="3"/>
    <s v="Shanghai"/>
    <s v="Non-Profit"/>
    <x v="3"/>
    <x v="5"/>
    <x v="4"/>
    <x v="7"/>
    <n v="1021.97"/>
    <s v="High"/>
    <n v="2296.25"/>
    <n v="2296.25"/>
    <n v="0.161"/>
    <n v="26"/>
    <n v="369.69625000000002"/>
    <n v="50090.397499999999"/>
    <n v="49720.701249999998"/>
    <n v="26571.22"/>
    <n v="23519.177499999998"/>
    <n v="23149.481249999997"/>
    <n v="1.8851372838733034"/>
    <n v="0.161"/>
    <n v="1175.2655"/>
    <n v="31.2"/>
  </r>
  <r>
    <x v="8"/>
    <d v="2023-01-22T00:00:00"/>
    <s v="q1"/>
    <s v="2024"/>
    <s v="Jul"/>
    <d v="2024-07-28T00:00:00"/>
    <d v="2024-08-23T00:00:00"/>
    <d v="2024-08-23T00:00:00"/>
    <x v="0"/>
    <n v="26"/>
    <n v="26"/>
    <x v="0"/>
    <x v="4"/>
    <s v="Hyderabad"/>
    <s v="Corporate"/>
    <x v="1"/>
    <x v="5"/>
    <x v="4"/>
    <x v="8"/>
    <n v="1339.24"/>
    <s v="Medium"/>
    <n v="1558.89"/>
    <n v="1558.89"/>
    <n v="0.192"/>
    <n v="24"/>
    <n v="299.30688000000004"/>
    <n v="30229.994880000002"/>
    <n v="29930.688000000002"/>
    <n v="32141.760000000002"/>
    <n v="-1911.76512"/>
    <n v="-2211.0720000000001"/>
    <n v="0.94052083271108988"/>
    <n v="0.192"/>
    <n v="1540.126"/>
    <n v="28.799999999999997"/>
  </r>
  <r>
    <x v="9"/>
    <d v="2023-01-22T00:00:00"/>
    <s v="q1"/>
    <s v="2025"/>
    <s v="Jul"/>
    <d v="2025-07-19T00:00:00"/>
    <d v="2025-07-31T00:00:00"/>
    <d v="2025-07-31T00:00:00"/>
    <x v="0"/>
    <n v="12"/>
    <n v="12"/>
    <x v="3"/>
    <x v="5"/>
    <s v="Nairobi"/>
    <s v="Small Business"/>
    <x v="4"/>
    <x v="6"/>
    <x v="5"/>
    <x v="9"/>
    <n v="619.64"/>
    <s v="Medium"/>
    <n v="861.16"/>
    <n v="861.16"/>
    <n v="0.113"/>
    <n v="14"/>
    <n v="97.311080000000004"/>
    <n v="10693.88488"/>
    <n v="10596.5738"/>
    <n v="8674.9599999999991"/>
    <n v="2018.9248800000005"/>
    <n v="1921.613800000001"/>
    <n v="1.2327301659027823"/>
    <n v="0.113"/>
    <n v="712.5859999999999"/>
    <n v="16.8"/>
  </r>
  <r>
    <x v="10"/>
    <d v="2023-01-26T00:00:00"/>
    <s v="q1"/>
    <s v="2025"/>
    <s v="Apr"/>
    <d v="2025-04-17T00:00:00"/>
    <d v="2025-05-03T00:00:00"/>
    <d v="2025-05-03T00:00:00"/>
    <x v="0"/>
    <n v="16"/>
    <n v="16"/>
    <x v="2"/>
    <x v="6"/>
    <s v="Rio de Janeiro"/>
    <s v="Consumer"/>
    <x v="4"/>
    <x v="5"/>
    <x v="4"/>
    <x v="10"/>
    <n v="168.68"/>
    <s v="Low"/>
    <n v="413.34"/>
    <n v="413.34"/>
    <n v="0.186"/>
    <n v="7"/>
    <n v="76.881239999999991"/>
    <n v="2355.2113199999999"/>
    <n v="2278.3300799999997"/>
    <n v="1180.76"/>
    <n v="1174.4513199999999"/>
    <n v="1097.5700799999997"/>
    <n v="1.9946571022053592"/>
    <n v="0.186"/>
    <n v="193.982"/>
    <n v="8.4"/>
  </r>
  <r>
    <x v="11"/>
    <d v="2023-01-27T00:00:00"/>
    <s v="q1"/>
    <s v="2023"/>
    <s v="Sept"/>
    <d v="2023-09-08T00:00:00"/>
    <d v="2023-09-14T00:00:00"/>
    <d v="2023-09-14T00:00:00"/>
    <x v="1"/>
    <n v="6"/>
    <n v="6"/>
    <x v="3"/>
    <x v="5"/>
    <s v="Nakuru"/>
    <s v="Education"/>
    <x v="3"/>
    <x v="7"/>
    <x v="5"/>
    <x v="11"/>
    <n v="251.03"/>
    <s v="Low"/>
    <n v="411.48"/>
    <n v="411.48"/>
    <n v="0.16500000000000001"/>
    <n v="3"/>
    <n v="67.894200000000012"/>
    <n v="1030.7574"/>
    <n v="962.86320000000001"/>
    <n v="753.09"/>
    <n v="277.66739999999993"/>
    <n v="209.77319999999997"/>
    <n v="1.3687041389475361"/>
    <n v="0.16500000000000001"/>
    <n v="288.68449999999996"/>
    <n v="3.5999999999999996"/>
  </r>
  <r>
    <x v="12"/>
    <d v="2023-01-29T00:00:00"/>
    <s v="q1"/>
    <s v="2025"/>
    <s v="Jul"/>
    <d v="2025-07-11T00:00:00"/>
    <d v="2025-07-16T00:00:00"/>
    <d v="2025-07-16T00:00:00"/>
    <x v="1"/>
    <n v="5"/>
    <n v="5"/>
    <x v="1"/>
    <x v="7"/>
    <s v="London"/>
    <s v="Enterprise"/>
    <x v="2"/>
    <x v="8"/>
    <x v="6"/>
    <x v="12"/>
    <n v="930.03"/>
    <s v="Medium"/>
    <n v="1086.68"/>
    <n v="1086.68"/>
    <n v="0.109"/>
    <n v="26"/>
    <n v="118.44812"/>
    <n v="25174.028880000002"/>
    <n v="25055.580760000001"/>
    <n v="24180.78"/>
    <n v="993.24888000000283"/>
    <n v="874.8007600000019"/>
    <n v="1.0410759652914423"/>
    <n v="0.109"/>
    <n v="1069.5345"/>
    <n v="31.2"/>
  </r>
  <r>
    <x v="13"/>
    <d v="2023-01-29T00:00:00"/>
    <s v="q1"/>
    <s v="2024"/>
    <s v="Oct"/>
    <d v="2024-10-13T00:00:00"/>
    <d v="2024-10-24T00:00:00"/>
    <d v="2024-10-24T00:00:00"/>
    <x v="0"/>
    <n v="11"/>
    <n v="11"/>
    <x v="1"/>
    <x v="8"/>
    <s v="Paris"/>
    <s v="Education"/>
    <x v="0"/>
    <x v="9"/>
    <x v="2"/>
    <x v="13"/>
    <n v="816.7"/>
    <s v="Medium"/>
    <n v="1010.75"/>
    <n v="1010.75"/>
    <n v="4.7E-2"/>
    <n v="43"/>
    <n v="47.505249999999997"/>
    <n v="41419.524249999995"/>
    <n v="41372.018999999993"/>
    <n v="35118.1"/>
    <n v="6301.4242499999964"/>
    <n v="6253.9189999999944"/>
    <n v="1.1794352271335864"/>
    <n v="4.7E-2"/>
    <n v="939.20499999999993"/>
    <n v="51.6"/>
  </r>
  <r>
    <x v="14"/>
    <d v="2023-01-30T00:00:00"/>
    <s v="q1"/>
    <s v="2024"/>
    <s v="Dec"/>
    <d v="2024-12-17T00:00:00"/>
    <d v="2025-01-16T00:00:00"/>
    <d v="2025-01-16T00:00:00"/>
    <x v="0"/>
    <n v="30"/>
    <n v="30"/>
    <x v="1"/>
    <x v="7"/>
    <s v="Manchester"/>
    <s v="Corporate"/>
    <x v="1"/>
    <x v="10"/>
    <x v="3"/>
    <x v="14"/>
    <n v="722.87"/>
    <s v="Low"/>
    <n v="33.659999999999997"/>
    <n v="-33.659999999999997"/>
    <n v="0.10199999999999999"/>
    <n v="28"/>
    <n v="3.4333199999999993"/>
    <n v="846.34703999999988"/>
    <n v="842.9137199999999"/>
    <n v="20240.36"/>
    <n v="-19394.01296"/>
    <n v="-19397.44628"/>
    <n v="4.1814821475507344E-2"/>
    <n v="0.10199999999999999"/>
    <n v="831.30049999999994"/>
    <n v="33.6"/>
  </r>
  <r>
    <x v="15"/>
    <d v="2023-02-05T00:00:00"/>
    <s v="q1"/>
    <s v="2023"/>
    <s v="Oct"/>
    <d v="2023-10-09T00:00:00"/>
    <d v="2023-10-11T00:00:00"/>
    <d v="2023-10-11T00:00:00"/>
    <x v="1"/>
    <n v="2"/>
    <n v="2"/>
    <x v="3"/>
    <x v="9"/>
    <s v="Port Harcourt"/>
    <s v="Education"/>
    <x v="4"/>
    <x v="8"/>
    <x v="4"/>
    <x v="15"/>
    <n v="391.16"/>
    <s v="Medium"/>
    <n v="902.47"/>
    <n v="902.47"/>
    <n v="4.0000000000000001E-3"/>
    <n v="12"/>
    <n v="3.60988"/>
    <n v="10786.32144"/>
    <n v="10782.71156"/>
    <n v="4693.92"/>
    <n v="6092.4014399999996"/>
    <n v="6088.7915599999997"/>
    <n v="2.2979346558952858"/>
    <n v="4.0000000000000001E-3"/>
    <n v="449.834"/>
    <n v="14.399999999999999"/>
  </r>
  <r>
    <x v="16"/>
    <d v="2023-02-07T00:00:00"/>
    <s v="q1"/>
    <s v="2025"/>
    <s v="Mar"/>
    <d v="2025-03-11T00:00:00"/>
    <d v="2025-03-27T00:00:00"/>
    <d v="2025-03-27T00:00:00"/>
    <x v="0"/>
    <n v="16"/>
    <n v="16"/>
    <x v="0"/>
    <x v="0"/>
    <s v="Tokyo"/>
    <s v="Enterprise"/>
    <x v="0"/>
    <x v="11"/>
    <x v="6"/>
    <x v="16"/>
    <n v="1317.58"/>
    <s v="Medium"/>
    <n v="1897.74"/>
    <n v="1897.74"/>
    <n v="8.1000000000000003E-2"/>
    <n v="6"/>
    <n v="153.71693999999999"/>
    <n v="10464.138360000001"/>
    <n v="10310.421420000001"/>
    <n v="7905.48"/>
    <n v="2558.6583600000013"/>
    <n v="2404.941420000001"/>
    <n v="1.3236562941149685"/>
    <n v="8.1000000000000003E-2"/>
    <n v="1515.2169999999999"/>
    <n v="7.1999999999999993"/>
  </r>
  <r>
    <x v="17"/>
    <d v="2023-02-08T00:00:00"/>
    <s v="q1"/>
    <s v="2023"/>
    <s v="Jul"/>
    <d v="2023-07-30T00:00:00"/>
    <d v="2023-08-19T00:00:00"/>
    <d v="2023-08-19T00:00:00"/>
    <x v="0"/>
    <n v="20"/>
    <n v="20"/>
    <x v="1"/>
    <x v="8"/>
    <s v="Paris"/>
    <s v="Enterprise"/>
    <x v="4"/>
    <x v="12"/>
    <x v="4"/>
    <x v="17"/>
    <n v="1418.51"/>
    <s v="High"/>
    <n v="2789.61"/>
    <n v="2789.61"/>
    <n v="0.17100000000000001"/>
    <n v="8"/>
    <n v="477.02331000000004"/>
    <n v="18500.693520000001"/>
    <n v="18023.67021"/>
    <n v="11348.08"/>
    <n v="7152.6135200000008"/>
    <n v="6675.5902100000003"/>
    <n v="1.6302928354400039"/>
    <n v="0.17100000000000001"/>
    <n v="1631.2864999999999"/>
    <n v="9.6"/>
  </r>
  <r>
    <x v="18"/>
    <d v="2023-02-11T00:00:00"/>
    <s v="q1"/>
    <s v="2024"/>
    <s v="Jun"/>
    <d v="2024-06-25T00:00:00"/>
    <d v="2024-06-30T00:00:00"/>
    <d v="2024-06-30T00:00:00"/>
    <x v="1"/>
    <n v="5"/>
    <n v="5"/>
    <x v="3"/>
    <x v="5"/>
    <s v="Kisumu"/>
    <s v="Education"/>
    <x v="3"/>
    <x v="13"/>
    <x v="4"/>
    <x v="18"/>
    <n v="1323.55"/>
    <s v="High"/>
    <n v="3230.35"/>
    <n v="3230.35"/>
    <n v="2.1999999999999999E-2"/>
    <n v="26"/>
    <n v="71.067699999999988"/>
    <n v="82141.339799999987"/>
    <n v="82070.272099999987"/>
    <n v="34412.299999999996"/>
    <n v="47729.039799999991"/>
    <n v="47657.972099999992"/>
    <n v="2.3869761625930264"/>
    <n v="2.1999999999999999E-2"/>
    <n v="1522.0824999999998"/>
    <n v="31.2"/>
  </r>
  <r>
    <x v="19"/>
    <d v="2023-02-15T00:00:00"/>
    <s v="q1"/>
    <s v="2024"/>
    <s v="Oct"/>
    <d v="2024-10-19T00:00:00"/>
    <d v="2024-11-06T00:00:00"/>
    <d v="2024-11-06T00:00:00"/>
    <x v="0"/>
    <n v="18"/>
    <n v="18"/>
    <x v="2"/>
    <x v="10"/>
    <s v="Chicago"/>
    <s v="Education"/>
    <x v="2"/>
    <x v="4"/>
    <x v="3"/>
    <x v="19"/>
    <n v="942.02"/>
    <s v="Medium"/>
    <n v="1028.46"/>
    <n v="1028.46"/>
    <n v="0"/>
    <n v="9"/>
    <n v="0"/>
    <n v="9256.14"/>
    <n v="9256.14"/>
    <n v="8478.18"/>
    <n v="777.95999999999913"/>
    <n v="777.95999999999913"/>
    <n v="1.0917602598670939"/>
    <n v="0"/>
    <n v="1083.3229999999999"/>
    <n v="10.799999999999999"/>
  </r>
  <r>
    <x v="20"/>
    <d v="2023-02-19T00:00:00"/>
    <s v="q1"/>
    <s v="2024"/>
    <s v="Feb"/>
    <d v="2024-02-01T00:00:00"/>
    <d v="2024-02-01T00:00:00"/>
    <d v="2024-02-01T00:00:00"/>
    <x v="1"/>
    <n v="0"/>
    <n v="0"/>
    <x v="2"/>
    <x v="10"/>
    <s v="Austin"/>
    <s v="Consumer"/>
    <x v="0"/>
    <x v="14"/>
    <x v="6"/>
    <x v="20"/>
    <n v="714.43"/>
    <s v="Medium"/>
    <n v="1595.52"/>
    <n v="1595.52"/>
    <n v="0.19400000000000001"/>
    <n v="14"/>
    <n v="309.53088000000002"/>
    <n v="18003.847679999999"/>
    <n v="17694.316800000001"/>
    <n v="10002.019999999999"/>
    <n v="8001.8276800000003"/>
    <n v="7692.2968000000019"/>
    <n v="1.8000211637249277"/>
    <n v="0.19400000000000001"/>
    <n v="821.59449999999993"/>
    <n v="16.8"/>
  </r>
  <r>
    <x v="21"/>
    <d v="2023-02-20T00:00:00"/>
    <s v="q1"/>
    <s v="2023"/>
    <s v="Apr"/>
    <d v="2023-04-16T00:00:00"/>
    <d v="2023-04-23T00:00:00"/>
    <d v="2023-04-23T00:00:00"/>
    <x v="0"/>
    <n v="7"/>
    <n v="7"/>
    <x v="2"/>
    <x v="10"/>
    <s v="Austin"/>
    <s v="Corporate"/>
    <x v="0"/>
    <x v="6"/>
    <x v="6"/>
    <x v="21"/>
    <n v="1099.1500000000001"/>
    <s v="Medium"/>
    <n v="1431.37"/>
    <n v="1431.37"/>
    <n v="0.104"/>
    <n v="8"/>
    <n v="148.86247999999998"/>
    <n v="10260.060159999999"/>
    <n v="10111.197679999999"/>
    <n v="8793.2000000000007"/>
    <n v="1466.8601599999984"/>
    <n v="1317.9976799999986"/>
    <n v="1.1668175590228811"/>
    <n v="0.104"/>
    <n v="1264.0225"/>
    <n v="9.6"/>
  </r>
  <r>
    <x v="22"/>
    <d v="2023-02-21T00:00:00"/>
    <s v="q1"/>
    <s v="2024"/>
    <s v="Jan"/>
    <d v="2024-01-28T00:00:00"/>
    <d v="2024-01-28T00:00:00"/>
    <d v="2024-01-27T00:00:00"/>
    <x v="1"/>
    <n v="0"/>
    <n v="-1"/>
    <x v="3"/>
    <x v="11"/>
    <s v="Cape Town"/>
    <s v="Enterprise"/>
    <x v="3"/>
    <x v="6"/>
    <x v="2"/>
    <x v="22"/>
    <n v="109.75"/>
    <s v="Low"/>
    <n v="124.25"/>
    <n v="124.25"/>
    <n v="0.12"/>
    <n v="19"/>
    <n v="14.91"/>
    <n v="2077.46"/>
    <n v="2062.5500000000002"/>
    <n v="2085.25"/>
    <n v="-7.7899999999999636"/>
    <n v="-22.699999999999818"/>
    <n v="0.99626423690205013"/>
    <n v="0.12"/>
    <n v="126.21249999999999"/>
    <n v="22.8"/>
  </r>
  <r>
    <x v="23"/>
    <d v="2023-02-23T00:00:00"/>
    <s v="q1"/>
    <s v="2023"/>
    <s v="Apr"/>
    <d v="2023-04-22T00:00:00"/>
    <d v="2023-05-14T00:00:00"/>
    <d v="2023-05-14T00:00:00"/>
    <x v="0"/>
    <n v="22"/>
    <n v="22"/>
    <x v="0"/>
    <x v="0"/>
    <s v="Nagoya"/>
    <s v="Enterprise"/>
    <x v="1"/>
    <x v="3"/>
    <x v="5"/>
    <x v="23"/>
    <n v="1209.22"/>
    <s v="Medium"/>
    <n v="1404.33"/>
    <n v="1404.33"/>
    <n v="0.10299999999999999"/>
    <n v="11"/>
    <n v="144.64598999999998"/>
    <n v="13856.52411"/>
    <n v="13711.878120000001"/>
    <n v="13301.42"/>
    <n v="555.10411000000022"/>
    <n v="410.45812000000114"/>
    <n v="1.0417326954565753"/>
    <n v="0.10299999999999999"/>
    <n v="1390.6029999999998"/>
    <n v="13.2"/>
  </r>
  <r>
    <x v="24"/>
    <d v="2023-02-23T00:00:00"/>
    <s v="q1"/>
    <s v="2025"/>
    <s v="Jun"/>
    <d v="2025-06-19T00:00:00"/>
    <d v="2025-06-21T00:00:00"/>
    <d v="2025-06-21T00:00:00"/>
    <x v="1"/>
    <n v="2"/>
    <n v="2"/>
    <x v="3"/>
    <x v="11"/>
    <s v="Johannesburg"/>
    <s v="Small Business"/>
    <x v="1"/>
    <x v="14"/>
    <x v="1"/>
    <x v="24"/>
    <n v="1466.27"/>
    <s v="High"/>
    <n v="3589.89"/>
    <n v="3589.89"/>
    <n v="9.7000000000000003E-2"/>
    <n v="9"/>
    <n v="348.21933000000001"/>
    <n v="29175.036029999999"/>
    <n v="28826.816699999999"/>
    <n v="13196.43"/>
    <n v="15978.606029999999"/>
    <n v="15630.386699999999"/>
    <n v="2.2108279307358125"/>
    <n v="9.7000000000000003E-2"/>
    <n v="1686.2104999999999"/>
    <n v="10.799999999999999"/>
  </r>
  <r>
    <x v="25"/>
    <d v="2023-02-23T00:00:00"/>
    <s v="q1"/>
    <s v="2024"/>
    <s v="Nov"/>
    <d v="2024-11-27T00:00:00"/>
    <d v="2024-12-24T00:00:00"/>
    <d v="2024-12-24T00:00:00"/>
    <x v="0"/>
    <n v="27"/>
    <n v="27"/>
    <x v="3"/>
    <x v="5"/>
    <s v="Mombasa"/>
    <s v="Corporate"/>
    <x v="0"/>
    <x v="11"/>
    <x v="6"/>
    <x v="25"/>
    <n v="143.33000000000001"/>
    <s v="Low"/>
    <n v="233.51"/>
    <n v="233.51"/>
    <n v="0.16300000000000001"/>
    <n v="14"/>
    <n v="38.062130000000003"/>
    <n v="2736.27018"/>
    <n v="2698.2080500000002"/>
    <n v="2006.6200000000001"/>
    <n v="729.65017999999986"/>
    <n v="691.58805000000007"/>
    <n v="1.3636215028256471"/>
    <n v="0.16300000000000001"/>
    <n v="164.8295"/>
    <n v="16.8"/>
  </r>
  <r>
    <x v="26"/>
    <d v="2023-02-24T00:00:00"/>
    <s v="q1"/>
    <s v="2023"/>
    <s v="Sept"/>
    <d v="2023-09-17T00:00:00"/>
    <d v="2023-10-02T00:00:00"/>
    <d v="2023-10-02T00:00:00"/>
    <x v="0"/>
    <n v="15"/>
    <n v="15"/>
    <x v="2"/>
    <x v="6"/>
    <s v="Rio de Janeiro"/>
    <s v="Small Business"/>
    <x v="1"/>
    <x v="11"/>
    <x v="0"/>
    <x v="26"/>
    <n v="689.33"/>
    <s v="Medium"/>
    <n v="668.27"/>
    <n v="668.27"/>
    <n v="0.186"/>
    <n v="13"/>
    <n v="124.29822"/>
    <n v="7071.6331400000008"/>
    <n v="6947.3349200000011"/>
    <n v="8961.2900000000009"/>
    <n v="-1889.6568600000001"/>
    <n v="-2013.9550799999997"/>
    <n v="0.78913115634021447"/>
    <n v="0.186"/>
    <n v="792.72950000000003"/>
    <n v="15.6"/>
  </r>
  <r>
    <x v="27"/>
    <d v="2023-02-27T00:00:00"/>
    <s v="q1"/>
    <s v="2023"/>
    <s v="Apr"/>
    <d v="2023-04-10T00:00:00"/>
    <d v="2023-04-25T00:00:00"/>
    <d v="2023-04-25T00:00:00"/>
    <x v="0"/>
    <n v="15"/>
    <n v="15"/>
    <x v="1"/>
    <x v="7"/>
    <s v="London"/>
    <s v="Small Business"/>
    <x v="1"/>
    <x v="10"/>
    <x v="6"/>
    <x v="27"/>
    <n v="405.66"/>
    <s v="Medium"/>
    <n v="962.51"/>
    <n v="962.51"/>
    <n v="0.19"/>
    <n v="7"/>
    <n v="182.87690000000001"/>
    <n v="5457.4317000000001"/>
    <n v="5274.5547999999999"/>
    <n v="2839.6200000000003"/>
    <n v="2617.8116999999997"/>
    <n v="2434.9347999999995"/>
    <n v="1.9218880343144504"/>
    <n v="0.19"/>
    <n v="466.50900000000001"/>
    <n v="8.4"/>
  </r>
  <r>
    <x v="28"/>
    <d v="2023-02-28T00:00:00"/>
    <s v="q1"/>
    <s v="2024"/>
    <s v="Mar"/>
    <d v="2024-03-09T00:00:00"/>
    <d v="2024-03-22T00:00:00"/>
    <d v="2024-03-22T00:00:00"/>
    <x v="0"/>
    <n v="13"/>
    <n v="13"/>
    <x v="1"/>
    <x v="7"/>
    <s v="Manchester"/>
    <s v="Consumer"/>
    <x v="2"/>
    <x v="2"/>
    <x v="0"/>
    <x v="28"/>
    <n v="985.45"/>
    <s v="Medium"/>
    <n v="1802.44"/>
    <n v="1802.44"/>
    <n v="8.9999999999999993E-3"/>
    <n v="19"/>
    <n v="16.221959999999999"/>
    <n v="33938.142760000002"/>
    <n v="33921.9208"/>
    <n v="18723.55"/>
    <n v="15214.592760000003"/>
    <n v="15198.370800000001"/>
    <n v="1.8125912425795323"/>
    <n v="8.9999999999999993E-3"/>
    <n v="1133.2674999999999"/>
    <n v="22.8"/>
  </r>
  <r>
    <x v="29"/>
    <d v="2023-02-28T00:00:00"/>
    <s v="q1"/>
    <s v="2024"/>
    <s v="Aug"/>
    <d v="2024-08-19T00:00:00"/>
    <d v="2024-09-02T00:00:00"/>
    <d v="2024-09-02T00:00:00"/>
    <x v="0"/>
    <n v="14"/>
    <n v="14"/>
    <x v="2"/>
    <x v="2"/>
    <s v="Toronto"/>
    <s v="Consumer"/>
    <x v="0"/>
    <x v="4"/>
    <x v="6"/>
    <x v="29"/>
    <n v="1337.01"/>
    <s v="Medium"/>
    <n v="1269.78"/>
    <n v="1269.78"/>
    <n v="0.16"/>
    <n v="7"/>
    <n v="203.16480000000001"/>
    <n v="7466.3063999999986"/>
    <n v="7263.141599999999"/>
    <n v="9359.07"/>
    <n v="-1892.7636000000011"/>
    <n v="-2095.9284000000007"/>
    <n v="0.79776157246393054"/>
    <n v="0.16"/>
    <n v="1537.5614999999998"/>
    <n v="8.4"/>
  </r>
  <r>
    <x v="30"/>
    <d v="2023-02-28T00:00:00"/>
    <s v="q1"/>
    <s v="2025"/>
    <s v="Aug"/>
    <d v="2025-08-11T00:00:00"/>
    <d v="2025-08-28T00:00:00"/>
    <d v="2025-08-28T00:00:00"/>
    <x v="0"/>
    <n v="17"/>
    <n v="17"/>
    <x v="1"/>
    <x v="8"/>
    <s v="Paris"/>
    <s v="Education"/>
    <x v="2"/>
    <x v="9"/>
    <x v="4"/>
    <x v="30"/>
    <n v="416.16"/>
    <s v="Low"/>
    <n v="571.9"/>
    <n v="571.9"/>
    <n v="7.0999999999999994E-2"/>
    <n v="2"/>
    <n v="40.604899999999994"/>
    <n v="1062.5902000000001"/>
    <n v="1021.9853000000001"/>
    <n v="832.32"/>
    <n v="230.27020000000005"/>
    <n v="189.6653"/>
    <n v="1.276660659361784"/>
    <n v="7.0999999999999994E-2"/>
    <n v="478.584"/>
    <n v="2.4"/>
  </r>
  <r>
    <x v="31"/>
    <d v="2023-02-28T00:00:00"/>
    <s v="q1"/>
    <s v="2025"/>
    <s v="May"/>
    <d v="2025-05-16T00:00:00"/>
    <d v="2025-05-18T00:00:00"/>
    <d v="2025-05-18T00:00:00"/>
    <x v="1"/>
    <n v="2"/>
    <n v="2"/>
    <x v="0"/>
    <x v="0"/>
    <s v="Tokyo"/>
    <s v="Enterprise"/>
    <x v="1"/>
    <x v="5"/>
    <x v="6"/>
    <x v="31"/>
    <n v="1144.3800000000001"/>
    <s v="High"/>
    <n v="2755.04"/>
    <n v="2755.04"/>
    <n v="0.15"/>
    <n v="17"/>
    <n v="413.25599999999997"/>
    <n v="39810.328000000001"/>
    <n v="39397.072"/>
    <n v="19454.460000000003"/>
    <n v="20355.867999999999"/>
    <n v="19942.611999999997"/>
    <n v="2.0463342595990839"/>
    <n v="0.15"/>
    <n v="1316.037"/>
    <n v="20.399999999999999"/>
  </r>
  <r>
    <x v="32"/>
    <d v="2023-03-02T00:00:00"/>
    <s v="q1"/>
    <s v="2024"/>
    <s v="Aug"/>
    <d v="2024-08-17T00:00:00"/>
    <d v="2024-08-17T00:00:00"/>
    <d v="2024-08-15T00:00:00"/>
    <x v="1"/>
    <n v="0"/>
    <n v="-2"/>
    <x v="2"/>
    <x v="6"/>
    <s v="Rio de Janeiro"/>
    <s v="Consumer"/>
    <x v="3"/>
    <x v="13"/>
    <x v="3"/>
    <x v="32"/>
    <n v="165.3"/>
    <s v="Low"/>
    <n v="275.07"/>
    <n v="275.07"/>
    <n v="0.13300000000000001"/>
    <n v="25"/>
    <n v="36.584310000000002"/>
    <n v="5962.1422499999999"/>
    <n v="5925.5579399999997"/>
    <n v="4132.5"/>
    <n v="1829.6422499999999"/>
    <n v="1793.0579399999997"/>
    <n v="1.4427446460980036"/>
    <n v="0.13300000000000001"/>
    <n v="190.095"/>
    <n v="30"/>
  </r>
  <r>
    <x v="33"/>
    <d v="2023-03-03T00:00:00"/>
    <s v="q1"/>
    <s v="2025"/>
    <s v="Mar"/>
    <d v="2025-03-10T00:00:00"/>
    <d v="2025-04-04T00:00:00"/>
    <d v="2025-04-04T00:00:00"/>
    <x v="0"/>
    <n v="25"/>
    <n v="25"/>
    <x v="0"/>
    <x v="0"/>
    <s v="Osaka"/>
    <s v="Corporate"/>
    <x v="3"/>
    <x v="14"/>
    <x v="6"/>
    <x v="33"/>
    <n v="783.72"/>
    <s v="Medium"/>
    <n v="1355.94"/>
    <n v="1355.94"/>
    <n v="0.187"/>
    <n v="4"/>
    <n v="253.56078000000002"/>
    <n v="4409.5168800000001"/>
    <n v="4155.9561000000003"/>
    <n v="3134.88"/>
    <n v="1274.63688"/>
    <n v="1021.0761000000002"/>
    <n v="1.406598300413413"/>
    <n v="0.187"/>
    <n v="901.27799999999991"/>
    <n v="4.8"/>
  </r>
  <r>
    <x v="34"/>
    <d v="2023-03-04T00:00:00"/>
    <s v="q1"/>
    <s v="2023"/>
    <s v="Jan"/>
    <d v="2023-01-07T00:00:00"/>
    <d v="2023-01-30T00:00:00"/>
    <d v="2023-01-30T00:00:00"/>
    <x v="0"/>
    <n v="23"/>
    <n v="23"/>
    <x v="3"/>
    <x v="11"/>
    <s v="Cape Town"/>
    <s v="Consumer"/>
    <x v="2"/>
    <x v="3"/>
    <x v="6"/>
    <x v="34"/>
    <n v="299.02"/>
    <s v="Medium"/>
    <n v="724.7"/>
    <n v="724.7"/>
    <n v="0.14000000000000001"/>
    <n v="5"/>
    <n v="101.45800000000001"/>
    <n v="3116.21"/>
    <n v="3014.752"/>
    <n v="1495.1"/>
    <n v="1621.1100000000001"/>
    <n v="1519.652"/>
    <n v="2.0842819878269014"/>
    <n v="0.14000000000000001"/>
    <n v="343.87299999999993"/>
    <n v="6"/>
  </r>
  <r>
    <x v="35"/>
    <d v="2023-03-06T00:00:00"/>
    <s v="q1"/>
    <s v="2025"/>
    <s v="Feb"/>
    <d v="2025-02-17T00:00:00"/>
    <d v="2025-02-17T00:00:00"/>
    <d v="2025-02-15T00:00:00"/>
    <x v="1"/>
    <n v="0"/>
    <n v="-2"/>
    <x v="2"/>
    <x v="2"/>
    <s v="Toronto"/>
    <s v="Small Business"/>
    <x v="1"/>
    <x v="10"/>
    <x v="2"/>
    <x v="35"/>
    <n v="1133.47"/>
    <s v="Medium"/>
    <n v="1698.75"/>
    <n v="1698.75"/>
    <n v="4.2999999999999997E-2"/>
    <n v="5"/>
    <n v="73.046250000000001"/>
    <n v="8128.5187499999993"/>
    <n v="8055.4724999999989"/>
    <n v="5667.35"/>
    <n v="2461.1687499999989"/>
    <n v="2388.1224999999986"/>
    <n v="1.4342715290215002"/>
    <n v="4.2999999999999997E-2"/>
    <n v="1303.4904999999999"/>
    <n v="6"/>
  </r>
  <r>
    <x v="36"/>
    <d v="2023-03-07T00:00:00"/>
    <s v="q1"/>
    <s v="2024"/>
    <s v="Jun"/>
    <d v="2024-06-30T00:00:00"/>
    <d v="2024-07-21T00:00:00"/>
    <d v="2024-07-21T00:00:00"/>
    <x v="0"/>
    <n v="21"/>
    <n v="21"/>
    <x v="3"/>
    <x v="5"/>
    <s v="Kisumu"/>
    <s v="Small Business"/>
    <x v="1"/>
    <x v="8"/>
    <x v="0"/>
    <x v="36"/>
    <n v="753.43"/>
    <s v="Medium"/>
    <n v="1787.2"/>
    <n v="1787.2"/>
    <n v="7.2999999999999995E-2"/>
    <n v="9"/>
    <n v="130.46559999999999"/>
    <n v="14910.609600000002"/>
    <n v="14780.144000000002"/>
    <n v="6780.87"/>
    <n v="8129.7396000000017"/>
    <n v="7999.2740000000022"/>
    <n v="2.198922793092922"/>
    <n v="7.2999999999999995E-2"/>
    <n v="866.44449999999983"/>
    <n v="10.799999999999999"/>
  </r>
  <r>
    <x v="37"/>
    <d v="2023-03-13T00:00:00"/>
    <s v="q1"/>
    <s v="2025"/>
    <s v="Jun"/>
    <d v="2025-06-15T00:00:00"/>
    <d v="2025-07-12T00:00:00"/>
    <d v="2025-07-12T00:00:00"/>
    <x v="0"/>
    <n v="27"/>
    <n v="27"/>
    <x v="1"/>
    <x v="8"/>
    <s v="Marseille"/>
    <s v="Consumer"/>
    <x v="3"/>
    <x v="4"/>
    <x v="5"/>
    <x v="37"/>
    <n v="318.83"/>
    <s v="Medium"/>
    <n v="699.5"/>
    <n v="699.5"/>
    <n v="0.08"/>
    <n v="13"/>
    <n v="55.96"/>
    <n v="8366.02"/>
    <n v="8310.0600000000013"/>
    <n v="4144.79"/>
    <n v="4221.2300000000005"/>
    <n v="4165.2700000000013"/>
    <n v="2.018442430135182"/>
    <n v="0.08"/>
    <n v="366.65449999999993"/>
    <n v="15.6"/>
  </r>
  <r>
    <x v="38"/>
    <d v="2023-03-14T00:00:00"/>
    <s v="q1"/>
    <s v="2023"/>
    <s v="Feb"/>
    <d v="2023-02-27T00:00:00"/>
    <d v="2023-02-27T00:00:00"/>
    <d v="2023-02-26T00:00:00"/>
    <x v="1"/>
    <n v="0"/>
    <n v="-1"/>
    <x v="2"/>
    <x v="10"/>
    <s v="San Francisco"/>
    <s v="Non-Profit"/>
    <x v="2"/>
    <x v="1"/>
    <x v="4"/>
    <x v="38"/>
    <n v="1015.91"/>
    <s v="High"/>
    <n v="2331.48"/>
    <n v="2331.48"/>
    <n v="0.14599999999999999"/>
    <n v="26"/>
    <n v="340.39607999999998"/>
    <n v="51768.181920000003"/>
    <n v="51427.785840000004"/>
    <n v="26413.66"/>
    <n v="25354.521920000003"/>
    <n v="25014.125840000004"/>
    <n v="1.9599018810721422"/>
    <n v="0.14599999999999999"/>
    <n v="1168.2964999999999"/>
    <n v="31.2"/>
  </r>
  <r>
    <x v="39"/>
    <d v="2023-03-14T00:00:00"/>
    <s v="q1"/>
    <s v="2024"/>
    <s v="Jul"/>
    <d v="2024-07-31T00:00:00"/>
    <d v="2024-08-15T00:00:00"/>
    <d v="2024-08-15T00:00:00"/>
    <x v="0"/>
    <n v="15"/>
    <n v="15"/>
    <x v="0"/>
    <x v="0"/>
    <s v="Tokyo"/>
    <s v="Corporate"/>
    <x v="4"/>
    <x v="9"/>
    <x v="3"/>
    <x v="39"/>
    <n v="1252.52"/>
    <s v="Medium"/>
    <n v="1417.24"/>
    <n v="1417.24"/>
    <n v="0.192"/>
    <n v="5"/>
    <n v="272.11007999999998"/>
    <n v="5725.6496000000006"/>
    <n v="5453.5395200000003"/>
    <n v="6262.6"/>
    <n v="-536.95039999999972"/>
    <n v="-809.0604800000001"/>
    <n v="0.91426078625491014"/>
    <n v="0.192"/>
    <n v="1440.3979999999999"/>
    <n v="6"/>
  </r>
  <r>
    <x v="40"/>
    <d v="2023-03-17T00:00:00"/>
    <s v="q1"/>
    <s v="2025"/>
    <s v="Aug"/>
    <d v="2025-08-30T00:00:00"/>
    <d v="2025-09-22T00:00:00"/>
    <d v="2025-09-22T00:00:00"/>
    <x v="0"/>
    <n v="23"/>
    <n v="23"/>
    <x v="1"/>
    <x v="8"/>
    <s v="Marseille"/>
    <s v="Corporate"/>
    <x v="3"/>
    <x v="2"/>
    <x v="2"/>
    <x v="40"/>
    <n v="663.9"/>
    <s v="Medium"/>
    <n v="947.77"/>
    <n v="947.77"/>
    <n v="0.17399999999999999"/>
    <n v="15"/>
    <n v="164.91197999999997"/>
    <n v="11742.8703"/>
    <n v="11577.95832"/>
    <n v="9958.5"/>
    <n v="1784.3703000000005"/>
    <n v="1619.4583199999997"/>
    <n v="1.1791806296128935"/>
    <n v="0.17399999999999999"/>
    <n v="763.4849999999999"/>
    <n v="18"/>
  </r>
  <r>
    <x v="41"/>
    <d v="2023-03-19T00:00:00"/>
    <s v="q1"/>
    <s v="2023"/>
    <s v="Apr"/>
    <d v="2023-04-03T00:00:00"/>
    <d v="2023-04-16T00:00:00"/>
    <d v="2023-04-16T00:00:00"/>
    <x v="0"/>
    <n v="13"/>
    <n v="13"/>
    <x v="1"/>
    <x v="8"/>
    <s v="Marseille"/>
    <s v="Non-Profit"/>
    <x v="4"/>
    <x v="13"/>
    <x v="5"/>
    <x v="41"/>
    <n v="790.54"/>
    <s v="Low"/>
    <n v="601.49"/>
    <n v="601.49"/>
    <n v="0"/>
    <n v="15"/>
    <n v="0"/>
    <n v="9022.35"/>
    <n v="9022.35"/>
    <n v="11858.099999999999"/>
    <n v="-2835.7499999999982"/>
    <n v="-2835.7499999999982"/>
    <n v="0.76085966554507056"/>
    <n v="0"/>
    <n v="909.12099999999987"/>
    <n v="18"/>
  </r>
  <r>
    <x v="42"/>
    <d v="2023-03-23T00:00:00"/>
    <s v="q1"/>
    <s v="2025"/>
    <s v="Feb"/>
    <d v="2025-02-15T00:00:00"/>
    <d v="2025-02-27T00:00:00"/>
    <d v="2025-02-27T00:00:00"/>
    <x v="0"/>
    <n v="12"/>
    <n v="12"/>
    <x v="1"/>
    <x v="8"/>
    <s v="Lyon"/>
    <s v="Non-Profit"/>
    <x v="3"/>
    <x v="8"/>
    <x v="5"/>
    <x v="42"/>
    <n v="1027.26"/>
    <s v="High"/>
    <n v="2200.41"/>
    <n v="2200.41"/>
    <n v="8.7999999999999995E-2"/>
    <n v="6"/>
    <n v="193.63607999999996"/>
    <n v="12040.64352"/>
    <n v="11847.007439999999"/>
    <n v="6163.5599999999995"/>
    <n v="5877.0835200000001"/>
    <n v="5683.4474399999999"/>
    <n v="1.9535209391974768"/>
    <n v="8.7999999999999995E-2"/>
    <n v="1181.3489999999999"/>
    <n v="7.1999999999999993"/>
  </r>
  <r>
    <x v="43"/>
    <d v="2023-03-25T00:00:00"/>
    <s v="q1"/>
    <s v="2024"/>
    <s v="Jun"/>
    <d v="2024-06-16T00:00:00"/>
    <d v="2024-06-21T00:00:00"/>
    <d v="2024-06-21T00:00:00"/>
    <x v="1"/>
    <n v="5"/>
    <n v="5"/>
    <x v="0"/>
    <x v="0"/>
    <s v="Tokyo"/>
    <s v="Small Business"/>
    <x v="0"/>
    <x v="9"/>
    <x v="1"/>
    <x v="43"/>
    <n v="1367.13"/>
    <s v="High"/>
    <n v="3062.01"/>
    <n v="3062.01"/>
    <n v="0.10299999999999999"/>
    <n v="25"/>
    <n v="315.38702999999998"/>
    <n v="68665.574250000005"/>
    <n v="68350.187220000007"/>
    <n v="34178.25"/>
    <n v="34487.324250000005"/>
    <n v="34171.937220000007"/>
    <n v="2.0090430098088699"/>
    <n v="0.10299999999999999"/>
    <n v="1572.1994999999999"/>
    <n v="30"/>
  </r>
  <r>
    <x v="44"/>
    <d v="2023-03-27T00:00:00"/>
    <s v="q1"/>
    <s v="2024"/>
    <s v="Mar"/>
    <d v="2024-03-13T00:00:00"/>
    <d v="2024-04-06T00:00:00"/>
    <d v="2024-04-06T00:00:00"/>
    <x v="0"/>
    <n v="24"/>
    <n v="24"/>
    <x v="3"/>
    <x v="9"/>
    <s v="Abuja"/>
    <s v="Consumer"/>
    <x v="0"/>
    <x v="1"/>
    <x v="2"/>
    <x v="44"/>
    <n v="1232.78"/>
    <s v="Medium"/>
    <n v="1731.75"/>
    <n v="1731.75"/>
    <n v="9.2999999999999999E-2"/>
    <n v="16"/>
    <n v="161.05275"/>
    <n v="25131.155999999999"/>
    <n v="24970.10325"/>
    <n v="19724.48"/>
    <n v="5406.6759999999995"/>
    <n v="5245.6232500000006"/>
    <n v="1.2741099385129544"/>
    <n v="9.2999999999999999E-2"/>
    <n v="1417.6969999999999"/>
    <n v="19.2"/>
  </r>
  <r>
    <x v="45"/>
    <d v="2023-03-31T00:00:00"/>
    <s v="q1"/>
    <s v="2025"/>
    <s v="Apr"/>
    <d v="2025-04-17T00:00:00"/>
    <d v="2025-04-17T00:00:00"/>
    <d v="2025-04-17T00:00:00"/>
    <x v="1"/>
    <n v="0"/>
    <n v="0"/>
    <x v="2"/>
    <x v="6"/>
    <s v="São Paulo"/>
    <s v="Corporate"/>
    <x v="0"/>
    <x v="1"/>
    <x v="1"/>
    <x v="45"/>
    <n v="719.41"/>
    <s v="Medium"/>
    <n v="1125.99"/>
    <n v="1125.99"/>
    <n v="4.1000000000000002E-2"/>
    <n v="21"/>
    <n v="46.165590000000002"/>
    <n v="22676.312610000001"/>
    <n v="22630.14702"/>
    <n v="15107.609999999999"/>
    <n v="7568.7026100000021"/>
    <n v="7522.5370200000016"/>
    <n v="1.5009860997206046"/>
    <n v="4.1000000000000002E-2"/>
    <n v="827.3214999999999"/>
    <n v="25.2"/>
  </r>
  <r>
    <x v="46"/>
    <d v="2023-03-31T00:00:00"/>
    <s v="q1"/>
    <s v="2023"/>
    <s v="May"/>
    <d v="2023-05-03T00:00:00"/>
    <d v="2023-05-16T00:00:00"/>
    <d v="2023-05-16T00:00:00"/>
    <x v="0"/>
    <n v="13"/>
    <n v="13"/>
    <x v="2"/>
    <x v="10"/>
    <s v="New York"/>
    <s v="Corporate"/>
    <x v="4"/>
    <x v="1"/>
    <x v="1"/>
    <x v="46"/>
    <n v="64.5"/>
    <s v="Low"/>
    <n v="123.62"/>
    <n v="123.62"/>
    <n v="0"/>
    <n v="3"/>
    <n v="0"/>
    <n v="370.86"/>
    <n v="370.86"/>
    <n v="193.5"/>
    <n v="177.36"/>
    <n v="177.36"/>
    <n v="1.9165891472868217"/>
    <n v="0"/>
    <n v="74.174999999999997"/>
    <n v="3.5999999999999996"/>
  </r>
  <r>
    <x v="47"/>
    <d v="2023-04-03T00:00:00"/>
    <s v="q2"/>
    <s v="2024"/>
    <s v="Aug"/>
    <d v="2024-08-03T00:00:00"/>
    <d v="2024-08-09T00:00:00"/>
    <d v="2024-08-09T00:00:00"/>
    <x v="1"/>
    <n v="6"/>
    <n v="6"/>
    <x v="3"/>
    <x v="5"/>
    <s v="Mombasa"/>
    <s v="Consumer"/>
    <x v="4"/>
    <x v="14"/>
    <x v="0"/>
    <x v="47"/>
    <n v="643.21"/>
    <s v="Medium"/>
    <n v="1112.81"/>
    <n v="1112.81"/>
    <n v="0.14099999999999999"/>
    <n v="4"/>
    <n v="156.90620999999999"/>
    <n v="3823.6151599999998"/>
    <n v="3666.7089499999997"/>
    <n v="2572.84"/>
    <n v="1250.7751599999997"/>
    <n v="1093.8689499999996"/>
    <n v="1.4861457222369054"/>
    <n v="0.14099999999999999"/>
    <n v="739.69150000000002"/>
    <n v="4.8"/>
  </r>
  <r>
    <x v="48"/>
    <d v="2023-04-05T00:00:00"/>
    <s v="q2"/>
    <s v="2024"/>
    <s v="Sept"/>
    <d v="2024-09-06T00:00:00"/>
    <d v="2024-09-06T00:00:00"/>
    <d v="2024-09-04T00:00:00"/>
    <x v="1"/>
    <n v="0"/>
    <n v="-2"/>
    <x v="0"/>
    <x v="0"/>
    <s v="Osaka"/>
    <s v="Corporate"/>
    <x v="3"/>
    <x v="3"/>
    <x v="0"/>
    <x v="48"/>
    <n v="1368.17"/>
    <s v="High"/>
    <n v="2307.75"/>
    <n v="2307.75"/>
    <n v="0.16300000000000001"/>
    <n v="21"/>
    <n v="376.16325000000001"/>
    <n v="40563.321749999996"/>
    <n v="40187.158499999998"/>
    <n v="28731.57"/>
    <n v="11831.751749999996"/>
    <n v="11455.588499999998"/>
    <n v="1.4118031750440367"/>
    <n v="0.16300000000000001"/>
    <n v="1573.3954999999999"/>
    <n v="25.2"/>
  </r>
  <r>
    <x v="49"/>
    <d v="2023-04-06T00:00:00"/>
    <s v="q2"/>
    <s v="2023"/>
    <s v="Jun"/>
    <d v="2023-06-03T00:00:00"/>
    <d v="2023-07-01T00:00:00"/>
    <d v="2023-07-01T00:00:00"/>
    <x v="0"/>
    <n v="28"/>
    <n v="28"/>
    <x v="2"/>
    <x v="6"/>
    <s v="Brasília"/>
    <s v="Small Business"/>
    <x v="4"/>
    <x v="3"/>
    <x v="2"/>
    <x v="49"/>
    <n v="860.4"/>
    <s v="High"/>
    <n v="2066.6"/>
    <n v="2066.6"/>
    <n v="0.01"/>
    <n v="3"/>
    <n v="20.666"/>
    <n v="6137.8019999999988"/>
    <n v="6117.1359999999986"/>
    <n v="2581.1999999999998"/>
    <n v="3556.601999999999"/>
    <n v="3535.9359999999988"/>
    <n v="2.3778870292887024"/>
    <n v="0.01"/>
    <n v="989.45999999999992"/>
    <n v="3.5999999999999996"/>
  </r>
  <r>
    <x v="50"/>
    <d v="2023-04-06T00:00:00"/>
    <s v="q2"/>
    <s v="2023"/>
    <s v="Jan"/>
    <d v="2023-01-29T00:00:00"/>
    <d v="2023-02-06T00:00:00"/>
    <d v="2023-02-06T00:00:00"/>
    <x v="0"/>
    <n v="8"/>
    <n v="8"/>
    <x v="2"/>
    <x v="6"/>
    <s v="Brasília"/>
    <s v="Corporate"/>
    <x v="4"/>
    <x v="10"/>
    <x v="3"/>
    <x v="50"/>
    <n v="41.84"/>
    <s v="Low"/>
    <n v="86.2"/>
    <n v="86.2"/>
    <n v="0.22600000000000001"/>
    <n v="27"/>
    <n v="19.481200000000001"/>
    <n v="1801.4076000000002"/>
    <n v="1781.9264000000003"/>
    <n v="1129.68"/>
    <n v="671.72760000000017"/>
    <n v="652.24640000000022"/>
    <n v="1.5946175908221798"/>
    <n v="0.2"/>
    <n v="48.116"/>
    <n v="32.4"/>
  </r>
  <r>
    <x v="51"/>
    <d v="2023-04-10T00:00:00"/>
    <s v="q2"/>
    <s v="2025"/>
    <s v="Jul"/>
    <d v="2025-07-11T00:00:00"/>
    <d v="2025-08-03T00:00:00"/>
    <d v="2025-08-03T00:00:00"/>
    <x v="0"/>
    <n v="23"/>
    <n v="23"/>
    <x v="3"/>
    <x v="5"/>
    <s v="Nakuru"/>
    <s v="Small Business"/>
    <x v="1"/>
    <x v="4"/>
    <x v="1"/>
    <x v="51"/>
    <n v="389.93"/>
    <s v="Low"/>
    <n v="486.13"/>
    <n v="486.13"/>
    <n v="0.13200000000000001"/>
    <n v="17"/>
    <n v="64.169160000000005"/>
    <n v="7173.3342799999991"/>
    <n v="7109.1651199999988"/>
    <n v="6628.81"/>
    <n v="544.52427999999873"/>
    <n v="480.35511999999835"/>
    <n v="1.0821451029671991"/>
    <n v="0.13200000000000001"/>
    <n v="448.41949999999997"/>
    <n v="20.399999999999999"/>
  </r>
  <r>
    <x v="52"/>
    <d v="2023-04-12T00:00:00"/>
    <s v="q2"/>
    <s v="2024"/>
    <s v="Nov"/>
    <d v="2024-11-11T00:00:00"/>
    <d v="2024-11-24T00:00:00"/>
    <d v="2024-11-24T00:00:00"/>
    <x v="0"/>
    <n v="13"/>
    <n v="13"/>
    <x v="1"/>
    <x v="7"/>
    <s v="London"/>
    <s v="Corporate"/>
    <x v="1"/>
    <x v="2"/>
    <x v="4"/>
    <x v="52"/>
    <n v="164.53"/>
    <s v="Low"/>
    <n v="327.72"/>
    <n v="327.72"/>
    <n v="6.7000000000000004E-2"/>
    <n v="14"/>
    <n v="21.957240000000002"/>
    <n v="4280.6786400000001"/>
    <n v="4258.7214000000004"/>
    <n v="2303.42"/>
    <n v="1977.25864"/>
    <n v="1955.3014000000003"/>
    <n v="1.8584012642071355"/>
    <n v="6.7000000000000004E-2"/>
    <n v="189.20949999999999"/>
    <n v="16.8"/>
  </r>
  <r>
    <x v="53"/>
    <d v="2023-04-13T00:00:00"/>
    <s v="q2"/>
    <s v="2025"/>
    <s v="Aug"/>
    <d v="2025-08-03T00:00:00"/>
    <d v="2025-08-16T00:00:00"/>
    <d v="2025-08-16T00:00:00"/>
    <x v="0"/>
    <n v="13"/>
    <n v="13"/>
    <x v="2"/>
    <x v="2"/>
    <s v="Montreal"/>
    <s v="Enterprise"/>
    <x v="0"/>
    <x v="6"/>
    <x v="4"/>
    <x v="53"/>
    <n v="698.66"/>
    <s v="Medium"/>
    <n v="868.62"/>
    <n v="868.62"/>
    <n v="7.1999999999999995E-2"/>
    <n v="15"/>
    <n v="62.540639999999996"/>
    <n v="12091.190399999999"/>
    <n v="12028.64976"/>
    <n v="10479.9"/>
    <n v="1611.2903999999999"/>
    <n v="1548.7497600000006"/>
    <n v="1.1537505510548764"/>
    <n v="7.1999999999999995E-2"/>
    <n v="803.45899999999995"/>
    <n v="18"/>
  </r>
  <r>
    <x v="54"/>
    <d v="2023-04-13T00:00:00"/>
    <s v="q2"/>
    <s v="2023"/>
    <s v="Aug"/>
    <d v="2023-08-02T00:00:00"/>
    <d v="2023-08-19T00:00:00"/>
    <d v="2023-08-19T00:00:00"/>
    <x v="0"/>
    <n v="17"/>
    <n v="17"/>
    <x v="2"/>
    <x v="2"/>
    <s v="Vancouver"/>
    <s v="Corporate"/>
    <x v="2"/>
    <x v="9"/>
    <x v="4"/>
    <x v="54"/>
    <n v="175.38"/>
    <s v="Low"/>
    <n v="347.9"/>
    <n v="347.9"/>
    <n v="7.1999999999999995E-2"/>
    <n v="43"/>
    <n v="25.048799999999996"/>
    <n v="13882.6016"/>
    <n v="13857.552799999999"/>
    <n v="7541.34"/>
    <n v="6341.2615999999998"/>
    <n v="6316.2127999999993"/>
    <n v="1.8408666894742844"/>
    <n v="7.1999999999999995E-2"/>
    <n v="201.68699999999998"/>
    <n v="51.6"/>
  </r>
  <r>
    <x v="55"/>
    <d v="2023-04-13T00:00:00"/>
    <s v="q2"/>
    <s v="2023"/>
    <s v="Jun"/>
    <d v="2023-06-15T00:00:00"/>
    <d v="2023-07-12T00:00:00"/>
    <d v="2023-07-12T00:00:00"/>
    <x v="0"/>
    <n v="27"/>
    <n v="27"/>
    <x v="1"/>
    <x v="7"/>
    <s v="Manchester"/>
    <s v="Consumer"/>
    <x v="3"/>
    <x v="7"/>
    <x v="5"/>
    <x v="55"/>
    <n v="751.28"/>
    <s v="Medium"/>
    <n v="1111.8800000000001"/>
    <n v="1111.8800000000001"/>
    <n v="0.13500000000000001"/>
    <n v="7"/>
    <n v="150.10380000000004"/>
    <n v="6732.4334000000008"/>
    <n v="6582.3296000000009"/>
    <n v="5258.96"/>
    <n v="1473.4734000000008"/>
    <n v="1323.3696000000009"/>
    <n v="1.2801834202960283"/>
    <n v="0.13500000000000001"/>
    <n v="863.97199999999987"/>
    <n v="8.4"/>
  </r>
  <r>
    <x v="56"/>
    <d v="2023-04-14T00:00:00"/>
    <s v="q2"/>
    <s v="2023"/>
    <s v="Dec"/>
    <d v="2023-12-19T00:00:00"/>
    <d v="2024-01-01T00:00:00"/>
    <d v="2024-01-01T00:00:00"/>
    <x v="0"/>
    <n v="13"/>
    <n v="13"/>
    <x v="2"/>
    <x v="2"/>
    <s v="Toronto"/>
    <s v="Enterprise"/>
    <x v="1"/>
    <x v="8"/>
    <x v="3"/>
    <x v="56"/>
    <n v="856.1"/>
    <s v="Medium"/>
    <n v="901.48"/>
    <n v="901.48"/>
    <n v="5.6000000000000001E-2"/>
    <n v="17"/>
    <n v="50.482880000000002"/>
    <n v="14466.95104"/>
    <n v="14416.46816"/>
    <n v="14553.7"/>
    <n v="-86.748960000000807"/>
    <n v="-137.23184000000037"/>
    <n v="0.99403938792197166"/>
    <n v="5.6000000000000001E-2"/>
    <n v="984.51499999999999"/>
    <n v="20.399999999999999"/>
  </r>
  <r>
    <x v="57"/>
    <d v="2023-04-14T00:00:00"/>
    <s v="q2"/>
    <s v="2023"/>
    <s v="Apr"/>
    <d v="2023-04-26T00:00:00"/>
    <d v="2023-04-26T00:00:00"/>
    <d v="2023-04-26T00:00:00"/>
    <x v="1"/>
    <n v="0"/>
    <n v="0"/>
    <x v="1"/>
    <x v="8"/>
    <s v="Marseille"/>
    <s v="Consumer"/>
    <x v="3"/>
    <x v="13"/>
    <x v="2"/>
    <x v="57"/>
    <n v="81.489999999999995"/>
    <s v="Low"/>
    <n v="113.08"/>
    <n v="113.08"/>
    <n v="0.121"/>
    <n v="5"/>
    <n v="13.68268"/>
    <n v="496.98660000000001"/>
    <n v="483.30392000000001"/>
    <n v="407.45"/>
    <n v="89.536600000000021"/>
    <n v="75.853920000000016"/>
    <n v="1.2197486808197326"/>
    <n v="0.121"/>
    <n v="93.713499999999982"/>
    <n v="6"/>
  </r>
  <r>
    <x v="58"/>
    <d v="2023-04-16T00:00:00"/>
    <s v="q2"/>
    <s v="2025"/>
    <s v="Mar"/>
    <d v="2025-03-24T00:00:00"/>
    <d v="2025-04-04T00:00:00"/>
    <d v="2025-04-04T00:00:00"/>
    <x v="0"/>
    <n v="11"/>
    <n v="11"/>
    <x v="0"/>
    <x v="4"/>
    <s v="Mumbai"/>
    <s v="Education"/>
    <x v="4"/>
    <x v="5"/>
    <x v="1"/>
    <x v="58"/>
    <n v="23.83"/>
    <s v="Low"/>
    <n v="47.29"/>
    <n v="47.29"/>
    <n v="6.4000000000000001E-2"/>
    <n v="19"/>
    <n v="3.0265599999999999"/>
    <n v="841.00536"/>
    <n v="837.97879999999998"/>
    <n v="452.77"/>
    <n v="388.23536000000001"/>
    <n v="385.2088"/>
    <n v="1.8574670583298365"/>
    <n v="6.4000000000000001E-2"/>
    <n v="27.404499999999995"/>
    <n v="22.8"/>
  </r>
  <r>
    <x v="59"/>
    <d v="2023-04-16T00:00:00"/>
    <s v="q2"/>
    <s v="2024"/>
    <s v="Jan"/>
    <d v="2024-01-02T00:00:00"/>
    <d v="2024-01-02T00:00:00"/>
    <d v="2024-01-02T00:00:00"/>
    <x v="1"/>
    <n v="0"/>
    <n v="0"/>
    <x v="2"/>
    <x v="2"/>
    <s v="Vancouver"/>
    <s v="Education"/>
    <x v="3"/>
    <x v="3"/>
    <x v="0"/>
    <x v="59"/>
    <n v="444.41"/>
    <s v="Medium"/>
    <n v="754.24"/>
    <n v="754.24"/>
    <n v="0.20699999999999999"/>
    <n v="32"/>
    <n v="156.12768"/>
    <n v="19139.594240000002"/>
    <n v="18983.466560000001"/>
    <n v="14221.12"/>
    <n v="4918.4742400000014"/>
    <n v="4762.34656"/>
    <n v="1.3458570239193539"/>
    <n v="0.2"/>
    <n v="511.07150000000001"/>
    <n v="38.4"/>
  </r>
  <r>
    <x v="60"/>
    <d v="2023-04-18T00:00:00"/>
    <s v="q2"/>
    <s v="2023"/>
    <s v="Jun"/>
    <d v="2023-06-01T00:00:00"/>
    <d v="2023-06-01T00:00:00"/>
    <d v="2023-06-01T00:00:00"/>
    <x v="1"/>
    <n v="0"/>
    <n v="0"/>
    <x v="0"/>
    <x v="4"/>
    <s v="Bengaluru"/>
    <s v="Corporate"/>
    <x v="1"/>
    <x v="2"/>
    <x v="5"/>
    <x v="60"/>
    <n v="669.37"/>
    <s v="Medium"/>
    <n v="997.2"/>
    <n v="997.2"/>
    <n v="8.2000000000000003E-2"/>
    <n v="5"/>
    <n v="81.770400000000009"/>
    <n v="4577.1480000000001"/>
    <n v="4495.3775999999998"/>
    <n v="3346.85"/>
    <n v="1230.2980000000002"/>
    <n v="1148.5275999999999"/>
    <n v="1.3675987869190434"/>
    <n v="8.2000000000000003E-2"/>
    <n v="769.77549999999997"/>
    <n v="6"/>
  </r>
  <r>
    <x v="61"/>
    <d v="2023-04-19T00:00:00"/>
    <s v="q2"/>
    <s v="2024"/>
    <s v="Feb"/>
    <d v="2024-02-08T00:00:00"/>
    <d v="2024-02-09T00:00:00"/>
    <d v="2024-02-09T00:00:00"/>
    <x v="1"/>
    <n v="1"/>
    <n v="1"/>
    <x v="3"/>
    <x v="5"/>
    <s v="Mombasa"/>
    <s v="Corporate"/>
    <x v="3"/>
    <x v="9"/>
    <x v="2"/>
    <x v="61"/>
    <n v="1233.52"/>
    <s v="Medium"/>
    <n v="1543.76"/>
    <n v="1543.76"/>
    <n v="0.126"/>
    <n v="13"/>
    <n v="194.51375999999999"/>
    <n v="17540.201120000002"/>
    <n v="17345.68736"/>
    <n v="16035.76"/>
    <n v="1504.4411200000013"/>
    <n v="1309.9273599999997"/>
    <n v="1.0938178870225048"/>
    <n v="0.126"/>
    <n v="1418.5479999999998"/>
    <n v="15.6"/>
  </r>
  <r>
    <x v="62"/>
    <d v="2023-04-19T00:00:00"/>
    <s v="q2"/>
    <s v="2025"/>
    <s v="Jun"/>
    <d v="2025-06-26T00:00:00"/>
    <d v="2025-07-11T00:00:00"/>
    <d v="2025-07-11T00:00:00"/>
    <x v="0"/>
    <n v="15"/>
    <n v="15"/>
    <x v="3"/>
    <x v="9"/>
    <s v="Port Harcourt"/>
    <s v="Small Business"/>
    <x v="2"/>
    <x v="3"/>
    <x v="0"/>
    <x v="62"/>
    <n v="1170.1500000000001"/>
    <s v="High"/>
    <n v="2115.19"/>
    <n v="2115.19"/>
    <n v="9.1999999999999998E-2"/>
    <n v="23"/>
    <n v="194.59747999999999"/>
    <n v="44173.627960000005"/>
    <n v="43979.030480000009"/>
    <n v="26913.45"/>
    <n v="17260.177960000005"/>
    <n v="17065.580480000008"/>
    <n v="1.6413216425244628"/>
    <n v="9.1999999999999998E-2"/>
    <n v="1345.6724999999999"/>
    <n v="27.599999999999998"/>
  </r>
  <r>
    <x v="63"/>
    <d v="2023-04-19T00:00:00"/>
    <s v="q2"/>
    <s v="2024"/>
    <s v="Nov"/>
    <d v="2024-11-04T00:00:00"/>
    <d v="2024-11-07T00:00:00"/>
    <d v="2024-11-07T00:00:00"/>
    <x v="1"/>
    <n v="3"/>
    <n v="3"/>
    <x v="1"/>
    <x v="8"/>
    <s v="Lyon"/>
    <s v="Corporate"/>
    <x v="2"/>
    <x v="6"/>
    <x v="3"/>
    <x v="63"/>
    <n v="740.68"/>
    <s v="Medium"/>
    <n v="1837.19"/>
    <n v="1837.19"/>
    <n v="0.19700000000000001"/>
    <n v="17"/>
    <n v="361.92643000000004"/>
    <n v="25079.480689999997"/>
    <n v="24717.554259999997"/>
    <n v="12591.56"/>
    <n v="12487.920689999997"/>
    <n v="12125.994259999998"/>
    <n v="1.9917691445698547"/>
    <n v="0.19700000000000001"/>
    <n v="851.78199999999993"/>
    <n v="20.399999999999999"/>
  </r>
  <r>
    <x v="64"/>
    <d v="2023-04-19T00:00:00"/>
    <s v="q2"/>
    <s v="2024"/>
    <s v="Feb"/>
    <d v="2024-02-20T00:00:00"/>
    <d v="2024-02-20T00:00:00"/>
    <d v="2024-02-20T00:00:00"/>
    <x v="1"/>
    <n v="0"/>
    <n v="0"/>
    <x v="2"/>
    <x v="10"/>
    <s v="New York"/>
    <s v="Enterprise"/>
    <x v="2"/>
    <x v="4"/>
    <x v="4"/>
    <x v="64"/>
    <n v="1407.05"/>
    <s v="High"/>
    <n v="2858.93"/>
    <n v="2858.93"/>
    <n v="0"/>
    <n v="12"/>
    <n v="0"/>
    <n v="34307.159999999996"/>
    <n v="34307.159999999996"/>
    <n v="16884.599999999999"/>
    <n v="17422.559999999998"/>
    <n v="17422.559999999998"/>
    <n v="2.0318609857503285"/>
    <n v="0"/>
    <n v="1618.1074999999998"/>
    <n v="14.399999999999999"/>
  </r>
  <r>
    <x v="65"/>
    <d v="2023-04-19T00:00:00"/>
    <s v="q2"/>
    <s v="2025"/>
    <s v="Apr"/>
    <d v="2025-04-13T00:00:00"/>
    <d v="2025-04-14T00:00:00"/>
    <d v="2025-04-14T00:00:00"/>
    <x v="1"/>
    <n v="1"/>
    <n v="1"/>
    <x v="0"/>
    <x v="0"/>
    <s v="Osaka"/>
    <s v="Enterprise"/>
    <x v="2"/>
    <x v="12"/>
    <x v="2"/>
    <x v="65"/>
    <n v="138.9"/>
    <s v="Low"/>
    <n v="289.92"/>
    <n v="289.92"/>
    <n v="2.9000000000000001E-2"/>
    <n v="12"/>
    <n v="8.4076800000000009"/>
    <n v="3378.1478400000001"/>
    <n v="3369.7401600000003"/>
    <n v="1666.8000000000002"/>
    <n v="1711.3478399999999"/>
    <n v="1702.9401600000001"/>
    <n v="2.0267265658747298"/>
    <n v="2.9000000000000001E-2"/>
    <n v="159.73499999999999"/>
    <n v="14.399999999999999"/>
  </r>
  <r>
    <x v="66"/>
    <d v="2023-04-21T00:00:00"/>
    <s v="q2"/>
    <s v="2025"/>
    <s v="Feb"/>
    <d v="2025-02-04T00:00:00"/>
    <d v="2025-02-08T00:00:00"/>
    <d v="2025-02-08T00:00:00"/>
    <x v="1"/>
    <n v="4"/>
    <n v="4"/>
    <x v="1"/>
    <x v="7"/>
    <s v="Manchester"/>
    <s v="Enterprise"/>
    <x v="4"/>
    <x v="1"/>
    <x v="4"/>
    <x v="66"/>
    <n v="586.21"/>
    <s v="Medium"/>
    <n v="727.22"/>
    <n v="727.22"/>
    <n v="6.8000000000000005E-2"/>
    <n v="15"/>
    <n v="49.450960000000002"/>
    <n v="10166.535600000001"/>
    <n v="10117.084640000001"/>
    <n v="8793.1500000000015"/>
    <n v="1373.3855999999996"/>
    <n v="1323.9346399999995"/>
    <n v="1.1561881237099332"/>
    <n v="6.8000000000000005E-2"/>
    <n v="674.14149999999995"/>
    <n v="18"/>
  </r>
  <r>
    <x v="67"/>
    <d v="2023-04-21T00:00:00"/>
    <s v="q2"/>
    <s v="2024"/>
    <s v="Jan"/>
    <d v="2024-01-24T00:00:00"/>
    <d v="2024-02-04T00:00:00"/>
    <d v="2024-02-04T00:00:00"/>
    <x v="0"/>
    <n v="11"/>
    <n v="11"/>
    <x v="1"/>
    <x v="7"/>
    <s v="Manchester"/>
    <s v="Consumer"/>
    <x v="1"/>
    <x v="11"/>
    <x v="0"/>
    <x v="67"/>
    <n v="525.34"/>
    <s v="Medium"/>
    <n v="1233.79"/>
    <n v="1233.79"/>
    <n v="0.14299999999999999"/>
    <n v="4"/>
    <n v="176.43196999999998"/>
    <n v="4229.4321199999995"/>
    <n v="4053.0001499999994"/>
    <n v="2101.36"/>
    <n v="2128.0721199999994"/>
    <n v="1951.6401499999993"/>
    <n v="2.012711824723036"/>
    <n v="0.14299999999999999"/>
    <n v="604.14099999999996"/>
    <n v="4.8"/>
  </r>
  <r>
    <x v="68"/>
    <d v="2023-04-22T00:00:00"/>
    <s v="q2"/>
    <s v="2023"/>
    <s v="Apr"/>
    <d v="2023-04-13T00:00:00"/>
    <d v="2023-05-02T00:00:00"/>
    <d v="2023-05-02T00:00:00"/>
    <x v="0"/>
    <n v="19"/>
    <n v="19"/>
    <x v="2"/>
    <x v="2"/>
    <s v="Montreal"/>
    <s v="Consumer"/>
    <x v="0"/>
    <x v="2"/>
    <x v="3"/>
    <x v="68"/>
    <n v="671.05"/>
    <s v="Medium"/>
    <n v="1645.48"/>
    <n v="1645.48"/>
    <n v="0.13700000000000001"/>
    <n v="6"/>
    <n v="225.43076000000002"/>
    <n v="8520.2954399999999"/>
    <n v="8294.8646800000006"/>
    <n v="4026.2999999999997"/>
    <n v="4493.9954400000006"/>
    <n v="4268.5646800000013"/>
    <n v="2.1161601072945384"/>
    <n v="0.13700000000000001"/>
    <n v="771.70749999999987"/>
    <n v="7.1999999999999993"/>
  </r>
  <r>
    <x v="69"/>
    <d v="2023-04-23T00:00:00"/>
    <s v="q2"/>
    <s v="2024"/>
    <s v="Nov"/>
    <d v="2024-11-30T00:00:00"/>
    <d v="2024-12-19T00:00:00"/>
    <d v="2024-12-19T00:00:00"/>
    <x v="0"/>
    <n v="19"/>
    <n v="19"/>
    <x v="3"/>
    <x v="5"/>
    <s v="Kisumu"/>
    <s v="Corporate"/>
    <x v="2"/>
    <x v="1"/>
    <x v="1"/>
    <x v="69"/>
    <n v="1195.98"/>
    <s v="Medium"/>
    <n v="1841.9"/>
    <n v="1841.9"/>
    <n v="5.5E-2"/>
    <n v="19"/>
    <n v="101.3045"/>
    <n v="33071.3145"/>
    <n v="32970.01"/>
    <n v="22723.62"/>
    <n v="10347.694500000001"/>
    <n v="10246.390000000003"/>
    <n v="1.4553717453469122"/>
    <n v="5.5E-2"/>
    <n v="1375.377"/>
    <n v="22.8"/>
  </r>
  <r>
    <x v="70"/>
    <d v="2023-04-26T00:00:00"/>
    <s v="q2"/>
    <s v="2024"/>
    <s v="Oct"/>
    <d v="2024-10-25T00:00:00"/>
    <d v="2024-11-05T00:00:00"/>
    <d v="2024-11-05T00:00:00"/>
    <x v="0"/>
    <n v="11"/>
    <n v="11"/>
    <x v="2"/>
    <x v="10"/>
    <s v="New York"/>
    <s v="Corporate"/>
    <x v="0"/>
    <x v="0"/>
    <x v="2"/>
    <x v="70"/>
    <n v="446.66"/>
    <s v="Low"/>
    <n v="527.64"/>
    <n v="527.64"/>
    <n v="0.14499999999999999"/>
    <n v="15"/>
    <n v="76.507799999999989"/>
    <n v="6766.9829999999993"/>
    <n v="6690.4751999999989"/>
    <n v="6699.9000000000005"/>
    <n v="67.082999999998719"/>
    <n v="-9.4248000000015963"/>
    <n v="1.0100125375005595"/>
    <n v="0.14499999999999999"/>
    <n v="513.65899999999999"/>
    <n v="18"/>
  </r>
  <r>
    <x v="71"/>
    <d v="2023-05-01T00:00:00"/>
    <s v="q2"/>
    <s v="2024"/>
    <s v="Jan"/>
    <d v="2024-01-08T00:00:00"/>
    <d v="2024-01-12T00:00:00"/>
    <d v="2024-01-12T00:00:00"/>
    <x v="1"/>
    <n v="4"/>
    <n v="4"/>
    <x v="0"/>
    <x v="4"/>
    <s v="Bengaluru"/>
    <s v="Corporate"/>
    <x v="3"/>
    <x v="2"/>
    <x v="6"/>
    <x v="71"/>
    <n v="802.32"/>
    <s v="Low"/>
    <n v="602.34"/>
    <n v="602.34"/>
    <n v="0.12"/>
    <n v="25"/>
    <n v="72.280799999999999"/>
    <n v="13251.48"/>
    <n v="13179.199199999999"/>
    <n v="20058"/>
    <n v="-6806.52"/>
    <n v="-6878.8008000000009"/>
    <n v="0.6606580915345498"/>
    <n v="0.12"/>
    <n v="922.66800000000001"/>
    <n v="30"/>
  </r>
  <r>
    <x v="72"/>
    <d v="2023-05-02T00:00:00"/>
    <s v="q2"/>
    <s v="2025"/>
    <s v="May"/>
    <d v="2025-05-14T00:00:00"/>
    <d v="2025-05-14T00:00:00"/>
    <d v="2025-05-12T00:00:00"/>
    <x v="1"/>
    <n v="0"/>
    <n v="-2"/>
    <x v="2"/>
    <x v="2"/>
    <s v="Vancouver"/>
    <s v="Non-Profit"/>
    <x v="0"/>
    <x v="9"/>
    <x v="6"/>
    <x v="72"/>
    <n v="883.5"/>
    <s v="High"/>
    <n v="1978.91"/>
    <n v="1978.91"/>
    <n v="5.3999999999999999E-2"/>
    <n v="27"/>
    <n v="106.86114000000001"/>
    <n v="50545.319219999998"/>
    <n v="50438.458079999997"/>
    <n v="23854.5"/>
    <n v="26690.819219999998"/>
    <n v="26583.958079999997"/>
    <n v="2.1189008036219579"/>
    <n v="5.3999999999999999E-2"/>
    <n v="1016.025"/>
    <n v="32.4"/>
  </r>
  <r>
    <x v="73"/>
    <d v="2023-05-02T00:00:00"/>
    <s v="q2"/>
    <s v="2024"/>
    <s v="Mar"/>
    <d v="2024-03-11T00:00:00"/>
    <d v="2024-03-29T00:00:00"/>
    <d v="2024-03-29T00:00:00"/>
    <x v="0"/>
    <n v="18"/>
    <n v="18"/>
    <x v="2"/>
    <x v="10"/>
    <s v="New York"/>
    <s v="Corporate"/>
    <x v="1"/>
    <x v="13"/>
    <x v="3"/>
    <x v="73"/>
    <n v="710.98"/>
    <s v="Medium"/>
    <n v="1481.45"/>
    <n v="1481.45"/>
    <n v="0.21099999999999999"/>
    <n v="9"/>
    <n v="312.58595000000003"/>
    <n v="10519.776450000001"/>
    <n v="10207.190500000001"/>
    <n v="6398.82"/>
    <n v="4120.9564500000015"/>
    <n v="3808.3705000000009"/>
    <n v="1.6440181861655745"/>
    <n v="0.2"/>
    <n v="817.62699999999995"/>
    <n v="10.799999999999999"/>
  </r>
  <r>
    <x v="74"/>
    <d v="2023-05-02T00:00:00"/>
    <s v="q2"/>
    <s v="2024"/>
    <s v="May"/>
    <d v="2024-05-18T00:00:00"/>
    <d v="2024-05-22T00:00:00"/>
    <d v="2024-05-22T00:00:00"/>
    <x v="1"/>
    <n v="4"/>
    <n v="4"/>
    <x v="3"/>
    <x v="5"/>
    <s v="Nairobi"/>
    <s v="Corporate"/>
    <x v="3"/>
    <x v="14"/>
    <x v="5"/>
    <x v="74"/>
    <n v="857.42"/>
    <s v="Medium"/>
    <n v="1658.92"/>
    <n v="1658.92"/>
    <n v="0.122"/>
    <n v="9"/>
    <n v="202.38824"/>
    <n v="13108.78584"/>
    <n v="12906.3976"/>
    <n v="7716.78"/>
    <n v="5392.0058400000007"/>
    <n v="5189.6176000000005"/>
    <n v="1.698737794779688"/>
    <n v="0.122"/>
    <n v="986.0329999999999"/>
    <n v="10.799999999999999"/>
  </r>
  <r>
    <x v="75"/>
    <d v="2023-05-03T00:00:00"/>
    <s v="q2"/>
    <s v="2023"/>
    <s v="May"/>
    <d v="2023-05-07T00:00:00"/>
    <d v="2023-05-20T00:00:00"/>
    <d v="2023-05-20T00:00:00"/>
    <x v="0"/>
    <n v="13"/>
    <n v="13"/>
    <x v="0"/>
    <x v="4"/>
    <s v="Mumbai"/>
    <s v="Enterprise"/>
    <x v="1"/>
    <x v="10"/>
    <x v="5"/>
    <x v="75"/>
    <n v="1443.28"/>
    <s v="High"/>
    <n v="2580.5700000000002"/>
    <n v="2580.5700000000002"/>
    <n v="0"/>
    <n v="18"/>
    <n v="0"/>
    <n v="46450.26"/>
    <n v="46450.26"/>
    <n v="25979.040000000001"/>
    <n v="20471.22"/>
    <n v="20471.22"/>
    <n v="1.7879898564381131"/>
    <n v="0"/>
    <n v="1659.7719999999999"/>
    <n v="21.599999999999998"/>
  </r>
  <r>
    <x v="76"/>
    <d v="2023-05-04T00:00:00"/>
    <s v="q2"/>
    <s v="2025"/>
    <s v="Feb"/>
    <d v="2025-02-15T00:00:00"/>
    <d v="2025-03-01T00:00:00"/>
    <d v="2025-03-01T00:00:00"/>
    <x v="0"/>
    <n v="14"/>
    <n v="14"/>
    <x v="3"/>
    <x v="5"/>
    <s v="Mombasa"/>
    <s v="Education"/>
    <x v="3"/>
    <x v="1"/>
    <x v="5"/>
    <x v="76"/>
    <n v="1162.8599999999999"/>
    <s v="Medium"/>
    <n v="1447.68"/>
    <n v="1447.68"/>
    <n v="8.6999999999999994E-2"/>
    <n v="12"/>
    <n v="125.94816"/>
    <n v="15860.782080000001"/>
    <n v="15734.833920000001"/>
    <n v="13954.32"/>
    <n v="1906.4620800000012"/>
    <n v="1780.5139200000012"/>
    <n v="1.1366216397502709"/>
    <n v="8.6999999999999994E-2"/>
    <n v="1337.2889999999998"/>
    <n v="14.399999999999999"/>
  </r>
  <r>
    <x v="77"/>
    <d v="2023-05-04T00:00:00"/>
    <s v="q2"/>
    <s v="2024"/>
    <s v="Aug"/>
    <d v="2024-08-31T00:00:00"/>
    <d v="2024-09-26T00:00:00"/>
    <d v="2024-09-26T00:00:00"/>
    <x v="0"/>
    <n v="26"/>
    <n v="26"/>
    <x v="0"/>
    <x v="0"/>
    <s v="Tokyo"/>
    <s v="Education"/>
    <x v="2"/>
    <x v="7"/>
    <x v="1"/>
    <x v="77"/>
    <n v="1189.03"/>
    <s v="High"/>
    <n v="2949.62"/>
    <n v="2949.62"/>
    <n v="0.125"/>
    <n v="13"/>
    <n v="368.70249999999999"/>
    <n v="33551.927499999998"/>
    <n v="33183.224999999999"/>
    <n v="15457.39"/>
    <n v="18094.537499999999"/>
    <n v="17725.834999999999"/>
    <n v="2.1706075540566681"/>
    <n v="0.125"/>
    <n v="1367.3844999999999"/>
    <n v="15.6"/>
  </r>
  <r>
    <x v="78"/>
    <d v="2023-05-06T00:00:00"/>
    <s v="q2"/>
    <s v="2025"/>
    <s v="Feb"/>
    <d v="2025-02-16T00:00:00"/>
    <d v="2025-03-17T00:00:00"/>
    <d v="2025-03-17T00:00:00"/>
    <x v="0"/>
    <n v="29"/>
    <n v="29"/>
    <x v="1"/>
    <x v="1"/>
    <s v="Munich"/>
    <s v="Consumer"/>
    <x v="1"/>
    <x v="1"/>
    <x v="5"/>
    <x v="78"/>
    <n v="730.42"/>
    <s v="Medium"/>
    <n v="956.7"/>
    <n v="956.7"/>
    <n v="4.2000000000000003E-2"/>
    <n v="22"/>
    <n v="40.181400000000004"/>
    <n v="20163.409200000002"/>
    <n v="20123.227800000001"/>
    <n v="16069.24"/>
    <n v="4094.1692000000021"/>
    <n v="4053.9878000000008"/>
    <n v="1.254783001560746"/>
    <n v="4.2000000000000003E-2"/>
    <n v="839.98299999999983"/>
    <n v="26.4"/>
  </r>
  <r>
    <x v="79"/>
    <d v="2023-05-07T00:00:00"/>
    <s v="q2"/>
    <s v="2024"/>
    <s v="Dec"/>
    <d v="2024-12-07T00:00:00"/>
    <d v="2024-12-26T00:00:00"/>
    <d v="2024-12-26T00:00:00"/>
    <x v="0"/>
    <n v="19"/>
    <n v="19"/>
    <x v="1"/>
    <x v="7"/>
    <s v="London"/>
    <s v="Enterprise"/>
    <x v="2"/>
    <x v="10"/>
    <x v="4"/>
    <x v="79"/>
    <n v="1035.24"/>
    <s v="High"/>
    <n v="2383.41"/>
    <n v="2383.41"/>
    <n v="0.17"/>
    <n v="15"/>
    <n v="405.17970000000003"/>
    <n v="29673.454499999993"/>
    <n v="29268.274799999992"/>
    <n v="15528.6"/>
    <n v="14144.854499999992"/>
    <n v="13739.674799999992"/>
    <n v="1.9108905181407205"/>
    <n v="0.17"/>
    <n v="1190.5259999999998"/>
    <n v="18"/>
  </r>
  <r>
    <x v="80"/>
    <d v="2023-05-07T00:00:00"/>
    <s v="q2"/>
    <s v="2025"/>
    <s v="Aug"/>
    <d v="2025-08-06T00:00:00"/>
    <d v="2025-08-23T00:00:00"/>
    <d v="2025-08-23T00:00:00"/>
    <x v="0"/>
    <n v="17"/>
    <n v="17"/>
    <x v="2"/>
    <x v="6"/>
    <s v="Brasília"/>
    <s v="Consumer"/>
    <x v="0"/>
    <x v="3"/>
    <x v="3"/>
    <x v="80"/>
    <n v="86.64"/>
    <s v="Low"/>
    <n v="213.06"/>
    <n v="213.06"/>
    <n v="0.21199999999999999"/>
    <n v="11"/>
    <n v="45.16872"/>
    <n v="1846.8040799999999"/>
    <n v="1801.63536"/>
    <n v="953.04"/>
    <n v="893.76407999999992"/>
    <n v="848.59536000000003"/>
    <n v="1.937803324099723"/>
    <n v="0.2"/>
    <n v="99.635999999999996"/>
    <n v="13.2"/>
  </r>
  <r>
    <x v="81"/>
    <d v="2023-05-07T00:00:00"/>
    <s v="q2"/>
    <s v="2023"/>
    <s v="Mar"/>
    <d v="2023-03-03T00:00:00"/>
    <d v="2023-03-20T00:00:00"/>
    <d v="2023-03-20T00:00:00"/>
    <x v="0"/>
    <n v="17"/>
    <n v="17"/>
    <x v="0"/>
    <x v="0"/>
    <s v="Nagoya"/>
    <s v="Small Business"/>
    <x v="2"/>
    <x v="10"/>
    <x v="4"/>
    <x v="81"/>
    <n v="1171.17"/>
    <s v="High"/>
    <n v="2030.64"/>
    <n v="2030.64"/>
    <n v="0.157"/>
    <n v="11"/>
    <n v="318.81048000000004"/>
    <n v="18830.12472"/>
    <n v="18511.31424"/>
    <n v="12882.87"/>
    <n v="5947.254719999999"/>
    <n v="5628.4442399999989"/>
    <n v="1.461640513332821"/>
    <n v="0.157"/>
    <n v="1346.8454999999999"/>
    <n v="13.2"/>
  </r>
  <r>
    <x v="82"/>
    <d v="2023-05-10T00:00:00"/>
    <s v="q2"/>
    <s v="2023"/>
    <s v="Feb"/>
    <d v="2023-02-28T00:00:00"/>
    <d v="2023-03-06T00:00:00"/>
    <d v="2023-03-06T00:00:00"/>
    <x v="1"/>
    <n v="6"/>
    <n v="6"/>
    <x v="1"/>
    <x v="1"/>
    <s v="Frankfurt"/>
    <s v="Small Business"/>
    <x v="4"/>
    <x v="10"/>
    <x v="6"/>
    <x v="82"/>
    <n v="880.02"/>
    <s v="Medium"/>
    <n v="1251.21"/>
    <n v="1251.21"/>
    <n v="0.123"/>
    <n v="29"/>
    <n v="153.89883"/>
    <n v="31822.023930000003"/>
    <n v="31668.125100000005"/>
    <n v="25520.579999999998"/>
    <n v="6301.4439300000049"/>
    <n v="6147.5451000000066"/>
    <n v="1.2469161723597193"/>
    <n v="0.123"/>
    <n v="1012.0229999999999"/>
    <n v="34.799999999999997"/>
  </r>
  <r>
    <x v="83"/>
    <d v="2023-05-10T00:00:00"/>
    <s v="q2"/>
    <s v="2024"/>
    <s v="Jul"/>
    <d v="2024-07-13T00:00:00"/>
    <d v="2024-08-03T00:00:00"/>
    <d v="2024-08-03T00:00:00"/>
    <x v="0"/>
    <n v="21"/>
    <n v="21"/>
    <x v="2"/>
    <x v="6"/>
    <s v="Rio de Janeiro"/>
    <s v="Corporate"/>
    <x v="4"/>
    <x v="13"/>
    <x v="3"/>
    <x v="83"/>
    <n v="702.98"/>
    <s v="Medium"/>
    <n v="1104.8"/>
    <n v="1104.8"/>
    <n v="0.17499999999999999"/>
    <n v="12"/>
    <n v="193.33999999999997"/>
    <n v="10937.519999999999"/>
    <n v="10744.179999999998"/>
    <n v="8435.76"/>
    <n v="2501.7599999999984"/>
    <n v="2308.4199999999983"/>
    <n v="1.2965660473982188"/>
    <n v="0.17499999999999999"/>
    <n v="808.42699999999991"/>
    <n v="14.399999999999999"/>
  </r>
  <r>
    <x v="84"/>
    <d v="2023-05-11T00:00:00"/>
    <s v="q2"/>
    <s v="2024"/>
    <s v="Mar"/>
    <d v="2024-03-04T00:00:00"/>
    <d v="2024-03-16T00:00:00"/>
    <d v="2024-03-16T00:00:00"/>
    <x v="0"/>
    <n v="12"/>
    <n v="12"/>
    <x v="3"/>
    <x v="11"/>
    <s v="Johannesburg"/>
    <s v="Enterprise"/>
    <x v="0"/>
    <x v="13"/>
    <x v="3"/>
    <x v="84"/>
    <n v="441.08"/>
    <s v="Medium"/>
    <n v="1054.29"/>
    <n v="1054.29"/>
    <n v="0.23699999999999999"/>
    <n v="6"/>
    <n v="249.86672999999999"/>
    <n v="4826.5396199999996"/>
    <n v="4576.6728899999998"/>
    <n v="2646.48"/>
    <n v="2180.0596199999995"/>
    <n v="1930.1928899999998"/>
    <n v="1.8237582071279586"/>
    <n v="0.2"/>
    <n v="507.24199999999996"/>
    <n v="7.1999999999999993"/>
  </r>
  <r>
    <x v="85"/>
    <d v="2023-05-11T00:00:00"/>
    <s v="q2"/>
    <s v="2023"/>
    <s v="Sept"/>
    <d v="2023-09-08T00:00:00"/>
    <d v="2023-10-02T00:00:00"/>
    <d v="2023-10-02T00:00:00"/>
    <x v="0"/>
    <n v="24"/>
    <n v="24"/>
    <x v="2"/>
    <x v="2"/>
    <s v="Toronto"/>
    <s v="Education"/>
    <x v="3"/>
    <x v="3"/>
    <x v="5"/>
    <x v="85"/>
    <n v="1299.03"/>
    <s v="High"/>
    <n v="2451.2199999999998"/>
    <n v="2451.2199999999998"/>
    <n v="0.20799999999999999"/>
    <n v="8"/>
    <n v="509.85375999999991"/>
    <n v="15530.929919999999"/>
    <n v="15021.076159999999"/>
    <n v="10392.24"/>
    <n v="5138.6899199999989"/>
    <n v="4628.8361599999989"/>
    <n v="1.4944737534929908"/>
    <n v="0.2"/>
    <n v="1493.8844999999999"/>
    <n v="9.6"/>
  </r>
  <r>
    <x v="86"/>
    <d v="2023-05-14T00:00:00"/>
    <s v="q2"/>
    <s v="2025"/>
    <s v="Aug"/>
    <d v="2025-08-20T00:00:00"/>
    <d v="2025-08-26T00:00:00"/>
    <d v="2025-08-26T00:00:00"/>
    <x v="1"/>
    <n v="6"/>
    <n v="6"/>
    <x v="2"/>
    <x v="10"/>
    <s v="New York"/>
    <s v="Corporate"/>
    <x v="1"/>
    <x v="13"/>
    <x v="4"/>
    <x v="86"/>
    <n v="1304.95"/>
    <s v="Medium"/>
    <n v="1712.03"/>
    <n v="1712.03"/>
    <n v="0.21199999999999999"/>
    <n v="8"/>
    <n v="362.95035999999999"/>
    <n v="10792.637119999999"/>
    <n v="10429.686759999999"/>
    <n v="10439.6"/>
    <n v="353.03711999999905"/>
    <n v="-9.9132400000016787"/>
    <n v="1.0338171117667343"/>
    <n v="0.2"/>
    <n v="1500.6924999999999"/>
    <n v="9.6"/>
  </r>
  <r>
    <x v="87"/>
    <d v="2023-05-17T00:00:00"/>
    <s v="q2"/>
    <s v="2023"/>
    <s v="Feb"/>
    <d v="2023-02-11T00:00:00"/>
    <d v="2023-02-12T00:00:00"/>
    <d v="2023-02-12T00:00:00"/>
    <x v="1"/>
    <n v="1"/>
    <n v="1"/>
    <x v="3"/>
    <x v="9"/>
    <s v="Port Harcourt"/>
    <s v="Non-Profit"/>
    <x v="3"/>
    <x v="10"/>
    <x v="5"/>
    <x v="87"/>
    <n v="944.61"/>
    <s v="Medium"/>
    <n v="839.04"/>
    <n v="839.04"/>
    <n v="5.8999999999999997E-2"/>
    <n v="6"/>
    <n v="49.503359999999994"/>
    <n v="4737.2198399999997"/>
    <n v="4687.71648"/>
    <n v="5667.66"/>
    <n v="-930.44016000000011"/>
    <n v="-979.94351999999981"/>
    <n v="0.83583345507669826"/>
    <n v="5.8999999999999997E-2"/>
    <n v="1086.3015"/>
    <n v="7.1999999999999993"/>
  </r>
  <r>
    <x v="88"/>
    <d v="2023-05-17T00:00:00"/>
    <s v="q2"/>
    <s v="2023"/>
    <s v="Jul"/>
    <d v="2023-07-01T00:00:00"/>
    <d v="2023-07-08T00:00:00"/>
    <d v="2023-07-08T00:00:00"/>
    <x v="0"/>
    <n v="7"/>
    <n v="7"/>
    <x v="1"/>
    <x v="1"/>
    <s v="Frankfurt"/>
    <s v="Small Business"/>
    <x v="0"/>
    <x v="0"/>
    <x v="0"/>
    <x v="88"/>
    <n v="460.21"/>
    <s v="Medium"/>
    <n v="1139.1500000000001"/>
    <n v="1139.1500000000001"/>
    <n v="0.115"/>
    <n v="14"/>
    <n v="131.00225"/>
    <n v="14114.068500000001"/>
    <n v="13983.066250000002"/>
    <n v="6442.94"/>
    <n v="7671.1285000000016"/>
    <n v="7540.1262500000021"/>
    <n v="2.1906254753264816"/>
    <n v="0.115"/>
    <n v="529.24149999999997"/>
    <n v="16.8"/>
  </r>
  <r>
    <x v="89"/>
    <d v="2023-05-20T00:00:00"/>
    <s v="q2"/>
    <s v="2023"/>
    <s v="Jan"/>
    <d v="2023-01-26T00:00:00"/>
    <d v="2023-02-15T00:00:00"/>
    <d v="2023-02-15T00:00:00"/>
    <x v="0"/>
    <n v="20"/>
    <n v="20"/>
    <x v="1"/>
    <x v="1"/>
    <s v="Berlin"/>
    <s v="Small Business"/>
    <x v="2"/>
    <x v="6"/>
    <x v="4"/>
    <x v="89"/>
    <n v="492.62"/>
    <s v="Low"/>
    <n v="366.7"/>
    <n v="366.7"/>
    <n v="8.8999999999999996E-2"/>
    <n v="10"/>
    <n v="32.636299999999999"/>
    <n v="3340.6370000000002"/>
    <n v="3308.0007000000001"/>
    <n v="4926.2"/>
    <n v="-1585.5629999999996"/>
    <n v="-1618.1992999999998"/>
    <n v="0.67813669765742368"/>
    <n v="8.8999999999999996E-2"/>
    <n v="566.51299999999992"/>
    <n v="12"/>
  </r>
  <r>
    <x v="90"/>
    <d v="2023-05-20T00:00:00"/>
    <s v="q2"/>
    <s v="2023"/>
    <s v="Jul"/>
    <d v="2023-07-08T00:00:00"/>
    <d v="2023-07-09T00:00:00"/>
    <d v="2023-07-09T00:00:00"/>
    <x v="1"/>
    <n v="1"/>
    <n v="1"/>
    <x v="3"/>
    <x v="5"/>
    <s v="Nairobi"/>
    <s v="Consumer"/>
    <x v="2"/>
    <x v="10"/>
    <x v="0"/>
    <x v="90"/>
    <n v="1258.72"/>
    <s v="High"/>
    <n v="2797.41"/>
    <n v="2797.41"/>
    <n v="0"/>
    <n v="7"/>
    <n v="0"/>
    <n v="19581.87"/>
    <n v="19581.87"/>
    <n v="8811.0400000000009"/>
    <n v="10770.829999999998"/>
    <n v="10770.829999999998"/>
    <n v="2.2224243676115414"/>
    <n v="0"/>
    <n v="1447.528"/>
    <n v="8.4"/>
  </r>
  <r>
    <x v="91"/>
    <d v="2023-05-20T00:00:00"/>
    <s v="q2"/>
    <s v="2024"/>
    <s v="Jun"/>
    <d v="2024-06-07T00:00:00"/>
    <d v="2024-06-09T00:00:00"/>
    <d v="2024-06-09T00:00:00"/>
    <x v="1"/>
    <n v="2"/>
    <n v="2"/>
    <x v="0"/>
    <x v="3"/>
    <s v="Shanghai"/>
    <s v="Corporate"/>
    <x v="1"/>
    <x v="6"/>
    <x v="3"/>
    <x v="91"/>
    <n v="1370.28"/>
    <s v="High"/>
    <n v="2209.66"/>
    <n v="2209.66"/>
    <n v="0.13300000000000001"/>
    <n v="16"/>
    <n v="293.88477999999998"/>
    <n v="30652.403519999996"/>
    <n v="30358.518739999996"/>
    <n v="21924.48"/>
    <n v="8727.9235199999966"/>
    <n v="8434.0387399999963"/>
    <n v="1.3980903319029685"/>
    <n v="0.13300000000000001"/>
    <n v="1575.8219999999999"/>
    <n v="19.2"/>
  </r>
  <r>
    <x v="92"/>
    <d v="2023-05-23T00:00:00"/>
    <s v="q2"/>
    <s v="2023"/>
    <s v="Jul"/>
    <d v="2023-07-07T00:00:00"/>
    <d v="2023-07-13T00:00:00"/>
    <d v="2023-07-13T00:00:00"/>
    <x v="1"/>
    <n v="6"/>
    <n v="6"/>
    <x v="3"/>
    <x v="11"/>
    <s v="Cape Town"/>
    <s v="Small Business"/>
    <x v="4"/>
    <x v="11"/>
    <x v="5"/>
    <x v="92"/>
    <n v="612.59"/>
    <s v="Medium"/>
    <n v="1424.74"/>
    <n v="1424.74"/>
    <n v="4.3999999999999997E-2"/>
    <n v="15"/>
    <n v="62.688559999999995"/>
    <n v="20430.771599999996"/>
    <n v="20368.083039999998"/>
    <n v="9188.85"/>
    <n v="11241.921599999996"/>
    <n v="11179.233039999997"/>
    <n v="2.2234307448701411"/>
    <n v="4.3999999999999997E-2"/>
    <n v="704.47849999999994"/>
    <n v="18"/>
  </r>
  <r>
    <x v="93"/>
    <d v="2023-05-23T00:00:00"/>
    <s v="q2"/>
    <s v="2023"/>
    <s v="Dec"/>
    <d v="2023-12-28T00:00:00"/>
    <d v="2024-01-01T00:00:00"/>
    <d v="2024-01-01T00:00:00"/>
    <x v="1"/>
    <n v="4"/>
    <n v="4"/>
    <x v="3"/>
    <x v="11"/>
    <s v="Cape Town"/>
    <s v="Education"/>
    <x v="0"/>
    <x v="3"/>
    <x v="6"/>
    <x v="93"/>
    <n v="1141.8"/>
    <s v="High"/>
    <n v="2318.7399999999998"/>
    <n v="2318.7399999999998"/>
    <n v="0.107"/>
    <n v="32"/>
    <n v="248.10517999999996"/>
    <n v="66260.314239999992"/>
    <n v="66012.209059999994"/>
    <n v="36537.599999999999"/>
    <n v="29722.714239999994"/>
    <n v="29474.609059999995"/>
    <n v="1.8134829392187772"/>
    <n v="0.107"/>
    <n v="1313.07"/>
    <n v="38.4"/>
  </r>
  <r>
    <x v="94"/>
    <d v="2023-05-24T00:00:00"/>
    <s v="q2"/>
    <s v="2024"/>
    <s v="Aug"/>
    <d v="2024-08-16T00:00:00"/>
    <d v="2024-08-26T00:00:00"/>
    <d v="2024-08-26T00:00:00"/>
    <x v="0"/>
    <n v="10"/>
    <n v="10"/>
    <x v="2"/>
    <x v="10"/>
    <s v="Chicago"/>
    <s v="Corporate"/>
    <x v="0"/>
    <x v="1"/>
    <x v="0"/>
    <x v="94"/>
    <n v="1291.7"/>
    <s v="High"/>
    <n v="2657.84"/>
    <n v="2657.84"/>
    <n v="8.6999999999999994E-2"/>
    <n v="21"/>
    <n v="231.23208"/>
    <n v="50958.766320000002"/>
    <n v="50727.534240000001"/>
    <n v="27125.7"/>
    <n v="23833.066320000002"/>
    <n v="23601.83424"/>
    <n v="1.8786157157234653"/>
    <n v="8.6999999999999994E-2"/>
    <n v="1485.4549999999999"/>
    <n v="25.2"/>
  </r>
  <r>
    <x v="95"/>
    <d v="2023-05-27T00:00:00"/>
    <s v="q2"/>
    <s v="2023"/>
    <s v="Jul"/>
    <d v="2023-07-01T00:00:00"/>
    <d v="2023-07-11T00:00:00"/>
    <d v="2023-07-11T00:00:00"/>
    <x v="0"/>
    <n v="10"/>
    <n v="10"/>
    <x v="1"/>
    <x v="8"/>
    <s v="Paris"/>
    <s v="Corporate"/>
    <x v="3"/>
    <x v="9"/>
    <x v="4"/>
    <x v="95"/>
    <n v="479.5"/>
    <s v="Medium"/>
    <n v="656.66"/>
    <n v="656.66"/>
    <n v="0.14899999999999999"/>
    <n v="14"/>
    <n v="97.842339999999993"/>
    <n v="7823.4472399999995"/>
    <n v="7725.6048999999994"/>
    <n v="6713"/>
    <n v="1110.4472399999995"/>
    <n v="1012.6048999999994"/>
    <n v="1.1654174348279458"/>
    <n v="0.14899999999999999"/>
    <n v="551.42499999999995"/>
    <n v="16.8"/>
  </r>
  <r>
    <x v="96"/>
    <d v="2023-05-29T00:00:00"/>
    <s v="q2"/>
    <s v="2025"/>
    <s v="Jan"/>
    <d v="2025-01-10T00:00:00"/>
    <d v="2025-02-06T00:00:00"/>
    <d v="2025-02-06T00:00:00"/>
    <x v="0"/>
    <n v="27"/>
    <n v="27"/>
    <x v="2"/>
    <x v="6"/>
    <s v="Brasília"/>
    <s v="Non-Profit"/>
    <x v="1"/>
    <x v="11"/>
    <x v="0"/>
    <x v="96"/>
    <n v="725.62"/>
    <s v="Medium"/>
    <n v="1559.19"/>
    <n v="1559.19"/>
    <n v="0.19"/>
    <n v="12"/>
    <n v="296.24610000000001"/>
    <n v="15155.326800000001"/>
    <n v="14859.0807"/>
    <n v="8707.44"/>
    <n v="6447.8868000000002"/>
    <n v="6151.6406999999999"/>
    <n v="1.7405031559218322"/>
    <n v="0.19"/>
    <n v="834.46299999999997"/>
    <n v="14.399999999999999"/>
  </r>
  <r>
    <x v="97"/>
    <d v="2023-06-01T00:00:00"/>
    <s v="q2"/>
    <s v="2023"/>
    <s v="Aug"/>
    <d v="2023-08-17T00:00:00"/>
    <d v="2023-09-03T00:00:00"/>
    <d v="2023-09-03T00:00:00"/>
    <x v="0"/>
    <n v="17"/>
    <n v="17"/>
    <x v="3"/>
    <x v="11"/>
    <s v="Durban"/>
    <s v="Enterprise"/>
    <x v="1"/>
    <x v="3"/>
    <x v="1"/>
    <x v="97"/>
    <n v="676.37"/>
    <s v="Medium"/>
    <n v="1276.67"/>
    <n v="1276.67"/>
    <n v="6.6000000000000003E-2"/>
    <n v="10"/>
    <n v="84.260220000000004"/>
    <n v="11924.0978"/>
    <n v="11839.837579999999"/>
    <n v="6763.7"/>
    <n v="5160.3977999999997"/>
    <n v="5076.1375799999996"/>
    <n v="1.7629548619838253"/>
    <n v="6.6000000000000003E-2"/>
    <n v="777.82549999999992"/>
    <n v="12"/>
  </r>
  <r>
    <x v="98"/>
    <d v="2023-06-01T00:00:00"/>
    <s v="q2"/>
    <s v="2025"/>
    <s v="Jun"/>
    <d v="2025-06-24T00:00:00"/>
    <d v="2025-07-14T00:00:00"/>
    <d v="2025-07-14T00:00:00"/>
    <x v="0"/>
    <n v="20"/>
    <n v="20"/>
    <x v="3"/>
    <x v="11"/>
    <s v="Johannesburg"/>
    <s v="Enterprise"/>
    <x v="4"/>
    <x v="5"/>
    <x v="0"/>
    <x v="98"/>
    <n v="1151.06"/>
    <s v="High"/>
    <n v="2821.36"/>
    <n v="2821.36"/>
    <n v="0.248"/>
    <n v="20"/>
    <n v="699.69727999999998"/>
    <n v="42433.254400000005"/>
    <n v="41733.557120000005"/>
    <n v="23021.199999999997"/>
    <n v="19412.054400000008"/>
    <n v="18712.357120000008"/>
    <n v="1.8432251316178137"/>
    <n v="0.2"/>
    <n v="1323.7189999999998"/>
    <n v="24"/>
  </r>
  <r>
    <x v="99"/>
    <d v="2023-06-03T00:00:00"/>
    <s v="q2"/>
    <s v="2025"/>
    <s v="Apr"/>
    <d v="2025-04-22T00:00:00"/>
    <d v="2025-05-12T00:00:00"/>
    <d v="2025-05-12T00:00:00"/>
    <x v="0"/>
    <n v="20"/>
    <n v="20"/>
    <x v="1"/>
    <x v="8"/>
    <s v="Lyon"/>
    <s v="Enterprise"/>
    <x v="4"/>
    <x v="8"/>
    <x v="3"/>
    <x v="99"/>
    <n v="59.51"/>
    <s v="Low"/>
    <n v="67.040000000000006"/>
    <n v="67.040000000000006"/>
    <n v="0.114"/>
    <n v="9"/>
    <n v="7.6425600000000014"/>
    <n v="534.57695999999999"/>
    <n v="526.93439999999998"/>
    <n v="535.59"/>
    <n v="-1.0130400000000463"/>
    <n v="-8.6556000000000495"/>
    <n v="0.99810855318433866"/>
    <n v="0.114"/>
    <n v="68.436499999999995"/>
    <n v="10.799999999999999"/>
  </r>
  <r>
    <x v="100"/>
    <d v="2023-06-05T00:00:00"/>
    <s v="q2"/>
    <s v="2025"/>
    <s v="Mar"/>
    <d v="2025-03-11T00:00:00"/>
    <d v="2025-03-26T00:00:00"/>
    <d v="2025-03-26T00:00:00"/>
    <x v="0"/>
    <n v="15"/>
    <n v="15"/>
    <x v="1"/>
    <x v="1"/>
    <s v="Berlin"/>
    <s v="Small Business"/>
    <x v="2"/>
    <x v="7"/>
    <x v="1"/>
    <x v="100"/>
    <n v="116.97"/>
    <s v="Low"/>
    <n v="140.82"/>
    <n v="140.82"/>
    <n v="0.122"/>
    <n v="5"/>
    <n v="17.180039999999998"/>
    <n v="618.19979999999987"/>
    <n v="601.01975999999991"/>
    <n v="584.85"/>
    <n v="33.349799999999846"/>
    <n v="16.169759999999883"/>
    <n v="1.0570228263657346"/>
    <n v="0.122"/>
    <n v="134.51549999999997"/>
    <n v="6"/>
  </r>
  <r>
    <x v="101"/>
    <d v="2023-06-09T00:00:00"/>
    <s v="q2"/>
    <s v="2024"/>
    <s v="Jan"/>
    <d v="2024-01-25T00:00:00"/>
    <d v="2024-02-08T00:00:00"/>
    <d v="2024-02-08T00:00:00"/>
    <x v="0"/>
    <n v="14"/>
    <n v="14"/>
    <x v="0"/>
    <x v="0"/>
    <s v="Osaka"/>
    <s v="Consumer"/>
    <x v="4"/>
    <x v="7"/>
    <x v="4"/>
    <x v="101"/>
    <n v="937.16"/>
    <s v="Medium"/>
    <n v="1069.77"/>
    <n v="1069.77"/>
    <n v="3.7999999999999999E-2"/>
    <n v="9"/>
    <n v="40.651260000000001"/>
    <n v="9262.0686600000008"/>
    <n v="9221.4174000000003"/>
    <n v="8434.44"/>
    <n v="827.62866000000031"/>
    <n v="786.97739999999976"/>
    <n v="1.0981249093004397"/>
    <n v="3.7999999999999999E-2"/>
    <n v="1077.7339999999999"/>
    <n v="10.799999999999999"/>
  </r>
  <r>
    <x v="102"/>
    <d v="2023-06-10T00:00:00"/>
    <s v="q2"/>
    <s v="2023"/>
    <s v="Aug"/>
    <d v="2023-08-24T00:00:00"/>
    <d v="2023-09-20T00:00:00"/>
    <d v="2023-09-20T00:00:00"/>
    <x v="0"/>
    <n v="27"/>
    <n v="27"/>
    <x v="3"/>
    <x v="11"/>
    <s v="Durban"/>
    <s v="Small Business"/>
    <x v="4"/>
    <x v="13"/>
    <x v="6"/>
    <x v="102"/>
    <n v="1399.64"/>
    <s v="High"/>
    <n v="3342.11"/>
    <n v="3342.11"/>
    <n v="0"/>
    <n v="10"/>
    <n v="0"/>
    <n v="33421.1"/>
    <n v="33421.1"/>
    <n v="13996.400000000001"/>
    <n v="19424.699999999997"/>
    <n v="19424.699999999997"/>
    <n v="2.3878354433997311"/>
    <n v="0"/>
    <n v="1609.586"/>
    <n v="12"/>
  </r>
  <r>
    <x v="103"/>
    <d v="2023-06-13T00:00:00"/>
    <s v="q2"/>
    <s v="2024"/>
    <s v="Jun"/>
    <d v="2024-06-05T00:00:00"/>
    <d v="2024-06-23T00:00:00"/>
    <d v="2024-06-23T00:00:00"/>
    <x v="0"/>
    <n v="18"/>
    <n v="18"/>
    <x v="3"/>
    <x v="5"/>
    <s v="Nairobi"/>
    <s v="Consumer"/>
    <x v="0"/>
    <x v="10"/>
    <x v="0"/>
    <x v="103"/>
    <n v="1208.74"/>
    <s v="Medium"/>
    <n v="1594.78"/>
    <n v="1594.78"/>
    <n v="5.8999999999999997E-2"/>
    <n v="39"/>
    <n v="94.092019999999991"/>
    <n v="58526.83122"/>
    <n v="58432.739200000004"/>
    <n v="47140.86"/>
    <n v="11385.971219999999"/>
    <n v="11291.879200000003"/>
    <n v="1.2415308337607758"/>
    <n v="5.8999999999999997E-2"/>
    <n v="1390.0509999999999"/>
    <n v="46.8"/>
  </r>
  <r>
    <x v="104"/>
    <d v="2023-06-14T00:00:00"/>
    <s v="q2"/>
    <s v="2023"/>
    <s v="Jan"/>
    <d v="2023-01-12T00:00:00"/>
    <d v="2023-01-26T00:00:00"/>
    <d v="2023-01-26T00:00:00"/>
    <x v="0"/>
    <n v="14"/>
    <n v="14"/>
    <x v="0"/>
    <x v="3"/>
    <s v="Shenzhen"/>
    <s v="Non-Profit"/>
    <x v="1"/>
    <x v="13"/>
    <x v="6"/>
    <x v="104"/>
    <n v="1083.0899999999999"/>
    <s v="Medium"/>
    <n v="1425.87"/>
    <n v="1425.87"/>
    <n v="0"/>
    <n v="8"/>
    <n v="0"/>
    <n v="11406.96"/>
    <n v="11406.96"/>
    <n v="8664.7199999999993"/>
    <n v="2742.24"/>
    <n v="2742.24"/>
    <n v="1.3164833947317398"/>
    <n v="0"/>
    <n v="1245.5534999999998"/>
    <n v="9.6"/>
  </r>
  <r>
    <x v="105"/>
    <d v="2023-06-15T00:00:00"/>
    <s v="q2"/>
    <s v="2024"/>
    <s v="Apr"/>
    <d v="2024-04-16T00:00:00"/>
    <d v="2024-04-27T00:00:00"/>
    <d v="2024-04-27T00:00:00"/>
    <x v="0"/>
    <n v="11"/>
    <n v="11"/>
    <x v="3"/>
    <x v="5"/>
    <s v="Nakuru"/>
    <s v="Enterprise"/>
    <x v="2"/>
    <x v="10"/>
    <x v="6"/>
    <x v="105"/>
    <n v="401.3"/>
    <s v="Medium"/>
    <n v="826.47"/>
    <n v="826.47"/>
    <n v="0.22500000000000001"/>
    <n v="13"/>
    <n v="185.95575000000002"/>
    <n v="8326.6852500000005"/>
    <n v="8140.7295000000004"/>
    <n v="5216.9000000000005"/>
    <n v="3109.7852499999999"/>
    <n v="2923.8294999999998"/>
    <n v="1.5960983055071019"/>
    <n v="0.2"/>
    <n v="461.495"/>
    <n v="15.6"/>
  </r>
  <r>
    <x v="106"/>
    <d v="2023-06-15T00:00:00"/>
    <s v="q2"/>
    <s v="2025"/>
    <s v="Feb"/>
    <d v="2025-02-07T00:00:00"/>
    <d v="2025-02-16T00:00:00"/>
    <d v="2025-02-16T00:00:00"/>
    <x v="0"/>
    <n v="9"/>
    <n v="9"/>
    <x v="3"/>
    <x v="9"/>
    <s v="Lagos"/>
    <s v="Small Business"/>
    <x v="0"/>
    <x v="4"/>
    <x v="6"/>
    <x v="106"/>
    <n v="90.68"/>
    <s v="Low"/>
    <n v="118.17"/>
    <n v="118.17"/>
    <n v="0.13500000000000001"/>
    <n v="21"/>
    <n v="15.952950000000001"/>
    <n v="2146.5580500000001"/>
    <n v="2130.6051000000002"/>
    <n v="1904.2800000000002"/>
    <n v="242.27804999999989"/>
    <n v="226.32510000000002"/>
    <n v="1.1272281649757387"/>
    <n v="0.13500000000000001"/>
    <n v="104.282"/>
    <n v="25.2"/>
  </r>
  <r>
    <x v="107"/>
    <d v="2023-06-17T00:00:00"/>
    <s v="q2"/>
    <s v="2024"/>
    <s v="Jan"/>
    <d v="2024-01-13T00:00:00"/>
    <d v="2024-01-15T00:00:00"/>
    <d v="2024-01-15T00:00:00"/>
    <x v="1"/>
    <n v="2"/>
    <n v="2"/>
    <x v="2"/>
    <x v="10"/>
    <s v="San Francisco"/>
    <s v="Non-Profit"/>
    <x v="3"/>
    <x v="2"/>
    <x v="2"/>
    <x v="107"/>
    <n v="1061.3699999999999"/>
    <s v="High"/>
    <n v="1938.33"/>
    <n v="1938.33"/>
    <n v="0.17"/>
    <n v="4"/>
    <n v="329.51609999999999"/>
    <n v="6435.2555999999995"/>
    <n v="6105.7394999999997"/>
    <n v="4245.4799999999996"/>
    <n v="2189.7755999999999"/>
    <n v="1860.2595000000001"/>
    <n v="1.5157898753497838"/>
    <n v="0.17"/>
    <n v="1220.5754999999997"/>
    <n v="4.8"/>
  </r>
  <r>
    <x v="108"/>
    <d v="2023-06-20T00:00:00"/>
    <s v="q2"/>
    <s v="2023"/>
    <s v="May"/>
    <d v="2023-05-10T00:00:00"/>
    <d v="2023-05-27T00:00:00"/>
    <d v="2023-05-27T00:00:00"/>
    <x v="0"/>
    <n v="17"/>
    <n v="17"/>
    <x v="0"/>
    <x v="4"/>
    <s v="Mumbai"/>
    <s v="Consumer"/>
    <x v="1"/>
    <x v="13"/>
    <x v="0"/>
    <x v="108"/>
    <n v="1286.1600000000001"/>
    <s v="High"/>
    <n v="3101.11"/>
    <n v="3101.11"/>
    <n v="0.1"/>
    <n v="23"/>
    <n v="310.11100000000005"/>
    <n v="64192.976999999999"/>
    <n v="63882.866000000002"/>
    <n v="29581.68"/>
    <n v="34611.296999999999"/>
    <n v="34301.186000000002"/>
    <n v="2.1700247247620825"/>
    <n v="0.1"/>
    <n v="1479.0840000000001"/>
    <n v="27.599999999999998"/>
  </r>
  <r>
    <x v="109"/>
    <d v="2023-06-20T00:00:00"/>
    <s v="q2"/>
    <s v="2024"/>
    <s v="Jul"/>
    <d v="2024-07-09T00:00:00"/>
    <d v="2024-07-12T00:00:00"/>
    <d v="2024-07-12T00:00:00"/>
    <x v="1"/>
    <n v="3"/>
    <n v="3"/>
    <x v="0"/>
    <x v="3"/>
    <s v="Shanghai"/>
    <s v="Small Business"/>
    <x v="1"/>
    <x v="10"/>
    <x v="5"/>
    <x v="109"/>
    <n v="748.39"/>
    <s v="Medium"/>
    <n v="979.42"/>
    <n v="979.42"/>
    <n v="0"/>
    <n v="23"/>
    <n v="0"/>
    <n v="22526.66"/>
    <n v="22526.66"/>
    <n v="17212.97"/>
    <n v="5313.6899999999987"/>
    <n v="5313.6899999999987"/>
    <n v="1.3087026817568379"/>
    <n v="0"/>
    <n v="860.6484999999999"/>
    <n v="27.599999999999998"/>
  </r>
  <r>
    <x v="110"/>
    <d v="2023-06-20T00:00:00"/>
    <s v="q2"/>
    <s v="2024"/>
    <s v="Apr"/>
    <d v="2024-04-24T00:00:00"/>
    <d v="2024-05-10T00:00:00"/>
    <d v="2024-05-10T00:00:00"/>
    <x v="0"/>
    <n v="16"/>
    <n v="16"/>
    <x v="3"/>
    <x v="5"/>
    <s v="Kisumu"/>
    <s v="Non-Profit"/>
    <x v="2"/>
    <x v="0"/>
    <x v="3"/>
    <x v="110"/>
    <n v="513.30999999999995"/>
    <s v="Medium"/>
    <n v="1186.26"/>
    <n v="1186.26"/>
    <n v="9.4E-2"/>
    <n v="15"/>
    <n v="111.50843999999999"/>
    <n v="16121.273400000002"/>
    <n v="16009.764960000002"/>
    <n v="7699.65"/>
    <n v="8421.6234000000022"/>
    <n v="8310.1149600000026"/>
    <n v="2.093767041359023"/>
    <n v="9.4E-2"/>
    <n v="590.30649999999991"/>
    <n v="18"/>
  </r>
  <r>
    <x v="111"/>
    <d v="2023-06-22T00:00:00"/>
    <s v="q2"/>
    <s v="2024"/>
    <s v="Jul"/>
    <d v="2024-07-09T00:00:00"/>
    <d v="2024-08-08T00:00:00"/>
    <d v="2024-08-08T00:00:00"/>
    <x v="0"/>
    <n v="30"/>
    <n v="30"/>
    <x v="1"/>
    <x v="8"/>
    <s v="Marseille"/>
    <s v="Corporate"/>
    <x v="3"/>
    <x v="5"/>
    <x v="2"/>
    <x v="111"/>
    <n v="1062.3800000000001"/>
    <s v="Medium"/>
    <n v="1503.96"/>
    <n v="1503.96"/>
    <n v="0.18"/>
    <n v="6"/>
    <n v="270.71280000000002"/>
    <n v="7399.4832000000006"/>
    <n v="7128.7704000000003"/>
    <n v="6374.2800000000007"/>
    <n v="1025.2031999999999"/>
    <n v="754.49039999999968"/>
    <n v="1.1608343530563452"/>
    <n v="0.18"/>
    <n v="1221.7370000000001"/>
    <n v="7.1999999999999993"/>
  </r>
  <r>
    <x v="112"/>
    <d v="2023-06-23T00:00:00"/>
    <s v="q2"/>
    <s v="2024"/>
    <s v="May"/>
    <d v="2024-05-01T00:00:00"/>
    <d v="2024-05-26T00:00:00"/>
    <d v="2024-05-26T00:00:00"/>
    <x v="0"/>
    <n v="25"/>
    <n v="25"/>
    <x v="1"/>
    <x v="1"/>
    <s v="Berlin"/>
    <s v="Non-Profit"/>
    <x v="1"/>
    <x v="11"/>
    <x v="4"/>
    <x v="112"/>
    <n v="930.71"/>
    <s v="Medium"/>
    <n v="1625.42"/>
    <n v="1625.42"/>
    <n v="0.13800000000000001"/>
    <n v="7"/>
    <n v="224.30796000000004"/>
    <n v="9807.7842799999999"/>
    <n v="9583.4763199999998"/>
    <n v="6514.97"/>
    <n v="3292.8142799999996"/>
    <n v="3068.5063199999995"/>
    <n v="1.505422784755724"/>
    <n v="0.13800000000000001"/>
    <n v="1070.3164999999999"/>
    <n v="8.4"/>
  </r>
  <r>
    <x v="113"/>
    <d v="2023-06-23T00:00:00"/>
    <s v="q2"/>
    <s v="2023"/>
    <s v="May"/>
    <d v="2023-05-01T00:00:00"/>
    <d v="2023-05-18T00:00:00"/>
    <d v="2023-05-18T00:00:00"/>
    <x v="0"/>
    <n v="17"/>
    <n v="17"/>
    <x v="3"/>
    <x v="9"/>
    <s v="Port Harcourt"/>
    <s v="Corporate"/>
    <x v="3"/>
    <x v="9"/>
    <x v="2"/>
    <x v="113"/>
    <n v="327.97"/>
    <s v="Low"/>
    <n v="299.94"/>
    <n v="299.94"/>
    <n v="4.9000000000000002E-2"/>
    <n v="3"/>
    <n v="14.69706"/>
    <n v="855.72881999999993"/>
    <n v="841.03175999999996"/>
    <n v="983.91000000000008"/>
    <n v="-128.18118000000015"/>
    <n v="-142.87824000000012"/>
    <n v="0.86972265756014255"/>
    <n v="4.9000000000000002E-2"/>
    <n v="377.16550000000001"/>
    <n v="3.5999999999999996"/>
  </r>
  <r>
    <x v="114"/>
    <d v="2023-06-24T00:00:00"/>
    <s v="q2"/>
    <s v="2025"/>
    <s v="Aug"/>
    <d v="2025-08-05T00:00:00"/>
    <d v="2025-08-28T00:00:00"/>
    <d v="2025-08-28T00:00:00"/>
    <x v="0"/>
    <n v="23"/>
    <n v="23"/>
    <x v="0"/>
    <x v="4"/>
    <s v="Mumbai"/>
    <s v="Non-Profit"/>
    <x v="0"/>
    <x v="0"/>
    <x v="0"/>
    <x v="114"/>
    <n v="638.54"/>
    <s v="Medium"/>
    <n v="987.24"/>
    <n v="987.24"/>
    <n v="0"/>
    <n v="11"/>
    <n v="0"/>
    <n v="10859.64"/>
    <n v="10859.64"/>
    <n v="7023.94"/>
    <n v="3835.7"/>
    <n v="3835.7"/>
    <n v="1.5460895167099946"/>
    <n v="0"/>
    <n v="734.32099999999991"/>
    <n v="13.2"/>
  </r>
  <r>
    <x v="115"/>
    <d v="2023-06-24T00:00:00"/>
    <s v="q2"/>
    <s v="2023"/>
    <s v="Sept"/>
    <d v="2023-09-30T00:00:00"/>
    <d v="2023-10-30T00:00:00"/>
    <d v="2023-10-30T00:00:00"/>
    <x v="0"/>
    <n v="30"/>
    <n v="30"/>
    <x v="0"/>
    <x v="0"/>
    <s v="Tokyo"/>
    <s v="Enterprise"/>
    <x v="2"/>
    <x v="10"/>
    <x v="6"/>
    <x v="115"/>
    <n v="649.13"/>
    <s v="Medium"/>
    <n v="975.43"/>
    <n v="975.43"/>
    <n v="0.157"/>
    <n v="27"/>
    <n v="153.14250999999999"/>
    <n v="22201.762229999997"/>
    <n v="22048.619719999995"/>
    <n v="17526.509999999998"/>
    <n v="4675.2522299999982"/>
    <n v="4522.1097199999967"/>
    <n v="1.2667531773296565"/>
    <n v="0.157"/>
    <n v="746.4994999999999"/>
    <n v="32.4"/>
  </r>
  <r>
    <x v="116"/>
    <d v="2023-06-24T00:00:00"/>
    <s v="q2"/>
    <s v="2025"/>
    <s v="May"/>
    <d v="2025-05-17T00:00:00"/>
    <d v="2025-05-30T00:00:00"/>
    <d v="2025-05-30T00:00:00"/>
    <x v="0"/>
    <n v="13"/>
    <n v="13"/>
    <x v="3"/>
    <x v="9"/>
    <s v="Lagos"/>
    <s v="Consumer"/>
    <x v="0"/>
    <x v="9"/>
    <x v="5"/>
    <x v="116"/>
    <n v="66.400000000000006"/>
    <s v="Low"/>
    <n v="141.43"/>
    <n v="141.43"/>
    <n v="0.107"/>
    <n v="8"/>
    <n v="15.133010000000001"/>
    <n v="1010.3759200000001"/>
    <n v="995.24291000000005"/>
    <n v="531.20000000000005"/>
    <n v="479.17592000000002"/>
    <n v="464.04291000000001"/>
    <n v="1.9020631024096386"/>
    <n v="0.107"/>
    <n v="76.36"/>
    <n v="9.6"/>
  </r>
  <r>
    <x v="117"/>
    <d v="2023-06-29T00:00:00"/>
    <s v="q2"/>
    <s v="2025"/>
    <s v="Jan"/>
    <d v="2025-01-04T00:00:00"/>
    <d v="2025-01-05T00:00:00"/>
    <d v="2025-01-05T00:00:00"/>
    <x v="1"/>
    <n v="1"/>
    <n v="1"/>
    <x v="0"/>
    <x v="4"/>
    <s v="Delhi"/>
    <s v="Education"/>
    <x v="1"/>
    <x v="7"/>
    <x v="2"/>
    <x v="117"/>
    <n v="1428.33"/>
    <s v="High"/>
    <n v="3028.05"/>
    <n v="3028.05"/>
    <n v="0"/>
    <n v="11"/>
    <n v="0"/>
    <n v="33308.550000000003"/>
    <n v="33308.550000000003"/>
    <n v="15711.63"/>
    <n v="17596.920000000006"/>
    <n v="17596.920000000006"/>
    <n v="2.1199932788641282"/>
    <n v="0"/>
    <n v="1642.5794999999998"/>
    <n v="13.2"/>
  </r>
  <r>
    <x v="118"/>
    <d v="2023-07-01T00:00:00"/>
    <s v="q3"/>
    <s v="2024"/>
    <s v="Mar"/>
    <d v="2024-03-02T00:00:00"/>
    <d v="2024-03-23T00:00:00"/>
    <d v="2024-03-23T00:00:00"/>
    <x v="0"/>
    <n v="21"/>
    <n v="21"/>
    <x v="2"/>
    <x v="10"/>
    <s v="Chicago"/>
    <s v="Small Business"/>
    <x v="2"/>
    <x v="9"/>
    <x v="2"/>
    <x v="118"/>
    <n v="225.01"/>
    <s v="Low"/>
    <n v="333.48"/>
    <n v="333.48"/>
    <n v="0.11899999999999999"/>
    <n v="12"/>
    <n v="39.68412"/>
    <n v="3525.5505600000001"/>
    <n v="3485.8664400000002"/>
    <n v="2700.12"/>
    <n v="825.43056000000024"/>
    <n v="785.74644000000035"/>
    <n v="1.305701435491756"/>
    <n v="0.11899999999999999"/>
    <n v="258.76149999999996"/>
    <n v="14.399999999999999"/>
  </r>
  <r>
    <x v="119"/>
    <d v="2023-07-01T00:00:00"/>
    <s v="q3"/>
    <s v="2024"/>
    <s v="Oct"/>
    <d v="2024-10-10T00:00:00"/>
    <d v="2024-10-11T00:00:00"/>
    <d v="2024-10-11T00:00:00"/>
    <x v="1"/>
    <n v="1"/>
    <n v="1"/>
    <x v="1"/>
    <x v="7"/>
    <s v="Manchester"/>
    <s v="Non-Profit"/>
    <x v="0"/>
    <x v="1"/>
    <x v="2"/>
    <x v="119"/>
    <n v="1389.46"/>
    <s v="Medium"/>
    <n v="1784.7"/>
    <n v="1784.7"/>
    <n v="0.14599999999999999"/>
    <n v="33"/>
    <n v="260.56619999999998"/>
    <n v="50296.415399999998"/>
    <n v="50035.849199999997"/>
    <n v="45852.18"/>
    <n v="4444.2353999999978"/>
    <n v="4183.6691999999966"/>
    <n v="1.0969252803247305"/>
    <n v="0.14599999999999999"/>
    <n v="1597.8789999999999"/>
    <n v="39.6"/>
  </r>
  <r>
    <x v="120"/>
    <d v="2023-07-01T00:00:00"/>
    <s v="q3"/>
    <s v="2023"/>
    <s v="Jun"/>
    <d v="2023-06-01T00:00:00"/>
    <d v="2023-06-08T00:00:00"/>
    <d v="2023-06-08T00:00:00"/>
    <x v="0"/>
    <n v="7"/>
    <n v="7"/>
    <x v="1"/>
    <x v="1"/>
    <s v="Frankfurt"/>
    <s v="Consumer"/>
    <x v="2"/>
    <x v="3"/>
    <x v="1"/>
    <x v="120"/>
    <n v="804.17"/>
    <s v="Medium"/>
    <n v="1072.29"/>
    <n v="1072.29"/>
    <n v="3.2000000000000001E-2"/>
    <n v="5"/>
    <n v="34.313279999999999"/>
    <n v="5189.8836000000001"/>
    <n v="5155.5703199999998"/>
    <n v="4020.85"/>
    <n v="1169.0336000000002"/>
    <n v="1134.7203199999999"/>
    <n v="1.2907429026200927"/>
    <n v="3.2000000000000001E-2"/>
    <n v="924.79549999999983"/>
    <n v="6"/>
  </r>
  <r>
    <x v="121"/>
    <d v="2023-07-02T00:00:00"/>
    <s v="q3"/>
    <s v="2023"/>
    <s v="May"/>
    <d v="2023-05-10T00:00:00"/>
    <d v="2023-05-14T00:00:00"/>
    <d v="2023-05-14T00:00:00"/>
    <x v="1"/>
    <n v="4"/>
    <n v="4"/>
    <x v="0"/>
    <x v="4"/>
    <s v="Delhi"/>
    <s v="Non-Profit"/>
    <x v="0"/>
    <x v="4"/>
    <x v="3"/>
    <x v="121"/>
    <n v="622.6"/>
    <s v="Medium"/>
    <n v="833.69"/>
    <n v="833.69"/>
    <n v="0.20899999999999999"/>
    <n v="14"/>
    <n v="174.24121"/>
    <n v="9232.2830599999998"/>
    <n v="9058.0418499999996"/>
    <n v="8716.4"/>
    <n v="515.88306000000011"/>
    <n v="341.64184999999998"/>
    <n v="1.0591853356890459"/>
    <n v="0.2"/>
    <n v="715.99"/>
    <n v="16.8"/>
  </r>
  <r>
    <x v="122"/>
    <d v="2023-07-03T00:00:00"/>
    <s v="q3"/>
    <s v="2024"/>
    <s v="Nov"/>
    <d v="2024-11-12T00:00:00"/>
    <d v="2024-11-21T00:00:00"/>
    <d v="2024-11-21T00:00:00"/>
    <x v="0"/>
    <n v="9"/>
    <n v="9"/>
    <x v="0"/>
    <x v="4"/>
    <s v="Mumbai"/>
    <s v="Corporate"/>
    <x v="3"/>
    <x v="14"/>
    <x v="0"/>
    <x v="122"/>
    <n v="903.41"/>
    <s v="Medium"/>
    <n v="1860.41"/>
    <n v="1860.41"/>
    <n v="0.108"/>
    <n v="5"/>
    <n v="200.92428000000001"/>
    <n v="8297.4286000000011"/>
    <n v="8096.5043200000009"/>
    <n v="4517.05"/>
    <n v="3780.3786000000009"/>
    <n v="3579.4543200000007"/>
    <n v="1.8369131623515349"/>
    <n v="0.108"/>
    <n v="1038.9214999999999"/>
    <n v="6"/>
  </r>
  <r>
    <x v="123"/>
    <d v="2023-07-05T00:00:00"/>
    <s v="q3"/>
    <s v="2023"/>
    <s v="Apr"/>
    <d v="2023-04-13T00:00:00"/>
    <d v="2023-04-20T00:00:00"/>
    <d v="2023-04-20T00:00:00"/>
    <x v="0"/>
    <n v="7"/>
    <n v="7"/>
    <x v="1"/>
    <x v="8"/>
    <s v="Lyon"/>
    <s v="Small Business"/>
    <x v="2"/>
    <x v="3"/>
    <x v="0"/>
    <x v="123"/>
    <n v="227.02"/>
    <s v="Low"/>
    <n v="434.72"/>
    <n v="434.72"/>
    <n v="9.8000000000000004E-2"/>
    <n v="10"/>
    <n v="42.602560000000004"/>
    <n v="3921.1744000000008"/>
    <n v="3878.571840000001"/>
    <n v="2270.2000000000003"/>
    <n v="1650.9744000000005"/>
    <n v="1608.3718400000007"/>
    <n v="1.7272374240155053"/>
    <n v="9.8000000000000004E-2"/>
    <n v="261.07299999999998"/>
    <n v="12"/>
  </r>
  <r>
    <x v="124"/>
    <d v="2023-07-07T00:00:00"/>
    <s v="q3"/>
    <s v="2024"/>
    <s v="Oct"/>
    <d v="2024-10-24T00:00:00"/>
    <d v="2024-10-28T00:00:00"/>
    <d v="2024-10-28T00:00:00"/>
    <x v="1"/>
    <n v="4"/>
    <n v="4"/>
    <x v="0"/>
    <x v="3"/>
    <s v="Shanghai"/>
    <s v="Small Business"/>
    <x v="0"/>
    <x v="7"/>
    <x v="4"/>
    <x v="124"/>
    <n v="1331.77"/>
    <s v="High"/>
    <n v="2606.11"/>
    <n v="2606.11"/>
    <n v="0.02"/>
    <n v="6"/>
    <n v="52.122200000000007"/>
    <n v="15323.926799999999"/>
    <n v="15271.804599999999"/>
    <n v="7990.62"/>
    <n v="7333.3067999999994"/>
    <n v="7281.1845999999996"/>
    <n v="1.9177393994458503"/>
    <n v="0.02"/>
    <n v="1531.5355"/>
    <n v="7.1999999999999993"/>
  </r>
  <r>
    <x v="125"/>
    <d v="2023-07-08T00:00:00"/>
    <s v="q3"/>
    <s v="2025"/>
    <s v="Apr"/>
    <d v="2025-04-27T00:00:00"/>
    <d v="2025-05-17T00:00:00"/>
    <d v="2025-05-17T00:00:00"/>
    <x v="0"/>
    <n v="20"/>
    <n v="20"/>
    <x v="2"/>
    <x v="10"/>
    <s v="Austin"/>
    <s v="Corporate"/>
    <x v="3"/>
    <x v="0"/>
    <x v="1"/>
    <x v="125"/>
    <n v="932.26"/>
    <s v="Medium"/>
    <n v="1624.67"/>
    <n v="1624.67"/>
    <n v="0.23499999999999999"/>
    <n v="28"/>
    <n v="381.79744999999997"/>
    <n v="34800.431400000001"/>
    <n v="34418.633950000003"/>
    <n v="26103.279999999999"/>
    <n v="8697.1514000000025"/>
    <n v="8315.3539500000043"/>
    <n v="1.333182320382726"/>
    <n v="0.2"/>
    <n v="1072.0989999999999"/>
    <n v="33.6"/>
  </r>
  <r>
    <x v="126"/>
    <d v="2023-07-09T00:00:00"/>
    <s v="q3"/>
    <s v="2024"/>
    <s v="Apr"/>
    <d v="2024-04-05T00:00:00"/>
    <d v="2024-04-09T00:00:00"/>
    <d v="2024-04-09T00:00:00"/>
    <x v="1"/>
    <n v="4"/>
    <n v="4"/>
    <x v="3"/>
    <x v="9"/>
    <s v="Lagos"/>
    <s v="Non-Profit"/>
    <x v="3"/>
    <x v="8"/>
    <x v="2"/>
    <x v="126"/>
    <n v="395.07"/>
    <s v="Medium"/>
    <n v="970.27"/>
    <n v="970.27"/>
    <n v="0.123"/>
    <n v="38"/>
    <n v="119.34321"/>
    <n v="32335.21802"/>
    <n v="32215.874810000001"/>
    <n v="15012.66"/>
    <n v="17322.55802"/>
    <n v="17203.214810000001"/>
    <n v="2.1538633406738046"/>
    <n v="0.123"/>
    <n v="454.33049999999997"/>
    <n v="45.6"/>
  </r>
  <r>
    <x v="127"/>
    <d v="2023-07-10T00:00:00"/>
    <s v="q3"/>
    <s v="2025"/>
    <s v="Mar"/>
    <d v="2025-03-10T00:00:00"/>
    <d v="2025-03-27T00:00:00"/>
    <d v="2025-03-27T00:00:00"/>
    <x v="0"/>
    <n v="17"/>
    <n v="17"/>
    <x v="2"/>
    <x v="6"/>
    <s v="Rio de Janeiro"/>
    <s v="Enterprise"/>
    <x v="3"/>
    <x v="9"/>
    <x v="4"/>
    <x v="127"/>
    <n v="996.73"/>
    <s v="Medium"/>
    <n v="1217.43"/>
    <n v="1217.43"/>
    <n v="7.0000000000000007E-2"/>
    <n v="9"/>
    <n v="85.220100000000016"/>
    <n v="10189.8891"/>
    <n v="10104.669"/>
    <n v="8970.57"/>
    <n v="1219.3191000000006"/>
    <n v="1134.0990000000002"/>
    <n v="1.1359243726987249"/>
    <n v="7.0000000000000007E-2"/>
    <n v="1146.2394999999999"/>
    <n v="10.799999999999999"/>
  </r>
  <r>
    <x v="128"/>
    <d v="2023-07-14T00:00:00"/>
    <s v="q3"/>
    <s v="2023"/>
    <s v="Feb"/>
    <d v="2023-02-23T00:00:00"/>
    <d v="2023-03-18T00:00:00"/>
    <d v="2023-03-18T00:00:00"/>
    <x v="0"/>
    <n v="23"/>
    <n v="23"/>
    <x v="0"/>
    <x v="3"/>
    <s v="Beijing"/>
    <s v="Education"/>
    <x v="0"/>
    <x v="8"/>
    <x v="6"/>
    <x v="128"/>
    <n v="770.11"/>
    <s v="Medium"/>
    <n v="1667.82"/>
    <n v="1667.82"/>
    <n v="6.9000000000000006E-2"/>
    <n v="7"/>
    <n v="115.07958000000001"/>
    <n v="10869.182940000001"/>
    <n v="10754.103360000001"/>
    <n v="5390.77"/>
    <n v="5478.4129400000002"/>
    <n v="5363.3333600000005"/>
    <n v="2.0162579631481217"/>
    <n v="6.9000000000000006E-2"/>
    <n v="885.62649999999996"/>
    <n v="8.4"/>
  </r>
  <r>
    <x v="129"/>
    <d v="2023-07-14T00:00:00"/>
    <s v="q3"/>
    <s v="2025"/>
    <s v="Mar"/>
    <d v="2025-03-24T00:00:00"/>
    <d v="2025-03-25T00:00:00"/>
    <d v="2025-03-25T00:00:00"/>
    <x v="1"/>
    <n v="1"/>
    <n v="1"/>
    <x v="0"/>
    <x v="3"/>
    <s v="Beijing"/>
    <s v="Non-Profit"/>
    <x v="2"/>
    <x v="12"/>
    <x v="4"/>
    <x v="129"/>
    <n v="1133.03"/>
    <s v="High"/>
    <n v="1921.51"/>
    <n v="1921.51"/>
    <n v="0.10100000000000001"/>
    <n v="5"/>
    <n v="194.07251000000002"/>
    <n v="8637.1874499999994"/>
    <n v="8443.1149399999995"/>
    <n v="5665.15"/>
    <n v="2972.0374499999998"/>
    <n v="2777.9649399999998"/>
    <n v="1.5246176094189916"/>
    <n v="0.10100000000000001"/>
    <n v="1302.9844999999998"/>
    <n v="6"/>
  </r>
  <r>
    <x v="130"/>
    <d v="2023-07-16T00:00:00"/>
    <s v="q3"/>
    <s v="2024"/>
    <s v="Apr"/>
    <d v="2024-04-26T00:00:00"/>
    <d v="2024-04-26T00:00:00"/>
    <d v="2024-04-24T00:00:00"/>
    <x v="1"/>
    <n v="0"/>
    <n v="-2"/>
    <x v="1"/>
    <x v="7"/>
    <s v="London"/>
    <s v="Non-Profit"/>
    <x v="0"/>
    <x v="0"/>
    <x v="1"/>
    <x v="130"/>
    <n v="1232.77"/>
    <s v="Medium"/>
    <n v="891.73"/>
    <n v="891.73"/>
    <n v="0.16700000000000001"/>
    <n v="10"/>
    <n v="148.91891000000001"/>
    <n v="7428.1108999999988"/>
    <n v="7279.1919899999984"/>
    <n v="12327.7"/>
    <n v="-4899.589100000002"/>
    <n v="-5048.5080100000023"/>
    <n v="0.60255448299358338"/>
    <n v="0.16700000000000001"/>
    <n v="1417.6854999999998"/>
    <n v="12"/>
  </r>
  <r>
    <x v="131"/>
    <d v="2023-07-18T00:00:00"/>
    <s v="q3"/>
    <s v="2025"/>
    <s v="Sept"/>
    <d v="2025-09-08T00:00:00"/>
    <d v="2025-10-05T00:00:00"/>
    <d v="2025-10-05T00:00:00"/>
    <x v="0"/>
    <n v="27"/>
    <n v="27"/>
    <x v="2"/>
    <x v="6"/>
    <s v="Rio de Janeiro"/>
    <s v="Education"/>
    <x v="2"/>
    <x v="4"/>
    <x v="3"/>
    <x v="131"/>
    <n v="660.78"/>
    <s v="Medium"/>
    <n v="1630.39"/>
    <n v="1630.39"/>
    <n v="0.218"/>
    <n v="13"/>
    <n v="355.42502000000002"/>
    <n v="16574.544740000001"/>
    <n v="16219.119720000001"/>
    <n v="8590.14"/>
    <n v="7984.4047400000018"/>
    <n v="7628.9797200000012"/>
    <n v="1.929484820969158"/>
    <n v="0.2"/>
    <n v="759.89699999999993"/>
    <n v="15.6"/>
  </r>
  <r>
    <x v="132"/>
    <d v="2023-07-18T00:00:00"/>
    <s v="q3"/>
    <s v="2023"/>
    <s v="May"/>
    <d v="2023-05-02T00:00:00"/>
    <d v="2023-05-16T00:00:00"/>
    <d v="2023-05-16T00:00:00"/>
    <x v="0"/>
    <n v="14"/>
    <n v="14"/>
    <x v="0"/>
    <x v="4"/>
    <s v="Bengaluru"/>
    <s v="Non-Profit"/>
    <x v="1"/>
    <x v="1"/>
    <x v="3"/>
    <x v="132"/>
    <n v="475.37"/>
    <s v="Medium"/>
    <n v="963.73"/>
    <n v="963.73"/>
    <n v="4.1000000000000002E-2"/>
    <n v="22"/>
    <n v="39.512930000000004"/>
    <n v="20332.775539999999"/>
    <n v="20293.262609999998"/>
    <n v="10458.14"/>
    <n v="9874.6355399999993"/>
    <n v="9835.1226099999985"/>
    <n v="1.9442057134442645"/>
    <n v="4.1000000000000002E-2"/>
    <n v="546.67549999999994"/>
    <n v="26.4"/>
  </r>
  <r>
    <x v="133"/>
    <d v="2023-07-19T00:00:00"/>
    <s v="q3"/>
    <s v="2023"/>
    <s v="Oct"/>
    <d v="2023-10-25T00:00:00"/>
    <d v="2023-10-28T00:00:00"/>
    <d v="2023-10-28T00:00:00"/>
    <x v="1"/>
    <n v="3"/>
    <n v="3"/>
    <x v="2"/>
    <x v="6"/>
    <s v="Brasília"/>
    <s v="Corporate"/>
    <x v="0"/>
    <x v="1"/>
    <x v="5"/>
    <x v="133"/>
    <n v="509.31"/>
    <s v="Medium"/>
    <n v="1145.9000000000001"/>
    <n v="1145.9000000000001"/>
    <n v="5.7000000000000002E-2"/>
    <n v="8"/>
    <n v="65.316300000000012"/>
    <n v="8644.6696000000011"/>
    <n v="8579.3533000000007"/>
    <n v="4074.48"/>
    <n v="4570.1896000000015"/>
    <n v="4504.8733000000011"/>
    <n v="2.1216620525809433"/>
    <n v="5.7000000000000002E-2"/>
    <n v="585.70650000000001"/>
    <n v="9.6"/>
  </r>
  <r>
    <x v="134"/>
    <d v="2023-07-22T00:00:00"/>
    <s v="q3"/>
    <s v="2024"/>
    <s v="Sept"/>
    <d v="2024-09-09T00:00:00"/>
    <d v="2024-09-13T00:00:00"/>
    <d v="2024-09-13T00:00:00"/>
    <x v="1"/>
    <n v="4"/>
    <n v="4"/>
    <x v="1"/>
    <x v="7"/>
    <s v="London"/>
    <s v="Consumer"/>
    <x v="4"/>
    <x v="9"/>
    <x v="4"/>
    <x v="134"/>
    <n v="1133.08"/>
    <s v="Medium"/>
    <n v="976.17"/>
    <n v="976.17"/>
    <n v="4.2000000000000003E-2"/>
    <n v="27"/>
    <n v="40.999140000000004"/>
    <n v="25249.613219999999"/>
    <n v="25208.614079999999"/>
    <n v="30593.159999999996"/>
    <n v="-5343.5467799999969"/>
    <n v="-5384.5459199999968"/>
    <n v="0.82533524552547044"/>
    <n v="4.2000000000000003E-2"/>
    <n v="1303.0419999999999"/>
    <n v="32.4"/>
  </r>
  <r>
    <x v="135"/>
    <d v="2023-07-24T00:00:00"/>
    <s v="q3"/>
    <s v="2024"/>
    <s v="Aug"/>
    <d v="2024-08-04T00:00:00"/>
    <d v="2024-08-17T00:00:00"/>
    <d v="2024-08-17T00:00:00"/>
    <x v="0"/>
    <n v="13"/>
    <n v="13"/>
    <x v="2"/>
    <x v="10"/>
    <s v="Austin"/>
    <s v="Consumer"/>
    <x v="1"/>
    <x v="10"/>
    <x v="3"/>
    <x v="135"/>
    <n v="352.79"/>
    <s v="Medium"/>
    <n v="754.22"/>
    <n v="754.22"/>
    <n v="0.113"/>
    <n v="7"/>
    <n v="85.226860000000002"/>
    <n v="4682.9519799999998"/>
    <n v="4597.7251200000001"/>
    <n v="2469.5300000000002"/>
    <n v="2213.4219799999996"/>
    <n v="2128.1951199999999"/>
    <n v="1.8962928087530824"/>
    <n v="0.113"/>
    <n v="405.70850000000002"/>
    <n v="8.4"/>
  </r>
  <r>
    <x v="136"/>
    <d v="2023-07-24T00:00:00"/>
    <s v="q3"/>
    <s v="2023"/>
    <s v="Jun"/>
    <d v="2023-06-20T00:00:00"/>
    <d v="2023-07-04T00:00:00"/>
    <d v="2023-07-04T00:00:00"/>
    <x v="0"/>
    <n v="14"/>
    <n v="14"/>
    <x v="2"/>
    <x v="6"/>
    <s v="Brasília"/>
    <s v="Non-Profit"/>
    <x v="3"/>
    <x v="4"/>
    <x v="4"/>
    <x v="136"/>
    <n v="1292.8599999999999"/>
    <s v="High"/>
    <n v="2981.01"/>
    <n v="2981.01"/>
    <n v="0.14199999999999999"/>
    <n v="12"/>
    <n v="423.30342000000002"/>
    <n v="30692.47896"/>
    <n v="30269.17554"/>
    <n v="15514.32"/>
    <n v="15178.158960000001"/>
    <n v="14754.85554"/>
    <n v="1.9783322092105875"/>
    <n v="0.14199999999999999"/>
    <n v="1486.7889999999998"/>
    <n v="14.399999999999999"/>
  </r>
  <r>
    <x v="137"/>
    <d v="2023-07-25T00:00:00"/>
    <s v="q3"/>
    <s v="2024"/>
    <s v="May"/>
    <d v="2024-05-27T00:00:00"/>
    <d v="2024-06-17T00:00:00"/>
    <d v="2024-06-17T00:00:00"/>
    <x v="0"/>
    <n v="21"/>
    <n v="21"/>
    <x v="0"/>
    <x v="4"/>
    <s v="Delhi"/>
    <s v="Small Business"/>
    <x v="2"/>
    <x v="14"/>
    <x v="5"/>
    <x v="137"/>
    <n v="465.02"/>
    <s v="Medium"/>
    <n v="651.55999999999995"/>
    <n v="651.55999999999995"/>
    <n v="4.2000000000000003E-2"/>
    <n v="19"/>
    <n v="27.36552"/>
    <n v="11859.695119999998"/>
    <n v="11832.329599999999"/>
    <n v="8835.3799999999992"/>
    <n v="3024.3151199999993"/>
    <n v="2996.9495999999999"/>
    <n v="1.3422959872693647"/>
    <n v="4.2000000000000003E-2"/>
    <n v="534.77299999999991"/>
    <n v="22.8"/>
  </r>
  <r>
    <x v="138"/>
    <d v="2023-07-26T00:00:00"/>
    <s v="q3"/>
    <s v="2024"/>
    <s v="Mar"/>
    <d v="2024-03-01T00:00:00"/>
    <d v="2024-03-01T00:00:00"/>
    <d v="2024-02-29T00:00:00"/>
    <x v="1"/>
    <n v="0"/>
    <n v="-1"/>
    <x v="2"/>
    <x v="6"/>
    <s v="São Paulo"/>
    <s v="Non-Profit"/>
    <x v="3"/>
    <x v="7"/>
    <x v="1"/>
    <x v="138"/>
    <n v="5.34"/>
    <s v="Low"/>
    <n v="12.69"/>
    <n v="12.69"/>
    <n v="0.13200000000000001"/>
    <n v="10"/>
    <n v="1.6750799999999999"/>
    <n v="110.14919999999999"/>
    <n v="108.47412"/>
    <n v="53.4"/>
    <n v="56.749199999999995"/>
    <n v="55.074120000000001"/>
    <n v="2.0627191011235952"/>
    <n v="0.13200000000000001"/>
    <n v="6.1409999999999991"/>
    <n v="12"/>
  </r>
  <r>
    <x v="139"/>
    <d v="2023-07-30T00:00:00"/>
    <s v="q3"/>
    <s v="2024"/>
    <s v="Aug"/>
    <d v="2024-08-19T00:00:00"/>
    <d v="2024-09-07T00:00:00"/>
    <d v="2024-09-07T00:00:00"/>
    <x v="0"/>
    <n v="19"/>
    <n v="19"/>
    <x v="1"/>
    <x v="8"/>
    <s v="Lyon"/>
    <s v="Corporate"/>
    <x v="3"/>
    <x v="5"/>
    <x v="2"/>
    <x v="139"/>
    <n v="297.58999999999997"/>
    <s v="Medium"/>
    <n v="666.41"/>
    <n v="666.41"/>
    <n v="0"/>
    <n v="10"/>
    <n v="0"/>
    <n v="6664.0999999999995"/>
    <n v="6664.0999999999995"/>
    <n v="2975.8999999999996"/>
    <n v="3688.2"/>
    <n v="3688.2"/>
    <n v="2.2393561611613295"/>
    <n v="0"/>
    <n v="342.22849999999994"/>
    <n v="12"/>
  </r>
  <r>
    <x v="140"/>
    <d v="2023-07-30T00:00:00"/>
    <s v="q3"/>
    <s v="2025"/>
    <s v="Jul"/>
    <d v="2025-07-23T00:00:00"/>
    <d v="2025-08-19T00:00:00"/>
    <d v="2025-08-19T00:00:00"/>
    <x v="0"/>
    <n v="27"/>
    <n v="27"/>
    <x v="0"/>
    <x v="0"/>
    <s v="Nagoya"/>
    <s v="Consumer"/>
    <x v="4"/>
    <x v="11"/>
    <x v="5"/>
    <x v="140"/>
    <n v="896.09"/>
    <s v="Medium"/>
    <n v="744.27"/>
    <n v="744.27"/>
    <n v="8.3000000000000004E-2"/>
    <n v="11"/>
    <n v="61.774410000000003"/>
    <n v="7507.4514899999995"/>
    <n v="7445.6770799999995"/>
    <n v="9856.99"/>
    <n v="-2349.5385100000003"/>
    <n v="-2411.3129200000003"/>
    <n v="0.7616373243758997"/>
    <n v="8.3000000000000004E-2"/>
    <n v="1030.5035"/>
    <n v="13.2"/>
  </r>
  <r>
    <x v="141"/>
    <d v="2023-08-02T00:00:00"/>
    <s v="q3"/>
    <s v="2024"/>
    <s v="Apr"/>
    <d v="2024-04-21T00:00:00"/>
    <d v="2024-05-19T00:00:00"/>
    <d v="2024-05-19T00:00:00"/>
    <x v="0"/>
    <n v="28"/>
    <n v="28"/>
    <x v="3"/>
    <x v="9"/>
    <s v="Lagos"/>
    <s v="Corporate"/>
    <x v="0"/>
    <x v="3"/>
    <x v="5"/>
    <x v="141"/>
    <n v="187.22"/>
    <s v="Low"/>
    <n v="309.47000000000003"/>
    <n v="309.47000000000003"/>
    <n v="0"/>
    <n v="5"/>
    <n v="0"/>
    <n v="1547.3500000000001"/>
    <n v="1547.3500000000001"/>
    <n v="936.1"/>
    <n v="611.25000000000011"/>
    <n v="611.25000000000011"/>
    <n v="1.6529751094968488"/>
    <n v="0"/>
    <n v="215.30299999999997"/>
    <n v="6"/>
  </r>
  <r>
    <x v="142"/>
    <d v="2023-08-03T00:00:00"/>
    <s v="q3"/>
    <s v="2024"/>
    <s v="Nov"/>
    <d v="2024-11-17T00:00:00"/>
    <d v="2024-11-28T00:00:00"/>
    <d v="2024-11-28T00:00:00"/>
    <x v="0"/>
    <n v="11"/>
    <n v="11"/>
    <x v="2"/>
    <x v="2"/>
    <s v="Montreal"/>
    <s v="Consumer"/>
    <x v="0"/>
    <x v="3"/>
    <x v="6"/>
    <x v="142"/>
    <n v="1008.16"/>
    <s v="High"/>
    <n v="2077.5"/>
    <n v="2077.5"/>
    <n v="7.3999999999999996E-2"/>
    <n v="15"/>
    <n v="153.73499999999999"/>
    <n v="28856.475000000002"/>
    <n v="28702.74"/>
    <n v="15122.4"/>
    <n v="13734.075000000003"/>
    <n v="13580.340000000002"/>
    <n v="1.9081941358514523"/>
    <n v="7.3999999999999996E-2"/>
    <n v="1159.3839999999998"/>
    <n v="18"/>
  </r>
  <r>
    <x v="143"/>
    <d v="2023-08-03T00:00:00"/>
    <s v="q3"/>
    <s v="2024"/>
    <s v="May"/>
    <d v="2024-05-12T00:00:00"/>
    <d v="2024-05-24T00:00:00"/>
    <d v="2024-05-24T00:00:00"/>
    <x v="0"/>
    <n v="12"/>
    <n v="12"/>
    <x v="1"/>
    <x v="7"/>
    <s v="Manchester"/>
    <s v="Education"/>
    <x v="4"/>
    <x v="8"/>
    <x v="6"/>
    <x v="143"/>
    <n v="111.02"/>
    <s v="Low"/>
    <n v="172.88"/>
    <n v="172.88"/>
    <n v="0.19700000000000001"/>
    <n v="29"/>
    <n v="34.057360000000003"/>
    <n v="4025.8565599999993"/>
    <n v="3991.7991999999995"/>
    <n v="3219.58"/>
    <n v="806.27655999999934"/>
    <n v="772.21919999999955"/>
    <n v="1.2504291118717346"/>
    <n v="0.19700000000000001"/>
    <n v="127.67299999999999"/>
    <n v="34.799999999999997"/>
  </r>
  <r>
    <x v="144"/>
    <d v="2023-08-03T00:00:00"/>
    <s v="q3"/>
    <s v="2025"/>
    <s v="May"/>
    <d v="2025-05-15T00:00:00"/>
    <d v="2025-06-05T00:00:00"/>
    <d v="2025-06-05T00:00:00"/>
    <x v="0"/>
    <n v="21"/>
    <n v="21"/>
    <x v="0"/>
    <x v="0"/>
    <s v="Osaka"/>
    <s v="Enterprise"/>
    <x v="3"/>
    <x v="14"/>
    <x v="1"/>
    <x v="144"/>
    <n v="1466.5"/>
    <s v="High"/>
    <n v="2778.74"/>
    <n v="2778.74"/>
    <n v="0.13500000000000001"/>
    <n v="4"/>
    <n v="375.12990000000002"/>
    <n v="9614.4403999999995"/>
    <n v="9239.3104999999996"/>
    <n v="5866"/>
    <n v="3748.4403999999995"/>
    <n v="3373.3104999999996"/>
    <n v="1.6390113194681213"/>
    <n v="0.13500000000000001"/>
    <n v="1686.4749999999999"/>
    <n v="4.8"/>
  </r>
  <r>
    <x v="145"/>
    <d v="2023-08-04T00:00:00"/>
    <s v="q3"/>
    <s v="2023"/>
    <s v="Oct"/>
    <d v="2023-10-25T00:00:00"/>
    <d v="2023-11-24T00:00:00"/>
    <d v="2023-11-24T00:00:00"/>
    <x v="0"/>
    <n v="30"/>
    <n v="30"/>
    <x v="1"/>
    <x v="8"/>
    <s v="Paris"/>
    <s v="Enterprise"/>
    <x v="0"/>
    <x v="4"/>
    <x v="1"/>
    <x v="145"/>
    <n v="287.85000000000002"/>
    <s v="Medium"/>
    <n v="602.91999999999996"/>
    <n v="602.91999999999996"/>
    <n v="0.222"/>
    <n v="11"/>
    <n v="133.84824"/>
    <n v="5159.7893599999998"/>
    <n v="5025.9411199999995"/>
    <n v="3166.3500000000004"/>
    <n v="1993.4393599999994"/>
    <n v="1859.5911199999991"/>
    <n v="1.6295701233281221"/>
    <n v="0.2"/>
    <n v="331.02749999999997"/>
    <n v="13.2"/>
  </r>
  <r>
    <x v="146"/>
    <d v="2023-08-08T00:00:00"/>
    <s v="q3"/>
    <s v="2024"/>
    <s v="Dec"/>
    <d v="2024-12-08T00:00:00"/>
    <d v="2024-12-08T00:00:00"/>
    <d v="2024-12-08T00:00:00"/>
    <x v="1"/>
    <n v="0"/>
    <n v="0"/>
    <x v="1"/>
    <x v="8"/>
    <s v="Lyon"/>
    <s v="Enterprise"/>
    <x v="1"/>
    <x v="14"/>
    <x v="2"/>
    <x v="146"/>
    <n v="257.44"/>
    <s v="Low"/>
    <n v="290.33"/>
    <n v="290.33"/>
    <n v="9.1999999999999998E-2"/>
    <n v="23"/>
    <n v="26.710359999999998"/>
    <n v="6063.2517199999993"/>
    <n v="6036.5413599999993"/>
    <n v="5921.12"/>
    <n v="142.1317199999994"/>
    <n v="115.42135999999937"/>
    <n v="1.0240041951522685"/>
    <n v="9.1999999999999998E-2"/>
    <n v="296.05599999999998"/>
    <n v="27.599999999999998"/>
  </r>
  <r>
    <x v="147"/>
    <d v="2023-08-10T00:00:00"/>
    <s v="q3"/>
    <s v="2023"/>
    <s v="Aug"/>
    <d v="2023-08-10T00:00:00"/>
    <d v="2023-08-15T00:00:00"/>
    <d v="2023-08-15T00:00:00"/>
    <x v="1"/>
    <n v="5"/>
    <n v="5"/>
    <x v="2"/>
    <x v="6"/>
    <s v="São Paulo"/>
    <s v="Education"/>
    <x v="3"/>
    <x v="12"/>
    <x v="4"/>
    <x v="147"/>
    <n v="1307.52"/>
    <s v="High"/>
    <n v="1921.65"/>
    <n v="1921.65"/>
    <n v="0.123"/>
    <n v="13"/>
    <n v="236.36295000000001"/>
    <n v="21908.731650000002"/>
    <n v="21672.368700000003"/>
    <n v="16997.759999999998"/>
    <n v="4910.9716500000031"/>
    <n v="4674.6087000000043"/>
    <n v="1.2889187545888401"/>
    <n v="0.123"/>
    <n v="1503.6479999999999"/>
    <n v="15.6"/>
  </r>
  <r>
    <x v="148"/>
    <d v="2023-08-12T00:00:00"/>
    <s v="q3"/>
    <s v="2025"/>
    <s v="Apr"/>
    <d v="2025-04-28T00:00:00"/>
    <d v="2025-05-19T00:00:00"/>
    <d v="2025-05-19T00:00:00"/>
    <x v="0"/>
    <n v="21"/>
    <n v="21"/>
    <x v="1"/>
    <x v="1"/>
    <s v="Berlin"/>
    <s v="Corporate"/>
    <x v="0"/>
    <x v="11"/>
    <x v="1"/>
    <x v="148"/>
    <n v="350.76"/>
    <s v="Low"/>
    <n v="492.18"/>
    <n v="492.18"/>
    <n v="5.2999999999999999E-2"/>
    <n v="11"/>
    <n v="26.085539999999998"/>
    <n v="5127.0390600000001"/>
    <n v="5100.95352"/>
    <n v="3858.3599999999997"/>
    <n v="1268.6790600000004"/>
    <n v="1242.5935200000004"/>
    <n v="1.3288130345535409"/>
    <n v="5.2999999999999999E-2"/>
    <n v="403.37399999999997"/>
    <n v="13.2"/>
  </r>
  <r>
    <x v="149"/>
    <d v="2023-08-15T00:00:00"/>
    <s v="q3"/>
    <s v="2024"/>
    <s v="Sept"/>
    <d v="2024-09-03T00:00:00"/>
    <d v="2024-09-07T00:00:00"/>
    <d v="2024-09-07T00:00:00"/>
    <x v="1"/>
    <n v="4"/>
    <n v="4"/>
    <x v="0"/>
    <x v="0"/>
    <s v="Tokyo"/>
    <s v="Small Business"/>
    <x v="0"/>
    <x v="0"/>
    <x v="6"/>
    <x v="149"/>
    <n v="43.23"/>
    <s v="Low"/>
    <n v="94.78"/>
    <n v="94.78"/>
    <n v="9.0999999999999998E-2"/>
    <n v="55"/>
    <n v="8.6249800000000008"/>
    <n v="4738.5261"/>
    <n v="4729.9011200000004"/>
    <n v="2377.6499999999996"/>
    <n v="2360.8761000000004"/>
    <n v="2352.2511200000008"/>
    <n v="1.9929451769604445"/>
    <n v="9.0999999999999998E-2"/>
    <n v="49.714499999999994"/>
    <n v="66"/>
  </r>
  <r>
    <x v="150"/>
    <d v="2023-08-15T00:00:00"/>
    <s v="q3"/>
    <s v="2025"/>
    <s v="Aug"/>
    <d v="2025-08-30T00:00:00"/>
    <d v="2025-09-03T00:00:00"/>
    <d v="2025-09-03T00:00:00"/>
    <x v="1"/>
    <n v="4"/>
    <n v="4"/>
    <x v="1"/>
    <x v="8"/>
    <s v="Marseille"/>
    <s v="Small Business"/>
    <x v="4"/>
    <x v="5"/>
    <x v="0"/>
    <x v="150"/>
    <n v="1286.56"/>
    <s v="High"/>
    <n v="2777.35"/>
    <n v="2777.35"/>
    <n v="0.13200000000000001"/>
    <n v="15"/>
    <n v="366.61020000000002"/>
    <n v="36161.097000000002"/>
    <n v="35794.486799999999"/>
    <n v="19298.399999999998"/>
    <n v="16862.697000000004"/>
    <n v="16496.086800000001"/>
    <n v="1.873787308792439"/>
    <n v="0.13200000000000001"/>
    <n v="1479.5439999999999"/>
    <n v="18"/>
  </r>
  <r>
    <x v="151"/>
    <d v="2023-08-17T00:00:00"/>
    <s v="q3"/>
    <s v="2024"/>
    <s v="Jan"/>
    <d v="2024-01-02T00:00:00"/>
    <d v="2024-01-15T00:00:00"/>
    <d v="2024-01-15T00:00:00"/>
    <x v="0"/>
    <n v="13"/>
    <n v="13"/>
    <x v="0"/>
    <x v="0"/>
    <s v="Nagoya"/>
    <s v="Small Business"/>
    <x v="4"/>
    <x v="12"/>
    <x v="4"/>
    <x v="151"/>
    <n v="1219.06"/>
    <s v="High"/>
    <n v="2738.69"/>
    <n v="2738.69"/>
    <n v="7.5999999999999998E-2"/>
    <n v="16"/>
    <n v="208.14044000000001"/>
    <n v="40488.792960000006"/>
    <n v="40280.652520000003"/>
    <n v="19504.96"/>
    <n v="20983.832960000007"/>
    <n v="20775.692520000004"/>
    <n v="2.0758203533870363"/>
    <n v="7.5999999999999998E-2"/>
    <n v="1401.9189999999999"/>
    <n v="19.2"/>
  </r>
  <r>
    <x v="152"/>
    <d v="2023-08-19T00:00:00"/>
    <s v="q3"/>
    <s v="2023"/>
    <s v="Mar"/>
    <d v="2023-03-14T00:00:00"/>
    <d v="2023-03-18T00:00:00"/>
    <d v="2023-03-18T00:00:00"/>
    <x v="1"/>
    <n v="4"/>
    <n v="4"/>
    <x v="1"/>
    <x v="1"/>
    <s v="Frankfurt"/>
    <s v="Enterprise"/>
    <x v="3"/>
    <x v="3"/>
    <x v="2"/>
    <x v="152"/>
    <n v="472.33"/>
    <s v="Low"/>
    <n v="360.34"/>
    <n v="360.34"/>
    <n v="0.16500000000000001"/>
    <n v="14"/>
    <n v="59.456099999999999"/>
    <n v="4212.3745999999992"/>
    <n v="4152.9184999999989"/>
    <n v="6612.62"/>
    <n v="-2400.2454000000007"/>
    <n v="-2459.701500000001"/>
    <n v="0.63702051531768034"/>
    <n v="0.16500000000000001"/>
    <n v="543.17949999999996"/>
    <n v="16.8"/>
  </r>
  <r>
    <x v="153"/>
    <d v="2023-08-19T00:00:00"/>
    <s v="q3"/>
    <s v="2023"/>
    <s v="Jul"/>
    <d v="2023-07-16T00:00:00"/>
    <d v="2023-08-13T00:00:00"/>
    <d v="2023-08-13T00:00:00"/>
    <x v="0"/>
    <n v="28"/>
    <n v="28"/>
    <x v="1"/>
    <x v="7"/>
    <s v="Manchester"/>
    <s v="Non-Profit"/>
    <x v="2"/>
    <x v="5"/>
    <x v="0"/>
    <x v="153"/>
    <n v="1039.03"/>
    <s v="High"/>
    <n v="2545.81"/>
    <n v="2545.81"/>
    <n v="0.216"/>
    <n v="21"/>
    <n v="549.89495999999997"/>
    <n v="41914.215840000004"/>
    <n v="41364.320880000007"/>
    <n v="21819.63"/>
    <n v="20094.585840000003"/>
    <n v="19544.690880000006"/>
    <n v="1.9209407235594738"/>
    <n v="0.2"/>
    <n v="1194.8844999999999"/>
    <n v="25.2"/>
  </r>
  <r>
    <x v="154"/>
    <d v="2023-08-19T00:00:00"/>
    <s v="q3"/>
    <s v="2023"/>
    <s v="Apr"/>
    <d v="2023-04-16T00:00:00"/>
    <d v="2023-04-19T00:00:00"/>
    <d v="2023-04-19T00:00:00"/>
    <x v="1"/>
    <n v="3"/>
    <n v="3"/>
    <x v="1"/>
    <x v="1"/>
    <s v="Munich"/>
    <s v="Corporate"/>
    <x v="3"/>
    <x v="11"/>
    <x v="5"/>
    <x v="154"/>
    <n v="553.61"/>
    <s v="Medium"/>
    <n v="699.47"/>
    <n v="699.47"/>
    <n v="0.02"/>
    <n v="33"/>
    <n v="13.989400000000002"/>
    <n v="22620.859800000002"/>
    <n v="22606.870400000003"/>
    <n v="18269.13"/>
    <n v="4351.729800000001"/>
    <n v="4337.7404000000024"/>
    <n v="1.2382012608153754"/>
    <n v="0.02"/>
    <n v="636.65149999999994"/>
    <n v="39.6"/>
  </r>
  <r>
    <x v="155"/>
    <d v="2023-08-21T00:00:00"/>
    <s v="q3"/>
    <s v="2024"/>
    <s v="May"/>
    <d v="2024-05-10T00:00:00"/>
    <d v="2024-05-16T00:00:00"/>
    <d v="2024-05-16T00:00:00"/>
    <x v="1"/>
    <n v="6"/>
    <n v="6"/>
    <x v="1"/>
    <x v="7"/>
    <s v="Birmingham"/>
    <s v="Non-Profit"/>
    <x v="3"/>
    <x v="12"/>
    <x v="0"/>
    <x v="155"/>
    <n v="210.76"/>
    <s v="Low"/>
    <n v="221.58"/>
    <n v="221.58"/>
    <n v="8.8999999999999996E-2"/>
    <n v="5"/>
    <n v="19.72062"/>
    <n v="1009.2969000000002"/>
    <n v="989.57628000000011"/>
    <n v="1053.8"/>
    <n v="-44.50309999999979"/>
    <n v="-64.223719999999844"/>
    <n v="0.95776893148605069"/>
    <n v="8.8999999999999996E-2"/>
    <n v="242.37399999999997"/>
    <n v="6"/>
  </r>
  <r>
    <x v="156"/>
    <d v="2023-08-23T00:00:00"/>
    <s v="q3"/>
    <s v="2023"/>
    <s v="May"/>
    <d v="2023-05-23T00:00:00"/>
    <d v="2023-05-25T00:00:00"/>
    <d v="2023-05-25T00:00:00"/>
    <x v="1"/>
    <n v="2"/>
    <n v="2"/>
    <x v="2"/>
    <x v="6"/>
    <s v="Rio de Janeiro"/>
    <s v="Enterprise"/>
    <x v="1"/>
    <x v="13"/>
    <x v="6"/>
    <x v="156"/>
    <n v="690.49"/>
    <s v="Medium"/>
    <n v="1290.29"/>
    <n v="1290.29"/>
    <n v="4.2000000000000003E-2"/>
    <n v="22"/>
    <n v="54.19218"/>
    <n v="27194.152039999997"/>
    <n v="27139.959859999999"/>
    <n v="15190.78"/>
    <n v="12003.372039999997"/>
    <n v="11949.179859999998"/>
    <n v="1.7901748323654214"/>
    <n v="4.2000000000000003E-2"/>
    <n v="794.06349999999998"/>
    <n v="26.4"/>
  </r>
  <r>
    <x v="157"/>
    <d v="2023-08-24T00:00:00"/>
    <s v="q3"/>
    <s v="2025"/>
    <s v="Aug"/>
    <d v="2025-08-13T00:00:00"/>
    <d v="2025-09-03T00:00:00"/>
    <d v="2025-09-03T00:00:00"/>
    <x v="0"/>
    <n v="21"/>
    <n v="21"/>
    <x v="1"/>
    <x v="8"/>
    <s v="Paris"/>
    <s v="Education"/>
    <x v="1"/>
    <x v="7"/>
    <x v="1"/>
    <x v="157"/>
    <n v="603.47"/>
    <s v="Medium"/>
    <n v="1344.05"/>
    <n v="1344.05"/>
    <n v="0.20499999999999999"/>
    <n v="18"/>
    <n v="275.53024999999997"/>
    <n v="19233.355499999998"/>
    <n v="18957.825249999998"/>
    <n v="10862.460000000001"/>
    <n v="8370.8954999999969"/>
    <n v="8095.3652499999971"/>
    <n v="1.770626128887931"/>
    <n v="0.2"/>
    <n v="693.9905"/>
    <n v="21.599999999999998"/>
  </r>
  <r>
    <x v="158"/>
    <d v="2023-08-25T00:00:00"/>
    <s v="q3"/>
    <s v="2024"/>
    <s v="Feb"/>
    <d v="2024-02-06T00:00:00"/>
    <d v="2024-02-28T00:00:00"/>
    <d v="2024-02-28T00:00:00"/>
    <x v="0"/>
    <n v="22"/>
    <n v="22"/>
    <x v="3"/>
    <x v="5"/>
    <s v="Kisumu"/>
    <s v="Non-Profit"/>
    <x v="2"/>
    <x v="8"/>
    <x v="3"/>
    <x v="158"/>
    <n v="834.93"/>
    <s v="Medium"/>
    <n v="1588.53"/>
    <n v="1588.53"/>
    <n v="0.126"/>
    <n v="6"/>
    <n v="200.15477999999999"/>
    <n v="8330.2513199999994"/>
    <n v="8130.0965399999995"/>
    <n v="5009.58"/>
    <n v="3320.6713199999995"/>
    <n v="3120.5165399999996"/>
    <n v="1.6628642161618339"/>
    <n v="0.126"/>
    <n v="960.16949999999986"/>
    <n v="7.1999999999999993"/>
  </r>
  <r>
    <x v="159"/>
    <d v="2023-08-26T00:00:00"/>
    <s v="q3"/>
    <s v="2025"/>
    <s v="Jul"/>
    <d v="2025-07-03T00:00:00"/>
    <d v="2025-07-23T00:00:00"/>
    <d v="2025-07-23T00:00:00"/>
    <x v="0"/>
    <n v="20"/>
    <n v="20"/>
    <x v="0"/>
    <x v="3"/>
    <s v="Beijing"/>
    <s v="Small Business"/>
    <x v="2"/>
    <x v="13"/>
    <x v="2"/>
    <x v="159"/>
    <n v="647.36"/>
    <s v="Medium"/>
    <n v="1383.6"/>
    <n v="1383.6"/>
    <n v="7.3999999999999996E-2"/>
    <n v="12"/>
    <n v="102.38639999999999"/>
    <n v="15374.563199999999"/>
    <n v="15272.176799999999"/>
    <n v="7768.32"/>
    <n v="7606.243199999999"/>
    <n v="7503.8567999999996"/>
    <n v="1.9791361838853188"/>
    <n v="7.3999999999999996E-2"/>
    <n v="744.46399999999994"/>
    <n v="14.399999999999999"/>
  </r>
  <r>
    <x v="160"/>
    <d v="2023-08-27T00:00:00"/>
    <s v="q3"/>
    <s v="2023"/>
    <s v="Aug"/>
    <d v="2023-08-29T00:00:00"/>
    <d v="2023-09-19T00:00:00"/>
    <d v="2023-09-19T00:00:00"/>
    <x v="0"/>
    <n v="21"/>
    <n v="21"/>
    <x v="1"/>
    <x v="8"/>
    <s v="Lyon"/>
    <s v="Small Business"/>
    <x v="3"/>
    <x v="11"/>
    <x v="6"/>
    <x v="160"/>
    <n v="784.46"/>
    <s v="Medium"/>
    <n v="1843.51"/>
    <n v="1843.51"/>
    <n v="0.13800000000000001"/>
    <n v="23"/>
    <n v="254.40438000000003"/>
    <n v="36549.429260000004"/>
    <n v="36295.024880000004"/>
    <n v="18042.580000000002"/>
    <n v="18506.849260000003"/>
    <n v="18252.444880000003"/>
    <n v="2.0257318665068964"/>
    <n v="0.13800000000000001"/>
    <n v="902.12900000000002"/>
    <n v="27.599999999999998"/>
  </r>
  <r>
    <x v="161"/>
    <d v="2023-08-29T00:00:00"/>
    <s v="q3"/>
    <s v="2025"/>
    <s v="Mar"/>
    <d v="2025-03-23T00:00:00"/>
    <d v="2025-04-02T00:00:00"/>
    <d v="2025-04-02T00:00:00"/>
    <x v="0"/>
    <n v="10"/>
    <n v="10"/>
    <x v="1"/>
    <x v="1"/>
    <s v="Berlin"/>
    <s v="Enterprise"/>
    <x v="2"/>
    <x v="2"/>
    <x v="6"/>
    <x v="161"/>
    <n v="663.61"/>
    <s v="Medium"/>
    <n v="1002.11"/>
    <n v="1002.11"/>
    <n v="4.5999999999999999E-2"/>
    <n v="17"/>
    <n v="46.097059999999999"/>
    <n v="16252.219979999998"/>
    <n v="16206.122919999998"/>
    <n v="11281.37"/>
    <n v="4970.8499799999972"/>
    <n v="4924.7529199999972"/>
    <n v="1.4406246741308899"/>
    <n v="4.5999999999999999E-2"/>
    <n v="763.15149999999994"/>
    <n v="20.399999999999999"/>
  </r>
  <r>
    <x v="162"/>
    <d v="2023-08-29T00:00:00"/>
    <s v="q3"/>
    <s v="2023"/>
    <s v="May"/>
    <d v="2023-05-14T00:00:00"/>
    <d v="2023-05-22T00:00:00"/>
    <d v="2023-05-22T00:00:00"/>
    <x v="0"/>
    <n v="8"/>
    <n v="8"/>
    <x v="3"/>
    <x v="5"/>
    <s v="Mombasa"/>
    <s v="Small Business"/>
    <x v="0"/>
    <x v="9"/>
    <x v="6"/>
    <x v="162"/>
    <n v="432.01"/>
    <s v="Medium"/>
    <n v="913.78"/>
    <n v="913.78"/>
    <n v="4.9000000000000002E-2"/>
    <n v="12"/>
    <n v="44.775219999999997"/>
    <n v="10428.057360000001"/>
    <n v="10383.282140000001"/>
    <n v="5184.12"/>
    <n v="5243.9373600000008"/>
    <n v="5199.1621400000013"/>
    <n v="2.0115385754959378"/>
    <n v="4.9000000000000002E-2"/>
    <n v="496.81149999999997"/>
    <n v="14.399999999999999"/>
  </r>
  <r>
    <x v="163"/>
    <d v="2023-08-30T00:00:00"/>
    <s v="q3"/>
    <s v="2023"/>
    <s v="Dec"/>
    <d v="2023-12-18T00:00:00"/>
    <d v="2024-01-14T00:00:00"/>
    <d v="2024-01-14T00:00:00"/>
    <x v="0"/>
    <n v="27"/>
    <n v="27"/>
    <x v="0"/>
    <x v="4"/>
    <s v="Mumbai"/>
    <s v="Consumer"/>
    <x v="0"/>
    <x v="10"/>
    <x v="4"/>
    <x v="163"/>
    <n v="1408.3"/>
    <s v="High"/>
    <n v="2193.13"/>
    <n v="2193.13"/>
    <n v="7.0999999999999994E-2"/>
    <n v="7"/>
    <n v="155.71223000000001"/>
    <n v="14261.92439"/>
    <n v="14106.212160000001"/>
    <n v="9858.1"/>
    <n v="4403.8243899999998"/>
    <n v="4248.1121600000006"/>
    <n v="1.4467214158915003"/>
    <n v="7.0999999999999994E-2"/>
    <n v="1619.5449999999998"/>
    <n v="8.4"/>
  </r>
  <r>
    <x v="164"/>
    <d v="2023-08-30T00:00:00"/>
    <s v="q3"/>
    <s v="2025"/>
    <s v="Jun"/>
    <d v="2025-06-01T00:00:00"/>
    <d v="2025-06-05T00:00:00"/>
    <d v="2025-06-05T00:00:00"/>
    <x v="1"/>
    <n v="4"/>
    <n v="4"/>
    <x v="1"/>
    <x v="1"/>
    <s v="Munich"/>
    <s v="Enterprise"/>
    <x v="3"/>
    <x v="13"/>
    <x v="2"/>
    <x v="164"/>
    <n v="1171.42"/>
    <s v="High"/>
    <n v="2187.8000000000002"/>
    <n v="2187.8000000000002"/>
    <n v="0.23"/>
    <n v="15"/>
    <n v="503.19400000000007"/>
    <n v="25269.09"/>
    <n v="24765.896000000001"/>
    <n v="17571.300000000003"/>
    <n v="7697.7899999999972"/>
    <n v="7194.5959999999977"/>
    <n v="1.4380888152840141"/>
    <n v="0.2"/>
    <n v="1347.133"/>
    <n v="18"/>
  </r>
  <r>
    <x v="165"/>
    <d v="2023-09-08T00:00:00"/>
    <s v="q3"/>
    <s v="2024"/>
    <s v="Nov"/>
    <d v="2024-11-22T00:00:00"/>
    <d v="2024-12-15T00:00:00"/>
    <d v="2024-12-15T00:00:00"/>
    <x v="0"/>
    <n v="23"/>
    <n v="23"/>
    <x v="3"/>
    <x v="5"/>
    <s v="Mombasa"/>
    <s v="Non-Profit"/>
    <x v="0"/>
    <x v="4"/>
    <x v="2"/>
    <x v="165"/>
    <n v="1335.76"/>
    <s v="High"/>
    <n v="2665.91"/>
    <n v="2665.91"/>
    <n v="0.21099999999999999"/>
    <n v="40"/>
    <n v="562.50700999999992"/>
    <n v="84136.119600000005"/>
    <n v="83573.612590000004"/>
    <n v="53430.400000000001"/>
    <n v="30705.719600000004"/>
    <n v="30143.212590000003"/>
    <n v="1.5746863134095945"/>
    <n v="0.2"/>
    <n v="1536.1239999999998"/>
    <n v="48"/>
  </r>
  <r>
    <x v="166"/>
    <d v="2023-09-08T00:00:00"/>
    <s v="q3"/>
    <s v="2024"/>
    <s v="Jun"/>
    <d v="2024-06-23T00:00:00"/>
    <d v="2024-06-28T00:00:00"/>
    <d v="2024-06-28T00:00:00"/>
    <x v="1"/>
    <n v="5"/>
    <n v="5"/>
    <x v="3"/>
    <x v="9"/>
    <s v="Port Harcourt"/>
    <s v="Non-Profit"/>
    <x v="3"/>
    <x v="13"/>
    <x v="5"/>
    <x v="166"/>
    <n v="242.31"/>
    <s v="Low"/>
    <n v="587.95000000000005"/>
    <n v="587.95000000000005"/>
    <n v="0.22900000000000001"/>
    <n v="6"/>
    <n v="134.64055000000002"/>
    <n v="2719.8567000000003"/>
    <n v="2585.2161500000002"/>
    <n v="1453.8600000000001"/>
    <n v="1265.9967000000001"/>
    <n v="1131.3561500000001"/>
    <n v="1.8707830877801164"/>
    <n v="0.2"/>
    <n v="278.65649999999999"/>
    <n v="7.1999999999999993"/>
  </r>
  <r>
    <x v="167"/>
    <d v="2023-09-14T00:00:00"/>
    <s v="q3"/>
    <s v="2025"/>
    <s v="Jul"/>
    <d v="2025-07-27T00:00:00"/>
    <d v="2025-08-15T00:00:00"/>
    <d v="2025-08-15T00:00:00"/>
    <x v="0"/>
    <n v="19"/>
    <n v="19"/>
    <x v="0"/>
    <x v="0"/>
    <s v="Tokyo"/>
    <s v="Small Business"/>
    <x v="4"/>
    <x v="5"/>
    <x v="2"/>
    <x v="167"/>
    <n v="275.43"/>
    <s v="Medium"/>
    <n v="608.36"/>
    <n v="608.36"/>
    <n v="0.25700000000000001"/>
    <n v="4"/>
    <n v="156.34852000000001"/>
    <n v="1808.04592"/>
    <n v="1651.6974"/>
    <n v="1101.72"/>
    <n v="706.32592"/>
    <n v="549.97739999999999"/>
    <n v="1.6411120066804632"/>
    <n v="0.2"/>
    <n v="316.74449999999996"/>
    <n v="4.8"/>
  </r>
  <r>
    <x v="168"/>
    <d v="2023-09-17T00:00:00"/>
    <s v="q3"/>
    <s v="2025"/>
    <s v="Apr"/>
    <d v="2025-04-10T00:00:00"/>
    <d v="2025-04-19T00:00:00"/>
    <d v="2025-04-19T00:00:00"/>
    <x v="0"/>
    <n v="9"/>
    <n v="9"/>
    <x v="3"/>
    <x v="11"/>
    <s v="Durban"/>
    <s v="Enterprise"/>
    <x v="3"/>
    <x v="12"/>
    <x v="4"/>
    <x v="168"/>
    <n v="113.74"/>
    <s v="Low"/>
    <n v="165.7"/>
    <n v="165.7"/>
    <n v="0.124"/>
    <n v="13"/>
    <n v="20.546799999999998"/>
    <n v="1886.9915999999998"/>
    <n v="1866.4447999999998"/>
    <n v="1478.62"/>
    <n v="408.37159999999994"/>
    <n v="387.82479999999987"/>
    <n v="1.2761842799366978"/>
    <n v="0.124"/>
    <n v="130.80099999999999"/>
    <n v="15.6"/>
  </r>
  <r>
    <x v="169"/>
    <d v="2023-09-18T00:00:00"/>
    <s v="q3"/>
    <s v="2024"/>
    <s v="Mar"/>
    <d v="2024-03-07T00:00:00"/>
    <d v="2024-04-03T00:00:00"/>
    <d v="2024-04-03T00:00:00"/>
    <x v="0"/>
    <n v="27"/>
    <n v="27"/>
    <x v="1"/>
    <x v="1"/>
    <s v="Frankfurt"/>
    <s v="Corporate"/>
    <x v="3"/>
    <x v="13"/>
    <x v="6"/>
    <x v="169"/>
    <n v="738.16"/>
    <s v="Medium"/>
    <n v="956.49"/>
    <n v="956.49"/>
    <n v="0.152"/>
    <n v="5"/>
    <n v="145.38648000000001"/>
    <n v="4055.5175999999997"/>
    <n v="3910.1311199999996"/>
    <n v="3690.7999999999997"/>
    <n v="364.71759999999995"/>
    <n v="219.33111999999983"/>
    <n v="1.0988180340305624"/>
    <n v="0.152"/>
    <n v="848.8839999999999"/>
    <n v="6"/>
  </r>
  <r>
    <x v="170"/>
    <d v="2023-09-19T00:00:00"/>
    <s v="q3"/>
    <s v="2023"/>
    <s v="May"/>
    <d v="2023-05-17T00:00:00"/>
    <d v="2023-06-15T00:00:00"/>
    <d v="2023-06-15T00:00:00"/>
    <x v="0"/>
    <n v="29"/>
    <n v="29"/>
    <x v="3"/>
    <x v="11"/>
    <s v="Durban"/>
    <s v="Enterprise"/>
    <x v="1"/>
    <x v="8"/>
    <x v="5"/>
    <x v="170"/>
    <n v="40.89"/>
    <s v="Low"/>
    <n v="62.82"/>
    <n v="62.82"/>
    <n v="0.129"/>
    <n v="17"/>
    <n v="8.1037800000000004"/>
    <n v="930.17574000000002"/>
    <n v="922.07195999999999"/>
    <n v="695.13"/>
    <n v="235.04574000000002"/>
    <n v="226.94195999999999"/>
    <n v="1.3381320616287602"/>
    <n v="0.129"/>
    <n v="47.023499999999999"/>
    <n v="20.399999999999999"/>
  </r>
  <r>
    <x v="171"/>
    <d v="2023-09-20T00:00:00"/>
    <s v="q3"/>
    <s v="2023"/>
    <s v="Jul"/>
    <d v="2023-07-09T00:00:00"/>
    <d v="2023-07-19T00:00:00"/>
    <d v="2023-07-19T00:00:00"/>
    <x v="0"/>
    <n v="10"/>
    <n v="10"/>
    <x v="0"/>
    <x v="0"/>
    <s v="Tokyo"/>
    <s v="Enterprise"/>
    <x v="0"/>
    <x v="0"/>
    <x v="2"/>
    <x v="171"/>
    <n v="141.26"/>
    <s v="Low"/>
    <n v="206.88"/>
    <n v="206.88"/>
    <n v="0.107"/>
    <n v="9"/>
    <n v="22.13616"/>
    <n v="1662.6945600000001"/>
    <n v="1640.5584000000001"/>
    <n v="1271.3399999999999"/>
    <n v="391.35456000000022"/>
    <n v="369.2184000000002"/>
    <n v="1.3078284015290955"/>
    <n v="0.107"/>
    <n v="162.44899999999998"/>
    <n v="10.799999999999999"/>
  </r>
  <r>
    <x v="172"/>
    <d v="2023-09-21T00:00:00"/>
    <s v="q3"/>
    <s v="2024"/>
    <s v="May"/>
    <d v="2024-05-05T00:00:00"/>
    <d v="2024-05-18T00:00:00"/>
    <d v="2024-05-18T00:00:00"/>
    <x v="0"/>
    <n v="13"/>
    <n v="13"/>
    <x v="1"/>
    <x v="8"/>
    <s v="Marseille"/>
    <s v="Corporate"/>
    <x v="4"/>
    <x v="3"/>
    <x v="2"/>
    <x v="172"/>
    <n v="1264.04"/>
    <s v="Medium"/>
    <n v="1870.89"/>
    <n v="1870.89"/>
    <n v="0"/>
    <n v="13"/>
    <n v="0"/>
    <n v="24321.57"/>
    <n v="24321.57"/>
    <n v="16432.52"/>
    <n v="7889.0499999999993"/>
    <n v="7889.0499999999993"/>
    <n v="1.4800876554539413"/>
    <n v="0"/>
    <n v="1453.646"/>
    <n v="15.6"/>
  </r>
  <r>
    <x v="173"/>
    <d v="2023-09-25T00:00:00"/>
    <s v="q3"/>
    <s v="2023"/>
    <s v="May"/>
    <d v="2023-05-02T00:00:00"/>
    <d v="2023-05-19T00:00:00"/>
    <d v="2023-05-19T00:00:00"/>
    <x v="0"/>
    <n v="17"/>
    <n v="17"/>
    <x v="0"/>
    <x v="3"/>
    <s v="Shanghai"/>
    <s v="Non-Profit"/>
    <x v="3"/>
    <x v="5"/>
    <x v="3"/>
    <x v="173"/>
    <n v="714.28"/>
    <s v="Medium"/>
    <n v="757.59"/>
    <n v="757.59"/>
    <n v="0.13600000000000001"/>
    <n v="12"/>
    <n v="103.03224000000002"/>
    <n v="7854.6931199999999"/>
    <n v="7751.6608799999995"/>
    <n v="8571.36"/>
    <n v="-716.66688000000067"/>
    <n v="-819.69912000000113"/>
    <n v="0.9163881951055608"/>
    <n v="0.13600000000000001"/>
    <n v="821.42199999999991"/>
    <n v="14.399999999999999"/>
  </r>
  <r>
    <x v="174"/>
    <d v="2023-09-25T00:00:00"/>
    <s v="q3"/>
    <s v="2023"/>
    <s v="Nov"/>
    <d v="2023-11-30T00:00:00"/>
    <d v="2023-12-10T00:00:00"/>
    <d v="2023-12-10T00:00:00"/>
    <x v="0"/>
    <n v="10"/>
    <n v="10"/>
    <x v="1"/>
    <x v="1"/>
    <s v="Munich"/>
    <s v="Small Business"/>
    <x v="3"/>
    <x v="9"/>
    <x v="0"/>
    <x v="174"/>
    <n v="174.74"/>
    <s v="Low"/>
    <n v="415.96"/>
    <n v="415.96"/>
    <n v="0.125"/>
    <n v="21"/>
    <n v="51.994999999999997"/>
    <n v="7643.2649999999994"/>
    <n v="7591.2699999999995"/>
    <n v="3669.54"/>
    <n v="3973.7249999999995"/>
    <n v="3921.7299999999996"/>
    <n v="2.0828945862424173"/>
    <n v="0.125"/>
    <n v="200.95099999999999"/>
    <n v="25.2"/>
  </r>
  <r>
    <x v="175"/>
    <d v="2023-09-30T00:00:00"/>
    <s v="q3"/>
    <s v="2024"/>
    <s v="Dec"/>
    <d v="2024-12-27T00:00:00"/>
    <d v="2024-12-29T00:00:00"/>
    <d v="2024-12-29T00:00:00"/>
    <x v="1"/>
    <n v="2"/>
    <n v="2"/>
    <x v="2"/>
    <x v="2"/>
    <s v="Vancouver"/>
    <s v="Enterprise"/>
    <x v="4"/>
    <x v="4"/>
    <x v="5"/>
    <x v="175"/>
    <n v="1146.72"/>
    <s v="High"/>
    <n v="2074.34"/>
    <n v="2074.34"/>
    <n v="0.111"/>
    <n v="8"/>
    <n v="230.25174000000001"/>
    <n v="14752.706080000002"/>
    <n v="14522.454340000002"/>
    <n v="9173.76"/>
    <n v="5578.9460800000015"/>
    <n v="5348.6943400000018"/>
    <n v="1.608141708525185"/>
    <n v="0.111"/>
    <n v="1318.7279999999998"/>
    <n v="9.6"/>
  </r>
  <r>
    <x v="176"/>
    <d v="2023-09-30T00:00:00"/>
    <s v="q3"/>
    <s v="2023"/>
    <s v="Dec"/>
    <d v="2023-12-05T00:00:00"/>
    <d v="2023-12-12T00:00:00"/>
    <d v="2023-12-12T00:00:00"/>
    <x v="0"/>
    <n v="7"/>
    <n v="7"/>
    <x v="2"/>
    <x v="6"/>
    <s v="Brasília"/>
    <s v="Corporate"/>
    <x v="3"/>
    <x v="9"/>
    <x v="1"/>
    <x v="176"/>
    <n v="307.43"/>
    <s v="Low"/>
    <n v="495.19"/>
    <n v="495.19"/>
    <n v="0"/>
    <n v="42"/>
    <n v="0"/>
    <n v="20797.98"/>
    <n v="20797.98"/>
    <n v="12912.06"/>
    <n v="7885.92"/>
    <n v="7885.92"/>
    <n v="1.6107406564095892"/>
    <n v="0"/>
    <n v="353.54449999999997"/>
    <n v="50.4"/>
  </r>
  <r>
    <x v="177"/>
    <d v="2023-10-04T00:00:00"/>
    <s v="q4"/>
    <s v="2023"/>
    <s v="May"/>
    <d v="2023-05-24T00:00:00"/>
    <d v="2023-06-21T00:00:00"/>
    <d v="2023-06-21T00:00:00"/>
    <x v="0"/>
    <n v="28"/>
    <n v="28"/>
    <x v="2"/>
    <x v="10"/>
    <s v="Austin"/>
    <s v="Small Business"/>
    <x v="4"/>
    <x v="12"/>
    <x v="3"/>
    <x v="177"/>
    <n v="813.97"/>
    <s v="Medium"/>
    <n v="1568.83"/>
    <n v="1568.83"/>
    <n v="1.7000000000000001E-2"/>
    <n v="15"/>
    <n v="26.670110000000001"/>
    <n v="23132.398349999996"/>
    <n v="23105.728239999997"/>
    <n v="12209.550000000001"/>
    <n v="10922.848349999995"/>
    <n v="10896.178239999996"/>
    <n v="1.8946151455213331"/>
    <n v="1.7000000000000001E-2"/>
    <n v="936.06549999999993"/>
    <n v="18"/>
  </r>
  <r>
    <x v="178"/>
    <d v="2023-10-05T00:00:00"/>
    <s v="q4"/>
    <s v="2024"/>
    <s v="May"/>
    <d v="2024-05-01T00:00:00"/>
    <d v="2024-05-16T00:00:00"/>
    <d v="2024-05-16T00:00:00"/>
    <x v="0"/>
    <n v="15"/>
    <n v="15"/>
    <x v="0"/>
    <x v="4"/>
    <s v="Bengaluru"/>
    <s v="Small Business"/>
    <x v="1"/>
    <x v="1"/>
    <x v="2"/>
    <x v="178"/>
    <n v="901.19"/>
    <s v="High"/>
    <n v="2125.44"/>
    <n v="2125.44"/>
    <n v="7.0999999999999994E-2"/>
    <n v="12"/>
    <n v="150.90624"/>
    <n v="23694.405119999999"/>
    <n v="23543.498879999999"/>
    <n v="10814.28"/>
    <n v="12880.125119999999"/>
    <n v="12729.218879999999"/>
    <n v="2.1910293722744369"/>
    <n v="7.0999999999999994E-2"/>
    <n v="1036.3685"/>
    <n v="14.399999999999999"/>
  </r>
  <r>
    <x v="179"/>
    <d v="2023-10-05T00:00:00"/>
    <s v="q4"/>
    <s v="2025"/>
    <s v="Jun"/>
    <d v="2025-06-09T00:00:00"/>
    <d v="2025-06-24T00:00:00"/>
    <d v="2025-06-24T00:00:00"/>
    <x v="0"/>
    <n v="15"/>
    <n v="15"/>
    <x v="0"/>
    <x v="0"/>
    <s v="Nagoya"/>
    <s v="Corporate"/>
    <x v="3"/>
    <x v="11"/>
    <x v="1"/>
    <x v="179"/>
    <n v="400.39"/>
    <s v="Medium"/>
    <n v="712.75"/>
    <n v="712.75"/>
    <n v="0.115"/>
    <n v="19"/>
    <n v="81.966250000000002"/>
    <n v="11984.891250000001"/>
    <n v="11902.925000000001"/>
    <n v="7607.41"/>
    <n v="4377.4812500000007"/>
    <n v="4295.5150000000012"/>
    <n v="1.575423337246185"/>
    <n v="0.115"/>
    <n v="460.44849999999997"/>
    <n v="22.8"/>
  </r>
  <r>
    <x v="180"/>
    <d v="2023-10-07T00:00:00"/>
    <s v="q4"/>
    <s v="2023"/>
    <s v="Jan"/>
    <d v="2023-01-19T00:00:00"/>
    <d v="2023-02-03T00:00:00"/>
    <d v="2023-02-03T00:00:00"/>
    <x v="0"/>
    <n v="15"/>
    <n v="15"/>
    <x v="1"/>
    <x v="7"/>
    <s v="London"/>
    <s v="Enterprise"/>
    <x v="0"/>
    <x v="12"/>
    <x v="5"/>
    <x v="180"/>
    <n v="873.06"/>
    <s v="High"/>
    <n v="2101.5500000000002"/>
    <n v="2101.5500000000002"/>
    <n v="6.6000000000000003E-2"/>
    <n v="10"/>
    <n v="138.70230000000001"/>
    <n v="19628.476999999999"/>
    <n v="19489.774699999998"/>
    <n v="8730.5999999999985"/>
    <n v="10897.877"/>
    <n v="10759.1747"/>
    <n v="2.2482391817286329"/>
    <n v="6.6000000000000003E-2"/>
    <n v="1004.0189999999999"/>
    <n v="12"/>
  </r>
  <r>
    <x v="181"/>
    <d v="2023-10-09T00:00:00"/>
    <s v="q4"/>
    <s v="2024"/>
    <s v="Jun"/>
    <d v="2024-06-11T00:00:00"/>
    <d v="2024-07-09T00:00:00"/>
    <d v="2024-07-09T00:00:00"/>
    <x v="0"/>
    <n v="28"/>
    <n v="28"/>
    <x v="3"/>
    <x v="9"/>
    <s v="Port Harcourt"/>
    <s v="Corporate"/>
    <x v="4"/>
    <x v="7"/>
    <x v="1"/>
    <x v="181"/>
    <n v="895.54"/>
    <s v="Medium"/>
    <n v="1045"/>
    <n v="1045"/>
    <n v="0.216"/>
    <n v="15"/>
    <n v="225.72"/>
    <n v="12289.2"/>
    <n v="12063.480000000001"/>
    <n v="13433.099999999999"/>
    <n v="-1143.8999999999978"/>
    <n v="-1369.6199999999972"/>
    <n v="0.9148446747213973"/>
    <n v="0.2"/>
    <n v="1029.8709999999999"/>
    <n v="18"/>
  </r>
  <r>
    <x v="182"/>
    <d v="2023-10-09T00:00:00"/>
    <s v="q4"/>
    <s v="2023"/>
    <s v="Jul"/>
    <d v="2023-07-22T00:00:00"/>
    <d v="2023-07-22T00:00:00"/>
    <d v="2023-07-21T00:00:00"/>
    <x v="1"/>
    <n v="0"/>
    <n v="-1"/>
    <x v="0"/>
    <x v="4"/>
    <s v="Delhi"/>
    <s v="Small Business"/>
    <x v="0"/>
    <x v="2"/>
    <x v="6"/>
    <x v="182"/>
    <n v="946.99"/>
    <s v="High"/>
    <n v="2132.19"/>
    <n v="2132.19"/>
    <n v="0.16500000000000001"/>
    <n v="7"/>
    <n v="351.81135"/>
    <n v="12462.65055"/>
    <n v="12110.8392"/>
    <n v="6628.93"/>
    <n v="5833.72055"/>
    <n v="5481.9092000000001"/>
    <n v="1.8800395463521262"/>
    <n v="0.16500000000000001"/>
    <n v="1089.0384999999999"/>
    <n v="8.4"/>
  </r>
  <r>
    <x v="183"/>
    <d v="2023-10-11T00:00:00"/>
    <s v="q4"/>
    <s v="2024"/>
    <s v="Jun"/>
    <d v="2024-06-03T00:00:00"/>
    <d v="2024-06-24T00:00:00"/>
    <d v="2024-06-24T00:00:00"/>
    <x v="0"/>
    <n v="21"/>
    <n v="21"/>
    <x v="2"/>
    <x v="2"/>
    <s v="Toronto"/>
    <s v="Small Business"/>
    <x v="3"/>
    <x v="12"/>
    <x v="3"/>
    <x v="183"/>
    <n v="1205.5"/>
    <s v="High"/>
    <n v="2210.17"/>
    <n v="2210.17"/>
    <n v="0.104"/>
    <n v="23"/>
    <n v="229.85767999999999"/>
    <n v="45547.183360000003"/>
    <n v="45317.325680000002"/>
    <n v="27726.5"/>
    <n v="17820.683360000003"/>
    <n v="17590.825680000002"/>
    <n v="1.6427310825383659"/>
    <n v="0.104"/>
    <n v="1386.3249999999998"/>
    <n v="27.599999999999998"/>
  </r>
  <r>
    <x v="184"/>
    <d v="2023-10-12T00:00:00"/>
    <s v="q4"/>
    <s v="2025"/>
    <s v="Mar"/>
    <d v="2025-03-30T00:00:00"/>
    <d v="2025-04-29T00:00:00"/>
    <d v="2025-04-29T00:00:00"/>
    <x v="0"/>
    <n v="30"/>
    <n v="30"/>
    <x v="3"/>
    <x v="11"/>
    <s v="Durban"/>
    <s v="Consumer"/>
    <x v="4"/>
    <x v="5"/>
    <x v="3"/>
    <x v="184"/>
    <n v="194.6"/>
    <s v="Low"/>
    <n v="314.87"/>
    <n v="314.87"/>
    <n v="0.29299999999999998"/>
    <n v="25"/>
    <n v="92.256909999999991"/>
    <n v="5565.3272500000003"/>
    <n v="5473.0703400000002"/>
    <n v="4865"/>
    <n v="700.32725000000028"/>
    <n v="608.07034000000021"/>
    <n v="1.1439521582733814"/>
    <n v="0.2"/>
    <n v="223.78999999999996"/>
    <n v="30"/>
  </r>
  <r>
    <x v="185"/>
    <d v="2023-10-15T00:00:00"/>
    <s v="q4"/>
    <s v="2023"/>
    <s v="Dec"/>
    <d v="2023-12-24T00:00:00"/>
    <d v="2024-01-13T00:00:00"/>
    <d v="2024-01-13T00:00:00"/>
    <x v="0"/>
    <n v="20"/>
    <n v="20"/>
    <x v="0"/>
    <x v="0"/>
    <s v="Nagoya"/>
    <s v="Education"/>
    <x v="3"/>
    <x v="11"/>
    <x v="0"/>
    <x v="185"/>
    <n v="625.37"/>
    <s v="Medium"/>
    <n v="1319.04"/>
    <n v="1319.04"/>
    <n v="7.3999999999999996E-2"/>
    <n v="8"/>
    <n v="97.608959999999996"/>
    <n v="9771.4483199999995"/>
    <n v="9673.8393599999999"/>
    <n v="5002.96"/>
    <n v="4768.4883199999995"/>
    <n v="4670.8793599999999"/>
    <n v="1.9531334090218591"/>
    <n v="7.3999999999999996E-2"/>
    <n v="719.17549999999994"/>
    <n v="9.6"/>
  </r>
  <r>
    <x v="186"/>
    <d v="2023-10-18T00:00:00"/>
    <s v="q4"/>
    <s v="2023"/>
    <s v="Jun"/>
    <d v="2023-06-13T00:00:00"/>
    <d v="2023-06-24T00:00:00"/>
    <d v="2023-06-24T00:00:00"/>
    <x v="0"/>
    <n v="11"/>
    <n v="11"/>
    <x v="2"/>
    <x v="2"/>
    <s v="Toronto"/>
    <s v="Corporate"/>
    <x v="2"/>
    <x v="4"/>
    <x v="6"/>
    <x v="186"/>
    <n v="247.07"/>
    <s v="Low"/>
    <n v="495.19"/>
    <n v="495.19"/>
    <n v="2.8000000000000001E-2"/>
    <n v="4"/>
    <n v="13.865320000000001"/>
    <n v="1925.29872"/>
    <n v="1911.4333999999999"/>
    <n v="988.28"/>
    <n v="937.01872000000003"/>
    <n v="923.15339999999992"/>
    <n v="1.9481308131298822"/>
    <n v="2.8000000000000001E-2"/>
    <n v="284.13049999999998"/>
    <n v="4.8"/>
  </r>
  <r>
    <x v="187"/>
    <d v="2023-10-21T00:00:00"/>
    <s v="q4"/>
    <s v="2024"/>
    <s v="Aug"/>
    <d v="2024-08-22T00:00:00"/>
    <d v="2024-09-04T00:00:00"/>
    <d v="2024-09-04T00:00:00"/>
    <x v="0"/>
    <n v="13"/>
    <n v="13"/>
    <x v="1"/>
    <x v="1"/>
    <s v="Frankfurt"/>
    <s v="Non-Profit"/>
    <x v="1"/>
    <x v="1"/>
    <x v="6"/>
    <x v="187"/>
    <n v="90.04"/>
    <s v="Low"/>
    <n v="194.62"/>
    <n v="194.62"/>
    <n v="4.2999999999999997E-2"/>
    <n v="32"/>
    <n v="8.3686600000000002"/>
    <n v="5960.04288"/>
    <n v="5951.6742199999999"/>
    <n v="2881.28"/>
    <n v="3078.7628799999998"/>
    <n v="3070.3942199999997"/>
    <n v="2.0685399822301198"/>
    <n v="4.2999999999999997E-2"/>
    <n v="103.54599999999999"/>
    <n v="38.4"/>
  </r>
  <r>
    <x v="188"/>
    <d v="2023-10-21T00:00:00"/>
    <s v="q4"/>
    <s v="2024"/>
    <s v="Sept"/>
    <d v="2024-09-25T00:00:00"/>
    <d v="2024-10-03T00:00:00"/>
    <d v="2024-10-03T00:00:00"/>
    <x v="0"/>
    <n v="8"/>
    <n v="8"/>
    <x v="2"/>
    <x v="2"/>
    <s v="Toronto"/>
    <s v="Consumer"/>
    <x v="2"/>
    <x v="2"/>
    <x v="6"/>
    <x v="188"/>
    <n v="558.19000000000005"/>
    <s v="Medium"/>
    <n v="1031.6400000000001"/>
    <n v="1031.6400000000001"/>
    <n v="0"/>
    <n v="21"/>
    <n v="0"/>
    <n v="21664.440000000002"/>
    <n v="21664.440000000002"/>
    <n v="11721.990000000002"/>
    <n v="9942.4500000000007"/>
    <n v="9942.4500000000007"/>
    <n v="1.8481878930113402"/>
    <n v="0"/>
    <n v="641.91849999999999"/>
    <n v="25.2"/>
  </r>
  <r>
    <x v="189"/>
    <d v="2023-10-22T00:00:00"/>
    <s v="q4"/>
    <s v="2023"/>
    <s v="Sept"/>
    <d v="2023-09-20T00:00:00"/>
    <d v="2023-09-28T00:00:00"/>
    <d v="2023-09-28T00:00:00"/>
    <x v="0"/>
    <n v="8"/>
    <n v="8"/>
    <x v="0"/>
    <x v="4"/>
    <s v="Bengaluru"/>
    <s v="Corporate"/>
    <x v="4"/>
    <x v="11"/>
    <x v="5"/>
    <x v="189"/>
    <n v="1362.06"/>
    <s v="High"/>
    <n v="3398.37"/>
    <n v="3398.37"/>
    <n v="0.157"/>
    <n v="11"/>
    <n v="533.54408999999998"/>
    <n v="31513.085009999999"/>
    <n v="30979.540919999999"/>
    <n v="14982.66"/>
    <n v="16530.425009999999"/>
    <n v="15996.88092"/>
    <n v="2.1033037531386283"/>
    <n v="0.157"/>
    <n v="1566.3689999999999"/>
    <n v="13.2"/>
  </r>
  <r>
    <x v="190"/>
    <d v="2023-10-25T00:00:00"/>
    <s v="q4"/>
    <s v="2023"/>
    <s v="May"/>
    <d v="2023-05-17T00:00:00"/>
    <d v="2023-06-03T00:00:00"/>
    <d v="2023-06-03T00:00:00"/>
    <x v="0"/>
    <n v="17"/>
    <n v="17"/>
    <x v="0"/>
    <x v="3"/>
    <s v="Beijing"/>
    <s v="Non-Profit"/>
    <x v="0"/>
    <x v="13"/>
    <x v="6"/>
    <x v="190"/>
    <n v="979.59"/>
    <s v="High"/>
    <n v="2210.94"/>
    <n v="2210.94"/>
    <n v="0.15"/>
    <n v="11"/>
    <n v="331.64100000000002"/>
    <n v="20672.289000000001"/>
    <n v="20340.648000000001"/>
    <n v="10775.49"/>
    <n v="9896.7990000000009"/>
    <n v="9565.1580000000013"/>
    <n v="1.918454659602487"/>
    <n v="0.15"/>
    <n v="1126.5284999999999"/>
    <n v="13.2"/>
  </r>
  <r>
    <x v="191"/>
    <d v="2023-10-25T00:00:00"/>
    <s v="q4"/>
    <s v="2024"/>
    <s v="Mar"/>
    <d v="2024-03-23T00:00:00"/>
    <d v="2024-03-26T00:00:00"/>
    <d v="2024-03-26T00:00:00"/>
    <x v="1"/>
    <n v="3"/>
    <n v="3"/>
    <x v="0"/>
    <x v="4"/>
    <s v="Bengaluru"/>
    <s v="Education"/>
    <x v="3"/>
    <x v="12"/>
    <x v="1"/>
    <x v="191"/>
    <n v="382.21"/>
    <s v="Low"/>
    <n v="571.89"/>
    <n v="571.89"/>
    <n v="0.14799999999999999"/>
    <n v="26"/>
    <n v="84.639719999999997"/>
    <n v="12668.50728"/>
    <n v="12583.867560000001"/>
    <n v="9937.4599999999991"/>
    <n v="2731.0472800000007"/>
    <n v="2646.4075600000015"/>
    <n v="1.2748234740064364"/>
    <n v="0.14799999999999999"/>
    <n v="439.54149999999993"/>
    <n v="31.2"/>
  </r>
  <r>
    <x v="192"/>
    <d v="2023-10-26T00:00:00"/>
    <s v="q4"/>
    <s v="2023"/>
    <s v="Feb"/>
    <d v="2023-02-21T00:00:00"/>
    <d v="2023-03-12T00:00:00"/>
    <d v="2023-03-12T00:00:00"/>
    <x v="0"/>
    <n v="19"/>
    <n v="19"/>
    <x v="3"/>
    <x v="5"/>
    <s v="Nakuru"/>
    <s v="Corporate"/>
    <x v="2"/>
    <x v="9"/>
    <x v="4"/>
    <x v="192"/>
    <n v="352.65"/>
    <s v="Low"/>
    <n v="485.86"/>
    <n v="485.86"/>
    <n v="4.1000000000000002E-2"/>
    <n v="6"/>
    <n v="19.920260000000003"/>
    <n v="2795.6384399999997"/>
    <n v="2775.7181799999998"/>
    <n v="2115.8999999999996"/>
    <n v="679.73844000000008"/>
    <n v="659.81818000000021"/>
    <n v="1.3212526300864882"/>
    <n v="4.1000000000000002E-2"/>
    <n v="405.54749999999996"/>
    <n v="7.1999999999999993"/>
  </r>
  <r>
    <x v="193"/>
    <d v="2023-10-30T00:00:00"/>
    <s v="q4"/>
    <s v="2023"/>
    <s v="Dec"/>
    <d v="2023-12-30T00:00:00"/>
    <d v="2024-01-08T00:00:00"/>
    <d v="2024-01-08T00:00:00"/>
    <x v="0"/>
    <n v="9"/>
    <n v="9"/>
    <x v="1"/>
    <x v="8"/>
    <s v="Marseille"/>
    <s v="Consumer"/>
    <x v="4"/>
    <x v="1"/>
    <x v="5"/>
    <x v="193"/>
    <n v="861.1"/>
    <s v="Medium"/>
    <n v="1224.72"/>
    <n v="1224.72"/>
    <n v="0.17399999999999999"/>
    <n v="24"/>
    <n v="213.10128"/>
    <n v="24278.849280000002"/>
    <n v="24065.748000000003"/>
    <n v="20666.400000000001"/>
    <n v="3612.4492800000007"/>
    <n v="3399.3480000000018"/>
    <n v="1.1747981883637209"/>
    <n v="0.17399999999999999"/>
    <n v="990.26499999999999"/>
    <n v="28.799999999999997"/>
  </r>
  <r>
    <x v="194"/>
    <d v="2023-10-31T00:00:00"/>
    <s v="q4"/>
    <s v="2023"/>
    <s v="Apr"/>
    <d v="2023-04-21T00:00:00"/>
    <d v="2023-04-21T00:00:00"/>
    <d v="2023-04-19T00:00:00"/>
    <x v="1"/>
    <n v="0"/>
    <n v="-2"/>
    <x v="0"/>
    <x v="0"/>
    <s v="Nagoya"/>
    <s v="Small Business"/>
    <x v="3"/>
    <x v="13"/>
    <x v="2"/>
    <x v="194"/>
    <n v="607.04"/>
    <s v="Medium"/>
    <n v="1229.3399999999999"/>
    <n v="1229.3399999999999"/>
    <n v="0.14699999999999999"/>
    <n v="7"/>
    <n v="180.71297999999999"/>
    <n v="7340.3891399999993"/>
    <n v="7159.6761599999991"/>
    <n v="4249.28"/>
    <n v="3091.1091399999996"/>
    <n v="2910.3961599999993"/>
    <n v="1.7274430350553505"/>
    <n v="0.14699999999999999"/>
    <n v="698.09599999999989"/>
    <n v="8.4"/>
  </r>
  <r>
    <x v="195"/>
    <d v="2023-11-10T00:00:00"/>
    <s v="q4"/>
    <s v="2024"/>
    <s v="Dec"/>
    <d v="2024-12-24T00:00:00"/>
    <d v="2025-01-13T00:00:00"/>
    <d v="2025-01-13T00:00:00"/>
    <x v="0"/>
    <n v="20"/>
    <n v="20"/>
    <x v="0"/>
    <x v="4"/>
    <s v="Bengaluru"/>
    <s v="Corporate"/>
    <x v="4"/>
    <x v="10"/>
    <x v="4"/>
    <x v="195"/>
    <n v="126.15"/>
    <s v="Low"/>
    <n v="284.23"/>
    <n v="284.23"/>
    <n v="0.113"/>
    <n v="22"/>
    <n v="32.117990000000006"/>
    <n v="5546.4642200000008"/>
    <n v="5514.346230000001"/>
    <n v="2775.3"/>
    <n v="2771.1642200000006"/>
    <n v="2739.0462300000008"/>
    <n v="1.9985097899326201"/>
    <n v="0.113"/>
    <n v="145.07249999999999"/>
    <n v="26.4"/>
  </r>
  <r>
    <x v="196"/>
    <d v="2023-11-14T00:00:00"/>
    <s v="q4"/>
    <s v="2023"/>
    <s v="Oct"/>
    <d v="2023-10-18T00:00:00"/>
    <d v="2023-10-20T00:00:00"/>
    <d v="2023-10-20T00:00:00"/>
    <x v="1"/>
    <n v="2"/>
    <n v="2"/>
    <x v="3"/>
    <x v="5"/>
    <s v="Kisumu"/>
    <s v="Consumer"/>
    <x v="1"/>
    <x v="5"/>
    <x v="1"/>
    <x v="196"/>
    <n v="774.12"/>
    <s v="Medium"/>
    <n v="908.3"/>
    <n v="908.3"/>
    <n v="0"/>
    <n v="30"/>
    <n v="0"/>
    <n v="27249"/>
    <n v="27249"/>
    <n v="23223.599999999999"/>
    <n v="4025.4000000000015"/>
    <n v="4025.4000000000015"/>
    <n v="1.1733322999018241"/>
    <n v="0"/>
    <n v="890.23799999999994"/>
    <n v="36"/>
  </r>
  <r>
    <x v="197"/>
    <d v="2023-11-15T00:00:00"/>
    <s v="q4"/>
    <s v="2024"/>
    <s v="Sept"/>
    <d v="2024-09-07T00:00:00"/>
    <d v="2024-09-18T00:00:00"/>
    <d v="2024-09-18T00:00:00"/>
    <x v="0"/>
    <n v="11"/>
    <n v="11"/>
    <x v="0"/>
    <x v="3"/>
    <s v="Beijing"/>
    <s v="Consumer"/>
    <x v="0"/>
    <x v="6"/>
    <x v="4"/>
    <x v="197"/>
    <n v="181.74"/>
    <s v="Low"/>
    <n v="190.84"/>
    <n v="190.84"/>
    <n v="0.214"/>
    <n v="13"/>
    <n v="40.839759999999998"/>
    <n v="1950.0031200000001"/>
    <n v="1909.16336"/>
    <n v="2362.62"/>
    <n v="-412.61687999999981"/>
    <n v="-453.45663999999988"/>
    <n v="0.82535622317596569"/>
    <n v="0.2"/>
    <n v="209.001"/>
    <n v="15.6"/>
  </r>
  <r>
    <x v="198"/>
    <d v="2023-11-19T00:00:00"/>
    <s v="q4"/>
    <s v="2024"/>
    <s v="Dec"/>
    <d v="2024-12-28T00:00:00"/>
    <d v="2025-01-08T00:00:00"/>
    <d v="2025-01-08T00:00:00"/>
    <x v="0"/>
    <n v="11"/>
    <n v="11"/>
    <x v="0"/>
    <x v="3"/>
    <s v="Shenzhen"/>
    <s v="Enterprise"/>
    <x v="2"/>
    <x v="8"/>
    <x v="0"/>
    <x v="198"/>
    <n v="1201.31"/>
    <s v="High"/>
    <n v="2764.65"/>
    <n v="2764.65"/>
    <n v="0"/>
    <n v="21"/>
    <n v="0"/>
    <n v="58057.65"/>
    <n v="58057.65"/>
    <n v="25227.51"/>
    <n v="32830.14"/>
    <n v="32830.14"/>
    <n v="2.3013626790753428"/>
    <n v="0"/>
    <n v="1381.5064999999997"/>
    <n v="25.2"/>
  </r>
  <r>
    <x v="199"/>
    <d v="2023-11-19T00:00:00"/>
    <s v="q4"/>
    <s v="2023"/>
    <s v="Oct"/>
    <d v="2023-10-21T00:00:00"/>
    <d v="2023-10-21T00:00:00"/>
    <d v="2023-10-21T00:00:00"/>
    <x v="1"/>
    <n v="0"/>
    <n v="0"/>
    <x v="1"/>
    <x v="7"/>
    <s v="Manchester"/>
    <s v="Enterprise"/>
    <x v="0"/>
    <x v="5"/>
    <x v="3"/>
    <x v="199"/>
    <n v="384.19"/>
    <s v="Low"/>
    <n v="278.35000000000002"/>
    <n v="278.35000000000002"/>
    <n v="5.6000000000000001E-2"/>
    <n v="10"/>
    <n v="15.587600000000002"/>
    <n v="2627.6239999999998"/>
    <n v="2612.0364"/>
    <n v="3841.9"/>
    <n v="-1214.2760000000003"/>
    <n v="-1229.8636000000001"/>
    <n v="0.68393867617585047"/>
    <n v="5.6000000000000001E-2"/>
    <n v="441.81849999999997"/>
    <n v="12"/>
  </r>
  <r>
    <x v="200"/>
    <d v="2023-11-19T00:00:00"/>
    <s v="q4"/>
    <s v="2024"/>
    <s v="Dec"/>
    <d v="2024-12-10T00:00:00"/>
    <d v="2024-12-19T00:00:00"/>
    <d v="2024-12-19T00:00:00"/>
    <x v="0"/>
    <n v="9"/>
    <n v="9"/>
    <x v="3"/>
    <x v="9"/>
    <s v="Lagos"/>
    <s v="Corporate"/>
    <x v="1"/>
    <x v="6"/>
    <x v="3"/>
    <x v="200"/>
    <n v="488.68"/>
    <s v="Medium"/>
    <n v="984.36"/>
    <n v="984.36"/>
    <n v="5.8999999999999997E-2"/>
    <n v="14"/>
    <n v="58.077239999999996"/>
    <n v="12967.958640000001"/>
    <n v="12909.8814"/>
    <n v="6841.52"/>
    <n v="6126.4386400000003"/>
    <n v="6068.3613999999998"/>
    <n v="1.8954791683719407"/>
    <n v="5.8999999999999997E-2"/>
    <n v="561.98199999999997"/>
    <n v="16.8"/>
  </r>
  <r>
    <x v="201"/>
    <d v="2023-11-20T00:00:00"/>
    <s v="q4"/>
    <s v="2024"/>
    <s v="Nov"/>
    <d v="2024-11-01T00:00:00"/>
    <d v="2024-11-12T00:00:00"/>
    <d v="2024-11-12T00:00:00"/>
    <x v="0"/>
    <n v="11"/>
    <n v="11"/>
    <x v="1"/>
    <x v="1"/>
    <s v="Frankfurt"/>
    <s v="Consumer"/>
    <x v="2"/>
    <x v="11"/>
    <x v="6"/>
    <x v="201"/>
    <n v="599.84"/>
    <s v="Medium"/>
    <n v="1330.85"/>
    <n v="1330.85"/>
    <n v="0.115"/>
    <n v="11"/>
    <n v="153.04775000000001"/>
    <n v="12955.824749999998"/>
    <n v="12802.776999999998"/>
    <n v="6598.2400000000007"/>
    <n v="6357.5847499999973"/>
    <n v="6204.5369999999975"/>
    <n v="1.9635273572952783"/>
    <n v="0.115"/>
    <n v="689.81600000000003"/>
    <n v="13.2"/>
  </r>
  <r>
    <x v="202"/>
    <d v="2023-11-28T00:00:00"/>
    <s v="q4"/>
    <s v="2025"/>
    <s v="May"/>
    <d v="2025-05-07T00:00:00"/>
    <d v="2025-05-13T00:00:00"/>
    <d v="2025-05-13T00:00:00"/>
    <x v="1"/>
    <n v="6"/>
    <n v="6"/>
    <x v="0"/>
    <x v="4"/>
    <s v="Bengaluru"/>
    <s v="Enterprise"/>
    <x v="3"/>
    <x v="5"/>
    <x v="1"/>
    <x v="202"/>
    <n v="935.98"/>
    <s v="High"/>
    <n v="2077.69"/>
    <n v="2077.69"/>
    <n v="0.17499999999999999"/>
    <n v="24"/>
    <n v="363.59575000000001"/>
    <n v="41138.261999999995"/>
    <n v="40774.666249999995"/>
    <n v="22463.52"/>
    <n v="18674.741999999995"/>
    <n v="18311.146249999994"/>
    <n v="1.831336406760828"/>
    <n v="0.17499999999999999"/>
    <n v="1076.377"/>
    <n v="28.799999999999997"/>
  </r>
  <r>
    <x v="203"/>
    <d v="2023-11-30T00:00:00"/>
    <s v="q4"/>
    <s v="2024"/>
    <s v="Aug"/>
    <d v="2024-08-18T00:00:00"/>
    <d v="2024-09-12T00:00:00"/>
    <d v="2024-09-12T00:00:00"/>
    <x v="0"/>
    <n v="25"/>
    <n v="25"/>
    <x v="0"/>
    <x v="4"/>
    <s v="Mumbai"/>
    <s v="Consumer"/>
    <x v="4"/>
    <x v="4"/>
    <x v="1"/>
    <x v="203"/>
    <n v="1154.03"/>
    <s v="Medium"/>
    <n v="1590.36"/>
    <n v="1590.36"/>
    <n v="0.314"/>
    <n v="18"/>
    <n v="499.37303999999995"/>
    <n v="19637.76528"/>
    <n v="19138.392240000001"/>
    <n v="20772.54"/>
    <n v="-1134.7747200000013"/>
    <n v="-1634.1477599999998"/>
    <n v="0.94537140282315013"/>
    <n v="0.2"/>
    <n v="1327.1344999999999"/>
    <n v="21.599999999999998"/>
  </r>
  <r>
    <x v="204"/>
    <d v="2023-11-30T00:00:00"/>
    <s v="q4"/>
    <s v="2024"/>
    <s v="Feb"/>
    <d v="2024-02-25T00:00:00"/>
    <d v="2024-03-09T00:00:00"/>
    <d v="2024-03-09T00:00:00"/>
    <x v="0"/>
    <n v="13"/>
    <n v="13"/>
    <x v="1"/>
    <x v="8"/>
    <s v="Marseille"/>
    <s v="Small Business"/>
    <x v="0"/>
    <x v="2"/>
    <x v="3"/>
    <x v="204"/>
    <n v="322.44"/>
    <s v="Low"/>
    <n v="395.61"/>
    <n v="395.61"/>
    <n v="0"/>
    <n v="34"/>
    <n v="0"/>
    <n v="13450.74"/>
    <n v="13450.74"/>
    <n v="10962.96"/>
    <n v="2487.7800000000007"/>
    <n v="2487.7800000000007"/>
    <n v="1.2269259397097134"/>
    <n v="0"/>
    <n v="370.80599999999998"/>
    <n v="40.799999999999997"/>
  </r>
  <r>
    <x v="205"/>
    <d v="2023-12-01T00:00:00"/>
    <s v="q4"/>
    <s v="2025"/>
    <s v="Aug"/>
    <d v="2025-08-28T00:00:00"/>
    <d v="2025-09-05T00:00:00"/>
    <d v="2025-09-05T00:00:00"/>
    <x v="0"/>
    <n v="8"/>
    <n v="8"/>
    <x v="3"/>
    <x v="9"/>
    <s v="Port Harcourt"/>
    <s v="Small Business"/>
    <x v="4"/>
    <x v="2"/>
    <x v="0"/>
    <x v="205"/>
    <n v="1271.0999999999999"/>
    <s v="High"/>
    <n v="1932.42"/>
    <n v="1932.42"/>
    <n v="0.25"/>
    <n v="21"/>
    <n v="483.10500000000002"/>
    <n v="30435.614999999998"/>
    <n v="29952.51"/>
    <n v="26693.1"/>
    <n v="3742.5149999999994"/>
    <n v="3259.41"/>
    <n v="1.1402053339627094"/>
    <n v="0.2"/>
    <n v="1461.7649999999999"/>
    <n v="25.2"/>
  </r>
  <r>
    <x v="206"/>
    <d v="2023-12-02T00:00:00"/>
    <s v="q4"/>
    <s v="2024"/>
    <s v="Feb"/>
    <d v="2024-02-27T00:00:00"/>
    <d v="2024-03-26T00:00:00"/>
    <d v="2024-03-26T00:00:00"/>
    <x v="0"/>
    <n v="28"/>
    <n v="28"/>
    <x v="0"/>
    <x v="4"/>
    <s v="Mumbai"/>
    <s v="Education"/>
    <x v="4"/>
    <x v="12"/>
    <x v="0"/>
    <x v="206"/>
    <n v="1035.19"/>
    <s v="High"/>
    <n v="2322.6999999999998"/>
    <n v="2322.6999999999998"/>
    <n v="0.17299999999999999"/>
    <n v="8"/>
    <n v="401.82709999999992"/>
    <n v="15366.983199999999"/>
    <n v="14965.156099999998"/>
    <n v="8281.52"/>
    <n v="7085.4631999999983"/>
    <n v="6683.6360999999979"/>
    <n v="1.8555752084158461"/>
    <n v="0.17299999999999999"/>
    <n v="1190.4684999999999"/>
    <n v="9.6"/>
  </r>
  <r>
    <x v="207"/>
    <d v="2023-12-03T00:00:00"/>
    <s v="q4"/>
    <s v="2024"/>
    <s v="Feb"/>
    <d v="2024-02-19T00:00:00"/>
    <d v="2024-03-06T00:00:00"/>
    <d v="2024-03-06T00:00:00"/>
    <x v="0"/>
    <n v="16"/>
    <n v="16"/>
    <x v="0"/>
    <x v="3"/>
    <s v="Beijing"/>
    <s v="Education"/>
    <x v="4"/>
    <x v="6"/>
    <x v="6"/>
    <x v="207"/>
    <n v="1477.84"/>
    <s v="High"/>
    <n v="3197.47"/>
    <n v="3197.47"/>
    <n v="0.24299999999999999"/>
    <n v="24"/>
    <n v="776.98520999999994"/>
    <n v="58091.634960000003"/>
    <n v="57314.649750000004"/>
    <n v="35468.159999999996"/>
    <n v="22623.474960000007"/>
    <n v="21846.489750000008"/>
    <n v="1.6378530761110812"/>
    <n v="0.2"/>
    <n v="1699.5159999999998"/>
    <n v="28.799999999999997"/>
  </r>
  <r>
    <x v="208"/>
    <d v="2023-12-05T00:00:00"/>
    <s v="q4"/>
    <s v="2025"/>
    <s v="Sept"/>
    <d v="2025-09-15T00:00:00"/>
    <d v="2025-09-25T00:00:00"/>
    <d v="2025-09-25T00:00:00"/>
    <x v="0"/>
    <n v="10"/>
    <n v="10"/>
    <x v="0"/>
    <x v="4"/>
    <s v="Delhi"/>
    <s v="Consumer"/>
    <x v="1"/>
    <x v="3"/>
    <x v="1"/>
    <x v="208"/>
    <n v="1488.91"/>
    <s v="Medium"/>
    <n v="1483.74"/>
    <n v="1483.74"/>
    <n v="0.16800000000000001"/>
    <n v="24"/>
    <n v="249.26832000000002"/>
    <n v="29627.320319999999"/>
    <n v="29378.052"/>
    <n v="35733.840000000004"/>
    <n v="-6106.5196800000049"/>
    <n v="-6355.7880000000041"/>
    <n v="0.82911101409756116"/>
    <n v="0.16800000000000001"/>
    <n v="1712.2465"/>
    <n v="28.799999999999997"/>
  </r>
  <r>
    <x v="209"/>
    <d v="2023-12-06T00:00:00"/>
    <s v="q4"/>
    <s v="2025"/>
    <s v="Jul"/>
    <d v="2025-07-03T00:00:00"/>
    <d v="2025-07-06T00:00:00"/>
    <d v="2025-07-06T00:00:00"/>
    <x v="1"/>
    <n v="3"/>
    <n v="3"/>
    <x v="3"/>
    <x v="9"/>
    <s v="Lagos"/>
    <s v="Consumer"/>
    <x v="2"/>
    <x v="9"/>
    <x v="0"/>
    <x v="209"/>
    <n v="1313.3"/>
    <s v="High"/>
    <n v="2884.34"/>
    <n v="2884.34"/>
    <n v="0.157"/>
    <n v="42"/>
    <n v="452.84138000000002"/>
    <n v="102122.94203999999"/>
    <n v="101670.10066"/>
    <n v="55158.6"/>
    <n v="46964.342039999996"/>
    <n v="46511.500659999998"/>
    <n v="1.8514418792355136"/>
    <n v="0.157"/>
    <n v="1510.2949999999998"/>
    <n v="50.4"/>
  </r>
  <r>
    <x v="210"/>
    <d v="2023-12-07T00:00:00"/>
    <s v="q4"/>
    <s v="2023"/>
    <s v="Oct"/>
    <d v="2023-10-12T00:00:00"/>
    <d v="2023-10-29T00:00:00"/>
    <d v="2023-10-29T00:00:00"/>
    <x v="0"/>
    <n v="17"/>
    <n v="17"/>
    <x v="0"/>
    <x v="0"/>
    <s v="Nagoya"/>
    <s v="Non-Profit"/>
    <x v="3"/>
    <x v="14"/>
    <x v="1"/>
    <x v="210"/>
    <n v="1102.19"/>
    <s v="Medium"/>
    <n v="1711.16"/>
    <n v="1711.16"/>
    <n v="0.151"/>
    <n v="10"/>
    <n v="258.38515999999998"/>
    <n v="14527.748400000002"/>
    <n v="14269.363240000002"/>
    <n v="11021.900000000001"/>
    <n v="3505.8484000000008"/>
    <n v="3247.463240000001"/>
    <n v="1.3180802221032673"/>
    <n v="0.151"/>
    <n v="1267.5184999999999"/>
    <n v="12"/>
  </r>
  <r>
    <x v="211"/>
    <d v="2023-12-07T00:00:00"/>
    <s v="q4"/>
    <s v="2025"/>
    <s v="Feb"/>
    <d v="2025-02-25T00:00:00"/>
    <d v="2025-03-17T00:00:00"/>
    <d v="2025-03-17T00:00:00"/>
    <x v="0"/>
    <n v="20"/>
    <n v="20"/>
    <x v="2"/>
    <x v="10"/>
    <s v="San Francisco"/>
    <s v="Non-Profit"/>
    <x v="4"/>
    <x v="14"/>
    <x v="1"/>
    <x v="211"/>
    <n v="1205.26"/>
    <s v="Medium"/>
    <n v="1696.35"/>
    <n v="1696.35"/>
    <n v="1.9E-2"/>
    <n v="6"/>
    <n v="32.230649999999997"/>
    <n v="9984.7160999999978"/>
    <n v="9952.4854499999983"/>
    <n v="7231.5599999999995"/>
    <n v="2753.1560999999983"/>
    <n v="2720.9254499999988"/>
    <n v="1.3807139953205116"/>
    <n v="1.9E-2"/>
    <n v="1386.049"/>
    <n v="7.1999999999999993"/>
  </r>
  <r>
    <x v="212"/>
    <d v="2023-12-16T00:00:00"/>
    <s v="q4"/>
    <s v="2024"/>
    <s v="Jan"/>
    <d v="2024-01-16T00:00:00"/>
    <d v="2024-02-11T00:00:00"/>
    <d v="2024-02-11T00:00:00"/>
    <x v="0"/>
    <n v="26"/>
    <n v="26"/>
    <x v="1"/>
    <x v="1"/>
    <s v="Frankfurt"/>
    <s v="Non-Profit"/>
    <x v="0"/>
    <x v="2"/>
    <x v="3"/>
    <x v="212"/>
    <n v="504.93"/>
    <s v="Medium"/>
    <n v="819.06"/>
    <n v="819.06"/>
    <n v="0.22600000000000001"/>
    <n v="15"/>
    <n v="185.10756000000001"/>
    <n v="9509.2865999999995"/>
    <n v="9324.1790399999991"/>
    <n v="7573.95"/>
    <n v="1935.3365999999996"/>
    <n v="1750.2290399999993"/>
    <n v="1.255525399560335"/>
    <n v="0.2"/>
    <n v="580.66949999999997"/>
    <n v="18"/>
  </r>
  <r>
    <x v="213"/>
    <d v="2023-12-18T00:00:00"/>
    <s v="q4"/>
    <s v="2025"/>
    <s v="Mar"/>
    <d v="2025-03-14T00:00:00"/>
    <d v="2025-04-08T00:00:00"/>
    <d v="2025-04-08T00:00:00"/>
    <x v="0"/>
    <n v="25"/>
    <n v="25"/>
    <x v="0"/>
    <x v="3"/>
    <s v="Shanghai"/>
    <s v="Corporate"/>
    <x v="0"/>
    <x v="10"/>
    <x v="6"/>
    <x v="213"/>
    <n v="80.59"/>
    <s v="Low"/>
    <n v="157.82"/>
    <n v="157.82"/>
    <n v="0.217"/>
    <n v="6"/>
    <n v="34.246939999999995"/>
    <n v="741.43835999999999"/>
    <n v="707.19141999999999"/>
    <n v="483.54"/>
    <n v="257.89835999999997"/>
    <n v="223.65141999999997"/>
    <n v="1.5333547586549199"/>
    <n v="0.2"/>
    <n v="92.6785"/>
    <n v="7.1999999999999993"/>
  </r>
  <r>
    <x v="214"/>
    <d v="2023-12-19T00:00:00"/>
    <s v="q4"/>
    <s v="2024"/>
    <s v="Nov"/>
    <d v="2024-11-30T00:00:00"/>
    <d v="2024-12-10T00:00:00"/>
    <d v="2024-12-10T00:00:00"/>
    <x v="0"/>
    <n v="10"/>
    <n v="10"/>
    <x v="0"/>
    <x v="4"/>
    <s v="Hyderabad"/>
    <s v="Small Business"/>
    <x v="1"/>
    <x v="9"/>
    <x v="5"/>
    <x v="214"/>
    <n v="851.49"/>
    <s v="Medium"/>
    <n v="901.79"/>
    <n v="901.79"/>
    <n v="0.245"/>
    <n v="16"/>
    <n v="220.93854999999999"/>
    <n v="10893.6232"/>
    <n v="10672.684649999999"/>
    <n v="13623.84"/>
    <n v="-2730.2168000000001"/>
    <n v="-2951.1553500000009"/>
    <n v="0.79960005402294798"/>
    <n v="0.2"/>
    <n v="979.21349999999995"/>
    <n v="19.2"/>
  </r>
  <r>
    <x v="215"/>
    <d v="2023-12-19T00:00:00"/>
    <s v="q4"/>
    <s v="2025"/>
    <s v="Jun"/>
    <d v="2025-06-05T00:00:00"/>
    <d v="2025-06-14T00:00:00"/>
    <d v="2025-06-14T00:00:00"/>
    <x v="0"/>
    <n v="9"/>
    <n v="9"/>
    <x v="0"/>
    <x v="4"/>
    <s v="Delhi"/>
    <s v="Non-Profit"/>
    <x v="1"/>
    <x v="3"/>
    <x v="5"/>
    <x v="215"/>
    <n v="618.69000000000005"/>
    <s v="Medium"/>
    <n v="796.15"/>
    <n v="796.15"/>
    <n v="0.09"/>
    <n v="11"/>
    <n v="71.653499999999994"/>
    <n v="7969.4615000000003"/>
    <n v="7897.808"/>
    <n v="6805.59"/>
    <n v="1163.8715000000002"/>
    <n v="1092.2179999999998"/>
    <n v="1.1710169875058591"/>
    <n v="0.09"/>
    <n v="711.49350000000004"/>
    <n v="13.2"/>
  </r>
  <r>
    <x v="216"/>
    <d v="2023-12-20T00:00:00"/>
    <s v="q4"/>
    <s v="2023"/>
    <s v="Aug"/>
    <d v="2023-08-29T00:00:00"/>
    <d v="2023-09-13T00:00:00"/>
    <d v="2023-09-13T00:00:00"/>
    <x v="0"/>
    <n v="15"/>
    <n v="15"/>
    <x v="2"/>
    <x v="2"/>
    <s v="Vancouver"/>
    <s v="Small Business"/>
    <x v="4"/>
    <x v="6"/>
    <x v="6"/>
    <x v="216"/>
    <n v="1287.6400000000001"/>
    <s v="High"/>
    <n v="2717.15"/>
    <n v="2717.15"/>
    <n v="3.2000000000000001E-2"/>
    <n v="7"/>
    <n v="86.948800000000006"/>
    <n v="18411.4084"/>
    <n v="18324.459600000002"/>
    <n v="9013.4800000000014"/>
    <n v="9397.9283999999989"/>
    <n v="9310.9796000000006"/>
    <n v="2.0426526047653066"/>
    <n v="3.2000000000000001E-2"/>
    <n v="1480.7860000000001"/>
    <n v="8.4"/>
  </r>
  <r>
    <x v="217"/>
    <d v="2023-12-21T00:00:00"/>
    <s v="q4"/>
    <s v="2024"/>
    <s v="Jun"/>
    <d v="2024-06-06T00:00:00"/>
    <d v="2024-06-24T00:00:00"/>
    <d v="2024-06-24T00:00:00"/>
    <x v="0"/>
    <n v="18"/>
    <n v="18"/>
    <x v="0"/>
    <x v="4"/>
    <s v="Bengaluru"/>
    <s v="Small Business"/>
    <x v="3"/>
    <x v="14"/>
    <x v="4"/>
    <x v="217"/>
    <n v="1253.25"/>
    <s v="High"/>
    <n v="3087.13"/>
    <n v="3087.13"/>
    <n v="7.1999999999999995E-2"/>
    <n v="11"/>
    <n v="222.27336"/>
    <n v="31513.423040000001"/>
    <n v="31291.149680000002"/>
    <n v="13785.75"/>
    <n v="17727.673040000001"/>
    <n v="17505.399680000002"/>
    <n v="2.2859418631557951"/>
    <n v="7.1999999999999995E-2"/>
    <n v="1441.2375"/>
    <n v="13.2"/>
  </r>
  <r>
    <x v="218"/>
    <d v="2023-12-22T00:00:00"/>
    <s v="q4"/>
    <s v="2023"/>
    <s v="Mar"/>
    <d v="2023-03-17T00:00:00"/>
    <d v="2023-04-06T00:00:00"/>
    <d v="2023-04-06T00:00:00"/>
    <x v="0"/>
    <n v="20"/>
    <n v="20"/>
    <x v="1"/>
    <x v="1"/>
    <s v="Munich"/>
    <s v="Consumer"/>
    <x v="1"/>
    <x v="6"/>
    <x v="1"/>
    <x v="218"/>
    <n v="692.18"/>
    <s v="Medium"/>
    <n v="1159.3499999999999"/>
    <n v="1159.3499999999999"/>
    <n v="0.112"/>
    <n v="2"/>
    <n v="129.84719999999999"/>
    <n v="2059.0056"/>
    <n v="1929.1584"/>
    <n v="1384.36"/>
    <n v="674.64560000000006"/>
    <n v="544.79840000000013"/>
    <n v="1.4873339304805109"/>
    <n v="0.112"/>
    <n v="796.00699999999983"/>
    <n v="2.4"/>
  </r>
  <r>
    <x v="219"/>
    <d v="2023-12-22T00:00:00"/>
    <s v="q4"/>
    <s v="2023"/>
    <s v="Aug"/>
    <d v="2023-08-25T00:00:00"/>
    <d v="2023-09-16T00:00:00"/>
    <d v="2023-09-16T00:00:00"/>
    <x v="0"/>
    <n v="22"/>
    <n v="22"/>
    <x v="3"/>
    <x v="9"/>
    <s v="Abuja"/>
    <s v="Corporate"/>
    <x v="4"/>
    <x v="1"/>
    <x v="1"/>
    <x v="219"/>
    <n v="1196.83"/>
    <s v="High"/>
    <n v="2513.5100000000002"/>
    <n v="2513.5100000000002"/>
    <n v="8.3000000000000004E-2"/>
    <n v="7"/>
    <n v="208.62133000000003"/>
    <n v="16134.22069"/>
    <n v="15925.59936"/>
    <n v="8377.81"/>
    <n v="7756.4106900000006"/>
    <n v="7547.7893600000007"/>
    <n v="1.92582795384474"/>
    <n v="8.3000000000000004E-2"/>
    <n v="1376.3544999999999"/>
    <n v="8.4"/>
  </r>
  <r>
    <x v="220"/>
    <d v="2023-12-24T00:00:00"/>
    <s v="q4"/>
    <s v="2024"/>
    <s v="Aug"/>
    <d v="2024-08-30T00:00:00"/>
    <d v="2024-09-05T00:00:00"/>
    <d v="2024-09-05T00:00:00"/>
    <x v="1"/>
    <n v="6"/>
    <n v="6"/>
    <x v="0"/>
    <x v="0"/>
    <s v="Nagoya"/>
    <s v="Education"/>
    <x v="2"/>
    <x v="0"/>
    <x v="0"/>
    <x v="220"/>
    <n v="466.16"/>
    <s v="Medium"/>
    <n v="876.81"/>
    <n v="876.81"/>
    <n v="0.24099999999999999"/>
    <n v="8"/>
    <n v="211.31120999999999"/>
    <n v="5323.9903199999999"/>
    <n v="5112.67911"/>
    <n v="3729.28"/>
    <n v="1594.7103199999997"/>
    <n v="1383.3991099999998"/>
    <n v="1.4276188218637376"/>
    <n v="0.2"/>
    <n v="536.08399999999995"/>
    <n v="9.6"/>
  </r>
  <r>
    <x v="221"/>
    <d v="2023-12-24T00:00:00"/>
    <s v="q4"/>
    <s v="2024"/>
    <s v="May"/>
    <d v="2024-05-18T00:00:00"/>
    <d v="2024-05-21T00:00:00"/>
    <d v="2024-05-21T00:00:00"/>
    <x v="1"/>
    <n v="3"/>
    <n v="3"/>
    <x v="1"/>
    <x v="8"/>
    <s v="Marseille"/>
    <s v="Non-Profit"/>
    <x v="4"/>
    <x v="10"/>
    <x v="6"/>
    <x v="221"/>
    <n v="663.66"/>
    <s v="Medium"/>
    <n v="824.26"/>
    <n v="824.26"/>
    <n v="0.23899999999999999"/>
    <n v="11"/>
    <n v="196.99813999999998"/>
    <n v="6899.8804600000003"/>
    <n v="6702.8823200000006"/>
    <n v="7300.2599999999993"/>
    <n v="-400.379539999999"/>
    <n v="-597.37767999999869"/>
    <n v="0.94515544103908644"/>
    <n v="0.2"/>
    <n v="763.20899999999995"/>
    <n v="13.2"/>
  </r>
  <r>
    <x v="222"/>
    <d v="2023-12-26T00:00:00"/>
    <s v="q4"/>
    <s v="2023"/>
    <s v="Dec"/>
    <d v="2023-12-16T00:00:00"/>
    <d v="2023-12-19T00:00:00"/>
    <d v="2023-12-19T00:00:00"/>
    <x v="1"/>
    <n v="3"/>
    <n v="3"/>
    <x v="0"/>
    <x v="3"/>
    <s v="Beijing"/>
    <s v="Education"/>
    <x v="1"/>
    <x v="3"/>
    <x v="5"/>
    <x v="222"/>
    <n v="1415.05"/>
    <s v="High"/>
    <n v="1972.38"/>
    <n v="1972.38"/>
    <n v="0"/>
    <n v="12"/>
    <n v="0"/>
    <n v="23668.560000000001"/>
    <n v="23668.560000000001"/>
    <n v="16980.599999999999"/>
    <n v="6687.9600000000028"/>
    <n v="6687.9600000000028"/>
    <n v="1.3938588742447264"/>
    <n v="0"/>
    <n v="1627.3074999999999"/>
    <n v="14.399999999999999"/>
  </r>
  <r>
    <x v="223"/>
    <d v="2023-12-28T00:00:00"/>
    <s v="q4"/>
    <s v="2025"/>
    <s v="Mar"/>
    <d v="2025-03-08T00:00:00"/>
    <d v="2025-03-15T00:00:00"/>
    <d v="2025-03-15T00:00:00"/>
    <x v="0"/>
    <n v="7"/>
    <n v="7"/>
    <x v="0"/>
    <x v="4"/>
    <s v="Bengaluru"/>
    <s v="Corporate"/>
    <x v="0"/>
    <x v="8"/>
    <x v="0"/>
    <x v="223"/>
    <n v="475.66"/>
    <s v="Low"/>
    <n v="529.14"/>
    <n v="529.14"/>
    <n v="0.19600000000000001"/>
    <n v="11"/>
    <n v="103.71144"/>
    <n v="4679.7141600000004"/>
    <n v="4576.0027200000004"/>
    <n v="5232.26"/>
    <n v="-552.54583999999977"/>
    <n v="-656.25727999999981"/>
    <n v="0.89439633351553638"/>
    <n v="0.19600000000000001"/>
    <n v="547.00900000000001"/>
    <n v="13.2"/>
  </r>
  <r>
    <x v="224"/>
    <d v="2023-12-29T00:00:00"/>
    <s v="q4"/>
    <s v="2025"/>
    <s v="Feb"/>
    <d v="2025-02-21T00:00:00"/>
    <d v="2025-03-21T00:00:00"/>
    <d v="2025-03-21T00:00:00"/>
    <x v="0"/>
    <n v="28"/>
    <n v="28"/>
    <x v="3"/>
    <x v="9"/>
    <s v="Abuja"/>
    <s v="Enterprise"/>
    <x v="4"/>
    <x v="7"/>
    <x v="1"/>
    <x v="224"/>
    <n v="1437.39"/>
    <s v="Medium"/>
    <n v="1388.31"/>
    <n v="1388.31"/>
    <n v="0.13800000000000001"/>
    <n v="18"/>
    <n v="191.58678"/>
    <n v="21541.017959999997"/>
    <n v="21349.431179999996"/>
    <n v="25873.02"/>
    <n v="-4332.002040000003"/>
    <n v="-4523.5888200000045"/>
    <n v="0.83256681902615148"/>
    <n v="0.13800000000000001"/>
    <n v="1652.9984999999999"/>
    <n v="21.599999999999998"/>
  </r>
  <r>
    <x v="225"/>
    <d v="2023-12-30T00:00:00"/>
    <s v="q4"/>
    <s v="2024"/>
    <s v="Dec"/>
    <d v="2024-12-20T00:00:00"/>
    <d v="2025-01-14T00:00:00"/>
    <d v="2025-01-14T00:00:00"/>
    <x v="0"/>
    <n v="25"/>
    <n v="25"/>
    <x v="0"/>
    <x v="4"/>
    <s v="Delhi"/>
    <s v="Small Business"/>
    <x v="1"/>
    <x v="13"/>
    <x v="6"/>
    <x v="225"/>
    <n v="1361.34"/>
    <s v="Medium"/>
    <n v="1737.9"/>
    <n v="1737.9"/>
    <n v="7.6999999999999999E-2"/>
    <n v="14"/>
    <n v="133.81829999999999"/>
    <n v="22457.143800000002"/>
    <n v="22323.325500000003"/>
    <n v="19058.759999999998"/>
    <n v="3398.3838000000032"/>
    <n v="3264.5655000000042"/>
    <n v="1.1783108554806296"/>
    <n v="7.6999999999999999E-2"/>
    <n v="1565.5409999999997"/>
    <n v="16.8"/>
  </r>
  <r>
    <x v="226"/>
    <d v="2024-01-01T00:00:00"/>
    <s v="q1"/>
    <s v="2023"/>
    <s v="Mar"/>
    <d v="2023-03-06T00:00:00"/>
    <d v="2023-04-04T00:00:00"/>
    <d v="2023-04-04T00:00:00"/>
    <x v="0"/>
    <n v="29"/>
    <n v="29"/>
    <x v="0"/>
    <x v="3"/>
    <s v="Beijing"/>
    <s v="Small Business"/>
    <x v="3"/>
    <x v="4"/>
    <x v="3"/>
    <x v="226"/>
    <n v="1126.29"/>
    <s v="High"/>
    <n v="2050.87"/>
    <n v="2050.87"/>
    <n v="6.4000000000000001E-2"/>
    <n v="7"/>
    <n v="131.25567999999998"/>
    <n v="13437.300239999999"/>
    <n v="13306.044559999998"/>
    <n v="7884.03"/>
    <n v="5553.2702399999989"/>
    <n v="5422.0145599999987"/>
    <n v="1.7043694963108966"/>
    <n v="6.4000000000000001E-2"/>
    <n v="1295.2334999999998"/>
    <n v="8.4"/>
  </r>
  <r>
    <x v="227"/>
    <d v="2024-01-02T00:00:00"/>
    <s v="q1"/>
    <s v="2024"/>
    <s v="Nov"/>
    <d v="2024-11-05T00:00:00"/>
    <d v="2024-11-08T00:00:00"/>
    <d v="2024-11-08T00:00:00"/>
    <x v="1"/>
    <n v="3"/>
    <n v="3"/>
    <x v="2"/>
    <x v="2"/>
    <s v="Toronto"/>
    <s v="Education"/>
    <x v="4"/>
    <x v="6"/>
    <x v="2"/>
    <x v="227"/>
    <n v="1020.4"/>
    <s v="Medium"/>
    <n v="1184.71"/>
    <n v="1184.71"/>
    <n v="0.106"/>
    <n v="16"/>
    <n v="125.57926"/>
    <n v="16946.091840000001"/>
    <n v="16820.512580000002"/>
    <n v="16326.4"/>
    <n v="619.69184000000132"/>
    <n v="494.11258000000271"/>
    <n v="1.0379564288514309"/>
    <n v="0.106"/>
    <n v="1173.4599999999998"/>
    <n v="19.2"/>
  </r>
  <r>
    <x v="228"/>
    <d v="2024-01-02T00:00:00"/>
    <s v="q1"/>
    <s v="2024"/>
    <s v="Jul"/>
    <d v="2024-07-24T00:00:00"/>
    <d v="2024-08-08T00:00:00"/>
    <d v="2024-08-08T00:00:00"/>
    <x v="0"/>
    <n v="15"/>
    <n v="15"/>
    <x v="1"/>
    <x v="8"/>
    <s v="Marseille"/>
    <s v="Enterprise"/>
    <x v="4"/>
    <x v="14"/>
    <x v="0"/>
    <x v="228"/>
    <n v="501.5"/>
    <s v="Medium"/>
    <n v="1201.47"/>
    <n v="1201.47"/>
    <n v="0.126"/>
    <n v="5"/>
    <n v="151.38522"/>
    <n v="5250.4239000000007"/>
    <n v="5099.0386800000006"/>
    <n v="2507.5"/>
    <n v="2742.9239000000007"/>
    <n v="2591.5386800000006"/>
    <n v="2.0938878963110672"/>
    <n v="0.126"/>
    <n v="576.72499999999991"/>
    <n v="6"/>
  </r>
  <r>
    <x v="229"/>
    <d v="2024-01-02T00:00:00"/>
    <s v="q1"/>
    <s v="2025"/>
    <s v="Jan"/>
    <d v="2025-01-20T00:00:00"/>
    <d v="2025-02-03T00:00:00"/>
    <d v="2025-02-03T00:00:00"/>
    <x v="0"/>
    <n v="14"/>
    <n v="14"/>
    <x v="2"/>
    <x v="6"/>
    <s v="Brasília"/>
    <s v="Enterprise"/>
    <x v="4"/>
    <x v="9"/>
    <x v="2"/>
    <x v="229"/>
    <n v="974.11"/>
    <s v="Medium"/>
    <n v="880.99"/>
    <n v="880.99"/>
    <n v="0.111"/>
    <n v="10"/>
    <n v="97.78989"/>
    <n v="7832.0010999999995"/>
    <n v="7734.2112099999995"/>
    <n v="9741.1"/>
    <n v="-1909.0989000000009"/>
    <n v="-2006.8887900000009"/>
    <n v="0.80401608647893963"/>
    <n v="0.111"/>
    <n v="1120.2265"/>
    <n v="12"/>
  </r>
  <r>
    <x v="230"/>
    <d v="2024-01-08T00:00:00"/>
    <s v="q1"/>
    <s v="2024"/>
    <s v="Aug"/>
    <d v="2024-08-12T00:00:00"/>
    <d v="2024-08-15T00:00:00"/>
    <d v="2024-08-15T00:00:00"/>
    <x v="1"/>
    <n v="3"/>
    <n v="3"/>
    <x v="2"/>
    <x v="10"/>
    <s v="Chicago"/>
    <s v="Corporate"/>
    <x v="4"/>
    <x v="10"/>
    <x v="6"/>
    <x v="230"/>
    <n v="850.7"/>
    <s v="Medium"/>
    <n v="1118.56"/>
    <n v="1118.56"/>
    <n v="0.18"/>
    <n v="19"/>
    <n v="201.34079999999997"/>
    <n v="17427.164800000002"/>
    <n v="17225.824000000001"/>
    <n v="16163.300000000001"/>
    <n v="1263.8648000000012"/>
    <n v="1062.5239999999994"/>
    <n v="1.0781934877159987"/>
    <n v="0.18"/>
    <n v="978.30499999999995"/>
    <n v="22.8"/>
  </r>
  <r>
    <x v="231"/>
    <d v="2024-01-10T00:00:00"/>
    <s v="q1"/>
    <s v="2025"/>
    <s v="Apr"/>
    <d v="2025-04-12T00:00:00"/>
    <d v="2025-04-30T00:00:00"/>
    <d v="2025-04-30T00:00:00"/>
    <x v="0"/>
    <n v="18"/>
    <n v="18"/>
    <x v="3"/>
    <x v="5"/>
    <s v="Kisumu"/>
    <s v="Corporate"/>
    <x v="4"/>
    <x v="9"/>
    <x v="4"/>
    <x v="231"/>
    <n v="1119.04"/>
    <s v="Medium"/>
    <n v="1299.02"/>
    <n v="1299.02"/>
    <n v="2.5000000000000001E-2"/>
    <n v="14"/>
    <n v="32.475500000000004"/>
    <n v="17731.623"/>
    <n v="17699.147499999999"/>
    <n v="15666.56"/>
    <n v="2065.0630000000001"/>
    <n v="2032.5874999999996"/>
    <n v="1.1318134293680298"/>
    <n v="2.5000000000000001E-2"/>
    <n v="1286.896"/>
    <n v="16.8"/>
  </r>
  <r>
    <x v="232"/>
    <d v="2024-01-11T00:00:00"/>
    <s v="q1"/>
    <s v="2025"/>
    <s v="Sept"/>
    <d v="2025-09-14T00:00:00"/>
    <d v="2025-09-23T00:00:00"/>
    <d v="2025-09-23T00:00:00"/>
    <x v="0"/>
    <n v="9"/>
    <n v="9"/>
    <x v="3"/>
    <x v="11"/>
    <s v="Durban"/>
    <s v="Non-Profit"/>
    <x v="2"/>
    <x v="10"/>
    <x v="2"/>
    <x v="232"/>
    <n v="1310.3"/>
    <s v="High"/>
    <n v="2875.8"/>
    <n v="2875.8"/>
    <n v="8.3000000000000004E-2"/>
    <n v="5"/>
    <n v="238.69140000000002"/>
    <n v="13185.543"/>
    <n v="12946.8516"/>
    <n v="6551.5"/>
    <n v="6634.0429999999997"/>
    <n v="6395.3516"/>
    <n v="2.0125990994428755"/>
    <n v="8.3000000000000004E-2"/>
    <n v="1506.8449999999998"/>
    <n v="6"/>
  </r>
  <r>
    <x v="233"/>
    <d v="2024-01-11T00:00:00"/>
    <s v="q1"/>
    <s v="2024"/>
    <s v="Sept"/>
    <d v="2024-09-06T00:00:00"/>
    <d v="2024-10-04T00:00:00"/>
    <d v="2024-10-04T00:00:00"/>
    <x v="0"/>
    <n v="28"/>
    <n v="28"/>
    <x v="3"/>
    <x v="11"/>
    <s v="Cape Town"/>
    <s v="Corporate"/>
    <x v="4"/>
    <x v="10"/>
    <x v="3"/>
    <x v="233"/>
    <n v="1174.17"/>
    <s v="Medium"/>
    <n v="1641.61"/>
    <n v="1641.61"/>
    <n v="0.122"/>
    <n v="9"/>
    <n v="200.27641999999997"/>
    <n v="12972.00222"/>
    <n v="12771.7258"/>
    <n v="10567.53"/>
    <n v="2404.4722199999997"/>
    <n v="2204.1957999999995"/>
    <n v="1.2275339857090539"/>
    <n v="0.122"/>
    <n v="1350.2954999999999"/>
    <n v="10.799999999999999"/>
  </r>
  <r>
    <x v="234"/>
    <d v="2024-01-12T00:00:00"/>
    <s v="q1"/>
    <s v="2025"/>
    <s v="Aug"/>
    <d v="2025-08-21T00:00:00"/>
    <d v="2025-09-14T00:00:00"/>
    <d v="2025-09-14T00:00:00"/>
    <x v="0"/>
    <n v="24"/>
    <n v="24"/>
    <x v="1"/>
    <x v="1"/>
    <s v="Berlin"/>
    <s v="Non-Profit"/>
    <x v="2"/>
    <x v="3"/>
    <x v="3"/>
    <x v="234"/>
    <n v="1397.67"/>
    <s v="High"/>
    <n v="3131.37"/>
    <n v="3131.37"/>
    <n v="0.10299999999999999"/>
    <n v="20"/>
    <n v="322.53110999999996"/>
    <n v="56176.777799999996"/>
    <n v="55854.246689999993"/>
    <n v="27953.4"/>
    <n v="28223.377799999995"/>
    <n v="27900.846689999991"/>
    <n v="2.0096581381871257"/>
    <n v="0.10299999999999999"/>
    <n v="1607.3205"/>
    <n v="24"/>
  </r>
  <r>
    <x v="235"/>
    <d v="2024-01-12T00:00:00"/>
    <s v="q1"/>
    <s v="2024"/>
    <s v="Dec"/>
    <d v="2024-12-12T00:00:00"/>
    <d v="2024-12-20T00:00:00"/>
    <d v="2024-12-20T00:00:00"/>
    <x v="0"/>
    <n v="8"/>
    <n v="8"/>
    <x v="0"/>
    <x v="0"/>
    <s v="Tokyo"/>
    <s v="Corporate"/>
    <x v="1"/>
    <x v="11"/>
    <x v="0"/>
    <x v="235"/>
    <n v="1202.47"/>
    <s v="Medium"/>
    <n v="1444.72"/>
    <n v="1444.72"/>
    <n v="0.24099999999999999"/>
    <n v="17"/>
    <n v="348.17752000000002"/>
    <n v="18641.222160000001"/>
    <n v="18293.04464"/>
    <n v="20441.990000000002"/>
    <n v="-1800.7678400000004"/>
    <n v="-2148.9453600000015"/>
    <n v="0.91190838856686651"/>
    <n v="0.2"/>
    <n v="1382.8405"/>
    <n v="20.399999999999999"/>
  </r>
  <r>
    <x v="236"/>
    <d v="2024-01-13T00:00:00"/>
    <s v="q1"/>
    <s v="2024"/>
    <s v="Mar"/>
    <d v="2024-03-09T00:00:00"/>
    <d v="2024-03-26T00:00:00"/>
    <d v="2024-03-26T00:00:00"/>
    <x v="0"/>
    <n v="17"/>
    <n v="17"/>
    <x v="2"/>
    <x v="10"/>
    <s v="San Francisco"/>
    <s v="Education"/>
    <x v="3"/>
    <x v="7"/>
    <x v="1"/>
    <x v="236"/>
    <n v="1137.4100000000001"/>
    <s v="Medium"/>
    <n v="1680.93"/>
    <n v="1680.93"/>
    <n v="0.254"/>
    <n v="9"/>
    <n v="426.95622000000003"/>
    <n v="11285.764020000001"/>
    <n v="10858.8078"/>
    <n v="10236.69"/>
    <n v="1049.07402"/>
    <n v="622.11779999999999"/>
    <n v="1.1024817611942923"/>
    <n v="0.2"/>
    <n v="1308.0215000000001"/>
    <n v="10.799999999999999"/>
  </r>
  <r>
    <x v="237"/>
    <d v="2024-01-13T00:00:00"/>
    <s v="q1"/>
    <s v="2023"/>
    <s v="May"/>
    <d v="2023-05-29T00:00:00"/>
    <d v="2023-06-20T00:00:00"/>
    <d v="2023-06-20T00:00:00"/>
    <x v="0"/>
    <n v="22"/>
    <n v="22"/>
    <x v="1"/>
    <x v="7"/>
    <s v="London"/>
    <s v="Small Business"/>
    <x v="3"/>
    <x v="8"/>
    <x v="2"/>
    <x v="237"/>
    <n v="1295.3900000000001"/>
    <s v="High"/>
    <n v="2905.06"/>
    <n v="2905.06"/>
    <n v="0.14799999999999999"/>
    <n v="8"/>
    <n v="429.94887999999997"/>
    <n v="19800.88896"/>
    <n v="19370.94008"/>
    <n v="10363.120000000001"/>
    <n v="9437.7689599999994"/>
    <n v="9007.8200799999995"/>
    <n v="1.9107072927844122"/>
    <n v="0.14799999999999999"/>
    <n v="1489.6985"/>
    <n v="9.6"/>
  </r>
  <r>
    <x v="238"/>
    <d v="2024-01-13T00:00:00"/>
    <s v="q1"/>
    <s v="2025"/>
    <s v="May"/>
    <d v="2025-05-27T00:00:00"/>
    <d v="2025-06-08T00:00:00"/>
    <d v="2025-06-08T00:00:00"/>
    <x v="0"/>
    <n v="12"/>
    <n v="12"/>
    <x v="0"/>
    <x v="0"/>
    <s v="Osaka"/>
    <s v="Corporate"/>
    <x v="1"/>
    <x v="14"/>
    <x v="5"/>
    <x v="238"/>
    <n v="653.6"/>
    <s v="Medium"/>
    <n v="842.09"/>
    <n v="842.09"/>
    <n v="9.8000000000000004E-2"/>
    <n v="19"/>
    <n v="82.524820000000005"/>
    <n v="14431.738420000001"/>
    <n v="14349.213600000001"/>
    <n v="12418.4"/>
    <n v="2013.3384200000019"/>
    <n v="1930.8136000000013"/>
    <n v="1.162125428396573"/>
    <n v="9.8000000000000004E-2"/>
    <n v="751.64"/>
    <n v="22.8"/>
  </r>
  <r>
    <x v="239"/>
    <d v="2024-01-16T00:00:00"/>
    <s v="q1"/>
    <s v="2023"/>
    <s v="Oct"/>
    <d v="2023-10-09T00:00:00"/>
    <d v="2023-10-26T00:00:00"/>
    <d v="2023-10-26T00:00:00"/>
    <x v="0"/>
    <n v="17"/>
    <n v="17"/>
    <x v="0"/>
    <x v="3"/>
    <s v="Shanghai"/>
    <s v="Consumer"/>
    <x v="4"/>
    <x v="4"/>
    <x v="2"/>
    <x v="239"/>
    <n v="1132.03"/>
    <s v="High"/>
    <n v="2137.21"/>
    <n v="2137.21"/>
    <n v="0.35699999999999998"/>
    <n v="35"/>
    <n v="762.98397"/>
    <n v="48097.911050000002"/>
    <n v="47334.927080000001"/>
    <n v="39621.049999999996"/>
    <n v="8476.8610500000068"/>
    <n v="7713.8770800000057"/>
    <n v="1.213948420094874"/>
    <n v="0.2"/>
    <n v="1301.8344999999999"/>
    <n v="42"/>
  </r>
  <r>
    <x v="240"/>
    <d v="2024-01-18T00:00:00"/>
    <s v="q1"/>
    <s v="2024"/>
    <s v="Aug"/>
    <d v="2024-08-10T00:00:00"/>
    <d v="2024-09-07T00:00:00"/>
    <d v="2024-09-07T00:00:00"/>
    <x v="0"/>
    <n v="28"/>
    <n v="28"/>
    <x v="1"/>
    <x v="8"/>
    <s v="Marseille"/>
    <s v="Non-Profit"/>
    <x v="3"/>
    <x v="9"/>
    <x v="6"/>
    <x v="240"/>
    <n v="229.96"/>
    <s v="Low"/>
    <n v="564.26"/>
    <n v="564.26"/>
    <n v="0.105"/>
    <n v="5"/>
    <n v="59.247299999999996"/>
    <n v="2525.0635000000002"/>
    <n v="2465.8162000000002"/>
    <n v="1149.8"/>
    <n v="1375.2635000000002"/>
    <n v="1316.0162000000003"/>
    <n v="2.1960893198817186"/>
    <n v="0.105"/>
    <n v="264.45400000000001"/>
    <n v="6"/>
  </r>
  <r>
    <x v="241"/>
    <d v="2024-01-20T00:00:00"/>
    <s v="q1"/>
    <s v="2025"/>
    <s v="Jun"/>
    <d v="2025-06-15T00:00:00"/>
    <d v="2025-06-30T00:00:00"/>
    <d v="2025-06-30T00:00:00"/>
    <x v="0"/>
    <n v="15"/>
    <n v="15"/>
    <x v="3"/>
    <x v="11"/>
    <s v="Johannesburg"/>
    <s v="Small Business"/>
    <x v="3"/>
    <x v="4"/>
    <x v="3"/>
    <x v="241"/>
    <n v="1487.59"/>
    <s v="Medium"/>
    <n v="1480.83"/>
    <n v="1480.83"/>
    <n v="8.9999999999999993E-3"/>
    <n v="11"/>
    <n v="13.327469999999998"/>
    <n v="16142.527829999999"/>
    <n v="16129.200359999999"/>
    <n v="16363.49"/>
    <n v="-220.9621700000007"/>
    <n v="-234.28964000000087"/>
    <n v="0.98649663549768418"/>
    <n v="8.9999999999999993E-3"/>
    <n v="1710.7284999999997"/>
    <n v="13.2"/>
  </r>
  <r>
    <x v="242"/>
    <d v="2024-01-21T00:00:00"/>
    <s v="q1"/>
    <s v="2023"/>
    <s v="Oct"/>
    <d v="2023-10-26T00:00:00"/>
    <d v="2023-11-05T00:00:00"/>
    <d v="2023-11-05T00:00:00"/>
    <x v="0"/>
    <n v="10"/>
    <n v="10"/>
    <x v="3"/>
    <x v="11"/>
    <s v="Cape Town"/>
    <s v="Non-Profit"/>
    <x v="2"/>
    <x v="7"/>
    <x v="0"/>
    <x v="242"/>
    <n v="20.38"/>
    <s v="Low"/>
    <n v="42.56"/>
    <n v="42.56"/>
    <n v="7.1999999999999995E-2"/>
    <n v="11"/>
    <n v="3.0643199999999999"/>
    <n v="434.45248000000004"/>
    <n v="431.38816000000003"/>
    <n v="224.17999999999998"/>
    <n v="210.27248000000006"/>
    <n v="207.20816000000005"/>
    <n v="1.9379627085377824"/>
    <n v="7.1999999999999995E-2"/>
    <n v="23.436999999999998"/>
    <n v="13.2"/>
  </r>
  <r>
    <x v="243"/>
    <d v="2024-01-24T00:00:00"/>
    <s v="q1"/>
    <s v="2023"/>
    <s v="Sept"/>
    <d v="2023-09-30T00:00:00"/>
    <d v="2023-10-03T00:00:00"/>
    <d v="2023-10-03T00:00:00"/>
    <x v="1"/>
    <n v="3"/>
    <n v="3"/>
    <x v="0"/>
    <x v="3"/>
    <s v="Beijing"/>
    <s v="Non-Profit"/>
    <x v="1"/>
    <x v="5"/>
    <x v="0"/>
    <x v="94"/>
    <n v="1019.36"/>
    <s v="Medium"/>
    <n v="972.91"/>
    <n v="972.91"/>
    <n v="0.14699999999999999"/>
    <n v="17"/>
    <n v="143.01776999999998"/>
    <n v="14108.16791"/>
    <n v="13965.15014"/>
    <n v="17329.12"/>
    <n v="-3220.9520899999989"/>
    <n v="-3363.9698599999992"/>
    <n v="0.81413066041437765"/>
    <n v="0.14699999999999999"/>
    <n v="1172.2639999999999"/>
    <n v="20.399999999999999"/>
  </r>
  <r>
    <x v="244"/>
    <d v="2024-01-25T00:00:00"/>
    <s v="q1"/>
    <s v="2025"/>
    <s v="May"/>
    <d v="2025-05-12T00:00:00"/>
    <d v="2025-05-26T00:00:00"/>
    <d v="2025-05-26T00:00:00"/>
    <x v="0"/>
    <n v="14"/>
    <n v="14"/>
    <x v="0"/>
    <x v="4"/>
    <s v="Hyderabad"/>
    <s v="Corporate"/>
    <x v="4"/>
    <x v="12"/>
    <x v="6"/>
    <x v="243"/>
    <n v="320.12"/>
    <s v="Medium"/>
    <n v="594.41999999999996"/>
    <n v="594.41999999999996"/>
    <n v="0.104"/>
    <n v="18"/>
    <n v="61.819679999999991"/>
    <n v="9586.8057599999993"/>
    <n v="9524.9860799999988"/>
    <n v="5762.16"/>
    <n v="3824.6457599999994"/>
    <n v="3762.8260799999989"/>
    <n v="1.6637520929651379"/>
    <n v="0.104"/>
    <n v="368.13799999999998"/>
    <n v="21.599999999999998"/>
  </r>
  <r>
    <x v="245"/>
    <d v="2024-01-25T00:00:00"/>
    <s v="q1"/>
    <s v="2024"/>
    <s v="May"/>
    <d v="2024-05-07T00:00:00"/>
    <d v="2024-05-12T00:00:00"/>
    <d v="2024-05-12T00:00:00"/>
    <x v="1"/>
    <n v="5"/>
    <n v="5"/>
    <x v="3"/>
    <x v="9"/>
    <s v="Abuja"/>
    <s v="Non-Profit"/>
    <x v="0"/>
    <x v="1"/>
    <x v="0"/>
    <x v="244"/>
    <n v="1163.99"/>
    <s v="Medium"/>
    <n v="1617.85"/>
    <n v="1617.85"/>
    <n v="0.127"/>
    <n v="14"/>
    <n v="205.46695"/>
    <n v="19773.362699999998"/>
    <n v="19567.895749999996"/>
    <n v="16295.86"/>
    <n v="3477.5026999999973"/>
    <n v="3272.0357499999955"/>
    <n v="1.2133979243807935"/>
    <n v="0.127"/>
    <n v="1338.5884999999998"/>
    <n v="16.8"/>
  </r>
  <r>
    <x v="246"/>
    <d v="2024-01-28T00:00:00"/>
    <s v="q1"/>
    <s v="2023"/>
    <s v="Jun"/>
    <d v="2023-06-20T00:00:00"/>
    <d v="2023-07-08T00:00:00"/>
    <d v="2023-07-08T00:00:00"/>
    <x v="0"/>
    <n v="18"/>
    <n v="18"/>
    <x v="2"/>
    <x v="10"/>
    <s v="New York"/>
    <s v="Consumer"/>
    <x v="4"/>
    <x v="6"/>
    <x v="4"/>
    <x v="245"/>
    <n v="1145.53"/>
    <s v="Medium"/>
    <n v="1278.3"/>
    <n v="1278.3"/>
    <n v="0.09"/>
    <n v="41"/>
    <n v="115.047"/>
    <n v="47693.373"/>
    <n v="47578.326000000001"/>
    <n v="46966.729999999996"/>
    <n v="726.64300000000367"/>
    <n v="611.59600000000501"/>
    <n v="1.0154714411669707"/>
    <n v="0.09"/>
    <n v="1317.3594999999998"/>
    <n v="49.199999999999996"/>
  </r>
  <r>
    <x v="247"/>
    <d v="2024-01-28T00:00:00"/>
    <s v="q1"/>
    <s v="2024"/>
    <s v="Jul"/>
    <d v="2024-07-18T00:00:00"/>
    <d v="2024-08-07T00:00:00"/>
    <d v="2024-08-07T00:00:00"/>
    <x v="0"/>
    <n v="20"/>
    <n v="20"/>
    <x v="1"/>
    <x v="8"/>
    <s v="Marseille"/>
    <s v="Corporate"/>
    <x v="1"/>
    <x v="9"/>
    <x v="3"/>
    <x v="246"/>
    <n v="941.35"/>
    <s v="Medium"/>
    <n v="899.83"/>
    <n v="899.83"/>
    <n v="5.8000000000000003E-2"/>
    <n v="18"/>
    <n v="52.190140000000007"/>
    <n v="15257.51748"/>
    <n v="15205.32734"/>
    <n v="16944.3"/>
    <n v="-1686.7825199999988"/>
    <n v="-1738.9726599999995"/>
    <n v="0.90045133053593251"/>
    <n v="5.8000000000000003E-2"/>
    <n v="1082.5525"/>
    <n v="21.599999999999998"/>
  </r>
  <r>
    <x v="248"/>
    <d v="2024-01-28T00:00:00"/>
    <s v="q1"/>
    <s v="2023"/>
    <s v="May"/>
    <d v="2023-05-20T00:00:00"/>
    <d v="2023-06-19T00:00:00"/>
    <d v="2023-06-19T00:00:00"/>
    <x v="0"/>
    <n v="30"/>
    <n v="30"/>
    <x v="0"/>
    <x v="4"/>
    <s v="Delhi"/>
    <s v="Non-Profit"/>
    <x v="4"/>
    <x v="14"/>
    <x v="0"/>
    <x v="247"/>
    <n v="1161.2"/>
    <s v="Medium"/>
    <n v="878.73"/>
    <n v="878.73"/>
    <n v="0.19"/>
    <n v="31"/>
    <n v="166.95869999999999"/>
    <n v="22064.910300000003"/>
    <n v="21897.951600000004"/>
    <n v="35997.200000000004"/>
    <n v="-13932.289700000001"/>
    <n v="-14099.2484"/>
    <n v="0.6129618498105408"/>
    <n v="0.19"/>
    <n v="1335.3799999999999"/>
    <n v="37.199999999999996"/>
  </r>
  <r>
    <x v="249"/>
    <d v="2024-02-01T00:00:00"/>
    <s v="q1"/>
    <s v="2025"/>
    <s v="Aug"/>
    <d v="2025-08-07T00:00:00"/>
    <d v="2025-09-06T00:00:00"/>
    <d v="2025-09-06T00:00:00"/>
    <x v="0"/>
    <n v="30"/>
    <n v="30"/>
    <x v="2"/>
    <x v="2"/>
    <s v="Montreal"/>
    <s v="Education"/>
    <x v="3"/>
    <x v="13"/>
    <x v="4"/>
    <x v="248"/>
    <n v="833.73"/>
    <s v="Medium"/>
    <n v="1116.5999999999999"/>
    <n v="1116.5999999999999"/>
    <n v="0.17599999999999999"/>
    <n v="14"/>
    <n v="196.52159999999998"/>
    <n v="12881.097599999999"/>
    <n v="12684.575999999999"/>
    <n v="11672.220000000001"/>
    <n v="1208.877599999998"/>
    <n v="1012.3559999999979"/>
    <n v="1.10356878126012"/>
    <n v="0.17599999999999999"/>
    <n v="958.78949999999998"/>
    <n v="16.8"/>
  </r>
  <r>
    <x v="250"/>
    <d v="2024-02-01T00:00:00"/>
    <s v="q1"/>
    <s v="2025"/>
    <s v="Jul"/>
    <d v="2025-07-23T00:00:00"/>
    <d v="2025-08-17T00:00:00"/>
    <d v="2025-08-17T00:00:00"/>
    <x v="0"/>
    <n v="25"/>
    <n v="25"/>
    <x v="1"/>
    <x v="7"/>
    <s v="Birmingham"/>
    <s v="Education"/>
    <x v="2"/>
    <x v="7"/>
    <x v="6"/>
    <x v="249"/>
    <n v="1142.06"/>
    <s v="Medium"/>
    <n v="1455"/>
    <n v="1455"/>
    <n v="7.8E-2"/>
    <n v="28"/>
    <n v="113.49"/>
    <n v="37562.28"/>
    <n v="37448.79"/>
    <n v="31977.68"/>
    <n v="5584.5999999999985"/>
    <n v="5471.1100000000006"/>
    <n v="1.1746405617918498"/>
    <n v="7.8E-2"/>
    <n v="1313.3689999999999"/>
    <n v="33.6"/>
  </r>
  <r>
    <x v="251"/>
    <d v="2024-02-03T00:00:00"/>
    <s v="q1"/>
    <s v="2025"/>
    <s v="Feb"/>
    <d v="2025-02-06T00:00:00"/>
    <d v="2025-02-15T00:00:00"/>
    <d v="2025-02-15T00:00:00"/>
    <x v="0"/>
    <n v="9"/>
    <n v="9"/>
    <x v="2"/>
    <x v="6"/>
    <s v="São Paulo"/>
    <s v="Non-Profit"/>
    <x v="0"/>
    <x v="9"/>
    <x v="4"/>
    <x v="250"/>
    <n v="837.39"/>
    <s v="Medium"/>
    <n v="1905.42"/>
    <n v="1905.42"/>
    <n v="3.2000000000000001E-2"/>
    <n v="18"/>
    <n v="60.973440000000004"/>
    <n v="33200.038079999998"/>
    <n v="33139.064639999997"/>
    <n v="15073.02"/>
    <n v="18127.018079999998"/>
    <n v="18066.044639999996"/>
    <n v="2.2026135492422885"/>
    <n v="3.2000000000000001E-2"/>
    <n v="962.99849999999992"/>
    <n v="21.599999999999998"/>
  </r>
  <r>
    <x v="252"/>
    <d v="2024-02-03T00:00:00"/>
    <s v="q1"/>
    <s v="2025"/>
    <s v="Jan"/>
    <d v="2025-01-31T00:00:00"/>
    <d v="2025-02-17T00:00:00"/>
    <d v="2025-02-17T00:00:00"/>
    <x v="0"/>
    <n v="17"/>
    <n v="17"/>
    <x v="1"/>
    <x v="7"/>
    <s v="London"/>
    <s v="Enterprise"/>
    <x v="1"/>
    <x v="14"/>
    <x v="2"/>
    <x v="251"/>
    <n v="378.26"/>
    <s v="Low"/>
    <n v="541.55999999999995"/>
    <n v="541.55999999999995"/>
    <n v="0.16300000000000001"/>
    <n v="25"/>
    <n v="88.27427999999999"/>
    <n v="11332.142999999998"/>
    <n v="11243.868719999999"/>
    <n v="9456.5"/>
    <n v="1875.6429999999982"/>
    <n v="1787.3687199999986"/>
    <n v="1.1983443134352032"/>
    <n v="0.16300000000000001"/>
    <n v="434.99899999999997"/>
    <n v="30"/>
  </r>
  <r>
    <x v="253"/>
    <d v="2024-02-06T00:00:00"/>
    <s v="q1"/>
    <s v="2025"/>
    <s v="Jan"/>
    <d v="2025-01-07T00:00:00"/>
    <d v="2025-01-20T00:00:00"/>
    <d v="2025-01-20T00:00:00"/>
    <x v="0"/>
    <n v="13"/>
    <n v="13"/>
    <x v="3"/>
    <x v="11"/>
    <s v="Cape Town"/>
    <s v="Corporate"/>
    <x v="3"/>
    <x v="8"/>
    <x v="4"/>
    <x v="252"/>
    <n v="432.13"/>
    <s v="Medium"/>
    <n v="1034.6600000000001"/>
    <n v="1034.6600000000001"/>
    <n v="9.1999999999999998E-2"/>
    <n v="7"/>
    <n v="95.188720000000004"/>
    <n v="6576.298960000001"/>
    <n v="6481.1102400000009"/>
    <n v="3024.91"/>
    <n v="3551.3889600000011"/>
    <n v="3456.200240000001"/>
    <n v="2.1740478096869"/>
    <n v="9.1999999999999998E-2"/>
    <n v="496.94949999999994"/>
    <n v="8.4"/>
  </r>
  <r>
    <x v="254"/>
    <d v="2024-02-08T00:00:00"/>
    <s v="q1"/>
    <s v="2023"/>
    <s v="Mar"/>
    <d v="2023-03-13T00:00:00"/>
    <d v="2023-04-04T00:00:00"/>
    <d v="2023-04-04T00:00:00"/>
    <x v="0"/>
    <n v="22"/>
    <n v="22"/>
    <x v="3"/>
    <x v="11"/>
    <s v="Durban"/>
    <s v="Small Business"/>
    <x v="1"/>
    <x v="3"/>
    <x v="2"/>
    <x v="253"/>
    <n v="1113.7"/>
    <s v="Medium"/>
    <n v="1620.6"/>
    <n v="1620.6"/>
    <n v="0.13900000000000001"/>
    <n v="11"/>
    <n v="225.26340000000002"/>
    <n v="15348.702599999999"/>
    <n v="15123.439199999999"/>
    <n v="12250.7"/>
    <n v="3098.002599999998"/>
    <n v="2872.7391999999982"/>
    <n v="1.2528837209302324"/>
    <n v="0.13900000000000001"/>
    <n v="1280.7549999999999"/>
    <n v="13.2"/>
  </r>
  <r>
    <x v="255"/>
    <d v="2024-02-11T00:00:00"/>
    <s v="q1"/>
    <s v="2025"/>
    <s v="Jun"/>
    <d v="2025-06-27T00:00:00"/>
    <d v="2025-07-11T00:00:00"/>
    <d v="2025-07-11T00:00:00"/>
    <x v="0"/>
    <n v="14"/>
    <n v="14"/>
    <x v="0"/>
    <x v="3"/>
    <s v="Shanghai"/>
    <s v="Small Business"/>
    <x v="4"/>
    <x v="1"/>
    <x v="4"/>
    <x v="254"/>
    <n v="1227.7"/>
    <s v="High"/>
    <n v="2197.23"/>
    <n v="2197.23"/>
    <n v="9.9000000000000005E-2"/>
    <n v="22"/>
    <n v="217.52577000000002"/>
    <n v="43553.493060000001"/>
    <n v="43335.967290000001"/>
    <n v="27009.4"/>
    <n v="16544.093059999999"/>
    <n v="16326.567289999999"/>
    <n v="1.6125309358963915"/>
    <n v="9.9000000000000005E-2"/>
    <n v="1411.855"/>
    <n v="26.4"/>
  </r>
  <r>
    <x v="256"/>
    <d v="2024-02-14T00:00:00"/>
    <s v="q1"/>
    <s v="2024"/>
    <s v="Mar"/>
    <d v="2024-03-03T00:00:00"/>
    <d v="2024-03-19T00:00:00"/>
    <d v="2024-03-19T00:00:00"/>
    <x v="0"/>
    <n v="16"/>
    <n v="16"/>
    <x v="0"/>
    <x v="3"/>
    <s v="Beijing"/>
    <s v="Consumer"/>
    <x v="0"/>
    <x v="12"/>
    <x v="1"/>
    <x v="255"/>
    <n v="988.83"/>
    <s v="Medium"/>
    <n v="1206.04"/>
    <n v="1206.04"/>
    <n v="6.3E-2"/>
    <n v="34"/>
    <n v="75.980519999999999"/>
    <n v="38422.022320000004"/>
    <n v="38346.041800000006"/>
    <n v="33620.22"/>
    <n v="4801.8023200000025"/>
    <n v="4725.8218000000052"/>
    <n v="1.1428248333889548"/>
    <n v="6.3E-2"/>
    <n v="1137.1544999999999"/>
    <n v="40.799999999999997"/>
  </r>
  <r>
    <x v="257"/>
    <d v="2024-02-16T00:00:00"/>
    <s v="q1"/>
    <s v="2024"/>
    <s v="May"/>
    <d v="2024-05-17T00:00:00"/>
    <d v="2024-05-27T00:00:00"/>
    <d v="2024-05-27T00:00:00"/>
    <x v="0"/>
    <n v="10"/>
    <n v="10"/>
    <x v="2"/>
    <x v="10"/>
    <s v="Austin"/>
    <s v="Non-Profit"/>
    <x v="2"/>
    <x v="4"/>
    <x v="1"/>
    <x v="256"/>
    <n v="1484.23"/>
    <s v="High"/>
    <n v="3472.81"/>
    <n v="3472.81"/>
    <n v="0.25600000000000001"/>
    <n v="12"/>
    <n v="889.03935999999999"/>
    <n v="31005.24768"/>
    <n v="30116.208320000002"/>
    <n v="17810.760000000002"/>
    <n v="13194.487679999998"/>
    <n v="12305.44832"/>
    <n v="1.7408155339805824"/>
    <n v="0.2"/>
    <n v="1706.8644999999999"/>
    <n v="14.399999999999999"/>
  </r>
  <r>
    <x v="258"/>
    <d v="2024-02-17T00:00:00"/>
    <s v="q1"/>
    <s v="2025"/>
    <s v="Apr"/>
    <d v="2025-04-04T00:00:00"/>
    <d v="2025-04-10T00:00:00"/>
    <d v="2025-04-10T00:00:00"/>
    <x v="1"/>
    <n v="6"/>
    <n v="6"/>
    <x v="1"/>
    <x v="7"/>
    <s v="Birmingham"/>
    <s v="Non-Profit"/>
    <x v="3"/>
    <x v="0"/>
    <x v="6"/>
    <x v="257"/>
    <n v="290.14"/>
    <s v="Low"/>
    <n v="250.73"/>
    <n v="250.73"/>
    <n v="3.4000000000000002E-2"/>
    <n v="17"/>
    <n v="8.5248200000000001"/>
    <n v="4117.4880599999997"/>
    <n v="4108.96324"/>
    <n v="4932.38"/>
    <n v="-814.89194000000043"/>
    <n v="-823.41676000000007"/>
    <n v="0.83478727510856821"/>
    <n v="3.4000000000000002E-2"/>
    <n v="333.66099999999994"/>
    <n v="20.399999999999999"/>
  </r>
  <r>
    <x v="259"/>
    <d v="2024-02-18T00:00:00"/>
    <s v="q1"/>
    <s v="2023"/>
    <s v="Dec"/>
    <d v="2023-12-26T00:00:00"/>
    <d v="2024-01-03T00:00:00"/>
    <d v="2024-01-03T00:00:00"/>
    <x v="0"/>
    <n v="8"/>
    <n v="8"/>
    <x v="1"/>
    <x v="8"/>
    <s v="Lyon"/>
    <s v="Small Business"/>
    <x v="1"/>
    <x v="13"/>
    <x v="0"/>
    <x v="258"/>
    <n v="492.75"/>
    <s v="Medium"/>
    <n v="731.29"/>
    <n v="731.29"/>
    <n v="5.8000000000000003E-2"/>
    <n v="6"/>
    <n v="42.414819999999999"/>
    <n v="4133.25108"/>
    <n v="4090.83626"/>
    <n v="2956.5"/>
    <n v="1176.75108"/>
    <n v="1134.33626"/>
    <n v="1.3980216742770168"/>
    <n v="5.8000000000000003E-2"/>
    <n v="566.66249999999991"/>
    <n v="7.1999999999999993"/>
  </r>
  <r>
    <x v="260"/>
    <d v="2024-02-18T00:00:00"/>
    <s v="q1"/>
    <s v="2023"/>
    <s v="Feb"/>
    <d v="2023-02-05T00:00:00"/>
    <d v="2023-02-28T00:00:00"/>
    <d v="2023-02-28T00:00:00"/>
    <x v="0"/>
    <n v="23"/>
    <n v="23"/>
    <x v="2"/>
    <x v="10"/>
    <s v="Austin"/>
    <s v="Non-Profit"/>
    <x v="0"/>
    <x v="1"/>
    <x v="1"/>
    <x v="259"/>
    <n v="1214.49"/>
    <s v="Medium"/>
    <n v="1533.95"/>
    <n v="1533.95"/>
    <n v="0"/>
    <n v="11"/>
    <n v="0"/>
    <n v="16873.45"/>
    <n v="16873.45"/>
    <n v="13359.39"/>
    <n v="3514.0600000000013"/>
    <n v="3514.0600000000013"/>
    <n v="1.2630404531943451"/>
    <n v="0"/>
    <n v="1396.6634999999999"/>
    <n v="13.2"/>
  </r>
  <r>
    <x v="261"/>
    <d v="2024-02-18T00:00:00"/>
    <s v="q1"/>
    <s v="2023"/>
    <s v="Apr"/>
    <d v="2023-04-06T00:00:00"/>
    <d v="2023-04-08T00:00:00"/>
    <d v="2023-04-08T00:00:00"/>
    <x v="1"/>
    <n v="2"/>
    <n v="2"/>
    <x v="3"/>
    <x v="9"/>
    <s v="Abuja"/>
    <s v="Small Business"/>
    <x v="4"/>
    <x v="8"/>
    <x v="3"/>
    <x v="260"/>
    <n v="720.35"/>
    <s v="Medium"/>
    <n v="1571.66"/>
    <n v="1571.66"/>
    <n v="0.107"/>
    <n v="23"/>
    <n v="168.16762"/>
    <n v="32280.32474"/>
    <n v="32112.15712"/>
    <n v="16568.05"/>
    <n v="15712.274740000001"/>
    <n v="15544.107120000001"/>
    <n v="1.9483478586798084"/>
    <n v="0.107"/>
    <n v="828.40249999999992"/>
    <n v="27.599999999999998"/>
  </r>
  <r>
    <x v="262"/>
    <d v="2024-02-19T00:00:00"/>
    <s v="q1"/>
    <s v="2025"/>
    <s v="Jun"/>
    <d v="2025-06-24T00:00:00"/>
    <d v="2025-07-23T00:00:00"/>
    <d v="2025-07-23T00:00:00"/>
    <x v="0"/>
    <n v="29"/>
    <n v="29"/>
    <x v="2"/>
    <x v="2"/>
    <s v="Vancouver"/>
    <s v="Non-Profit"/>
    <x v="4"/>
    <x v="7"/>
    <x v="6"/>
    <x v="261"/>
    <n v="255.4"/>
    <s v="Low"/>
    <n v="322.70999999999998"/>
    <n v="322.70999999999998"/>
    <n v="0.115"/>
    <n v="16"/>
    <n v="37.111649999999997"/>
    <n v="4569.5735999999997"/>
    <n v="4532.4619499999999"/>
    <n v="4086.4"/>
    <n v="483.17359999999962"/>
    <n v="446.0619499999998"/>
    <n v="1.1182394283476897"/>
    <n v="0.115"/>
    <n v="293.70999999999998"/>
    <n v="19.2"/>
  </r>
  <r>
    <x v="263"/>
    <d v="2024-02-20T00:00:00"/>
    <s v="q1"/>
    <s v="2023"/>
    <s v="Sept"/>
    <d v="2023-09-25T00:00:00"/>
    <d v="2023-10-09T00:00:00"/>
    <d v="2023-10-09T00:00:00"/>
    <x v="0"/>
    <n v="14"/>
    <n v="14"/>
    <x v="2"/>
    <x v="10"/>
    <s v="New York"/>
    <s v="Small Business"/>
    <x v="4"/>
    <x v="5"/>
    <x v="0"/>
    <x v="262"/>
    <n v="1279.56"/>
    <s v="High"/>
    <n v="3083.8"/>
    <n v="3083.8"/>
    <n v="0.106"/>
    <n v="5"/>
    <n v="326.88280000000003"/>
    <n v="13784.586000000001"/>
    <n v="13457.703200000002"/>
    <n v="6397.7999999999993"/>
    <n v="7386.7860000000019"/>
    <n v="7059.9032000000025"/>
    <n v="2.1545822001312955"/>
    <n v="0.106"/>
    <n v="1471.4939999999999"/>
    <n v="6"/>
  </r>
  <r>
    <x v="264"/>
    <d v="2024-02-25T00:00:00"/>
    <s v="q1"/>
    <s v="2025"/>
    <s v="Mar"/>
    <d v="2025-03-15T00:00:00"/>
    <d v="2025-03-29T00:00:00"/>
    <d v="2025-03-29T00:00:00"/>
    <x v="0"/>
    <n v="14"/>
    <n v="14"/>
    <x v="0"/>
    <x v="4"/>
    <s v="Mumbai"/>
    <s v="Enterprise"/>
    <x v="3"/>
    <x v="4"/>
    <x v="2"/>
    <x v="263"/>
    <n v="935.83"/>
    <s v="High"/>
    <n v="2303.46"/>
    <n v="2303.46"/>
    <n v="0.105"/>
    <n v="9"/>
    <n v="241.86329999999998"/>
    <n v="18554.370299999999"/>
    <n v="18312.506999999998"/>
    <n v="8422.4700000000012"/>
    <n v="10131.900299999998"/>
    <n v="9890.0369999999966"/>
    <n v="2.2029606873043175"/>
    <n v="0.105"/>
    <n v="1076.2045000000001"/>
    <n v="10.799999999999999"/>
  </r>
  <r>
    <x v="265"/>
    <d v="2024-02-27T00:00:00"/>
    <s v="q1"/>
    <s v="2024"/>
    <s v="Jun"/>
    <d v="2024-06-02T00:00:00"/>
    <d v="2024-06-15T00:00:00"/>
    <d v="2024-06-15T00:00:00"/>
    <x v="0"/>
    <n v="13"/>
    <n v="13"/>
    <x v="3"/>
    <x v="5"/>
    <s v="Mombasa"/>
    <s v="Education"/>
    <x v="2"/>
    <x v="6"/>
    <x v="1"/>
    <x v="264"/>
    <n v="1295.18"/>
    <s v="High"/>
    <n v="3024.03"/>
    <n v="3024.03"/>
    <n v="0.192"/>
    <n v="8"/>
    <n v="580.61376000000007"/>
    <n v="19547.329920000004"/>
    <n v="18966.716160000004"/>
    <n v="10361.44"/>
    <n v="9185.8899200000033"/>
    <n v="8605.2761600000031"/>
    <n v="1.8865456847696849"/>
    <n v="0.192"/>
    <n v="1489.4569999999999"/>
    <n v="9.6"/>
  </r>
  <r>
    <x v="266"/>
    <d v="2024-02-29T00:00:00"/>
    <s v="q1"/>
    <s v="2025"/>
    <s v="Mar"/>
    <d v="2025-03-21T00:00:00"/>
    <d v="2025-04-09T00:00:00"/>
    <d v="2025-04-09T00:00:00"/>
    <x v="0"/>
    <n v="19"/>
    <n v="19"/>
    <x v="0"/>
    <x v="0"/>
    <s v="Tokyo"/>
    <s v="Small Business"/>
    <x v="0"/>
    <x v="2"/>
    <x v="2"/>
    <x v="265"/>
    <n v="1055.45"/>
    <s v="Medium"/>
    <n v="1210.04"/>
    <n v="1210.04"/>
    <n v="8.9999999999999993E-3"/>
    <n v="18"/>
    <n v="10.890359999999999"/>
    <n v="21584.693520000001"/>
    <n v="21573.803159999999"/>
    <n v="18998.100000000002"/>
    <n v="2586.5935199999985"/>
    <n v="2575.7031599999973"/>
    <n v="1.136150116064238"/>
    <n v="8.9999999999999993E-3"/>
    <n v="1213.7674999999999"/>
    <n v="21.599999999999998"/>
  </r>
  <r>
    <x v="267"/>
    <d v="2024-03-01T00:00:00"/>
    <s v="q1"/>
    <s v="2023"/>
    <s v="Jun"/>
    <d v="2023-06-05T00:00:00"/>
    <d v="2023-06-28T00:00:00"/>
    <d v="2023-06-28T00:00:00"/>
    <x v="0"/>
    <n v="23"/>
    <n v="23"/>
    <x v="1"/>
    <x v="7"/>
    <s v="Birmingham"/>
    <s v="Corporate"/>
    <x v="3"/>
    <x v="8"/>
    <x v="6"/>
    <x v="266"/>
    <n v="605.82000000000005"/>
    <s v="Medium"/>
    <n v="771.12"/>
    <n v="771.12"/>
    <n v="0.13200000000000001"/>
    <n v="19"/>
    <n v="101.78784"/>
    <n v="12717.311040000001"/>
    <n v="12615.5232"/>
    <n v="11510.580000000002"/>
    <n v="1206.7310399999988"/>
    <n v="1104.9431999999979"/>
    <n v="1.1048366841636128"/>
    <n v="0.13200000000000001"/>
    <n v="696.69299999999998"/>
    <n v="22.8"/>
  </r>
  <r>
    <x v="268"/>
    <d v="2024-03-02T00:00:00"/>
    <s v="q1"/>
    <s v="2023"/>
    <s v="Jul"/>
    <d v="2023-07-01T00:00:00"/>
    <d v="2023-07-08T00:00:00"/>
    <d v="2023-07-08T00:00:00"/>
    <x v="0"/>
    <n v="7"/>
    <n v="7"/>
    <x v="3"/>
    <x v="9"/>
    <s v="Port Harcourt"/>
    <s v="Corporate"/>
    <x v="1"/>
    <x v="3"/>
    <x v="0"/>
    <x v="267"/>
    <n v="834.26"/>
    <s v="Medium"/>
    <n v="1780.56"/>
    <n v="1780.56"/>
    <n v="1.4E-2"/>
    <n v="47"/>
    <n v="24.92784"/>
    <n v="82514.711519999997"/>
    <n v="82489.783679999993"/>
    <n v="39210.22"/>
    <n v="43304.491519999996"/>
    <n v="43279.563679999992"/>
    <n v="2.104418478651739"/>
    <n v="1.4E-2"/>
    <n v="959.39899999999989"/>
    <n v="56.4"/>
  </r>
  <r>
    <x v="269"/>
    <d v="2024-03-02T00:00:00"/>
    <s v="q1"/>
    <s v="2024"/>
    <s v="Mar"/>
    <d v="2024-03-09T00:00:00"/>
    <d v="2024-03-26T00:00:00"/>
    <d v="2024-03-26T00:00:00"/>
    <x v="0"/>
    <n v="17"/>
    <n v="17"/>
    <x v="0"/>
    <x v="3"/>
    <s v="Shenzhen"/>
    <s v="Enterprise"/>
    <x v="2"/>
    <x v="8"/>
    <x v="3"/>
    <x v="268"/>
    <n v="1029.67"/>
    <s v="Medium"/>
    <n v="1118.43"/>
    <n v="1118.43"/>
    <n v="0.27200000000000002"/>
    <n v="9"/>
    <n v="304.21296000000007"/>
    <n v="7327.9533600000004"/>
    <n v="7023.7404000000006"/>
    <n v="9267.0300000000007"/>
    <n v="-1939.0766400000002"/>
    <n v="-2243.2896000000001"/>
    <n v="0.79075532937737336"/>
    <n v="0.2"/>
    <n v="1184.1205"/>
    <n v="10.799999999999999"/>
  </r>
  <r>
    <x v="270"/>
    <d v="2024-03-03T00:00:00"/>
    <s v="q1"/>
    <s v="2025"/>
    <s v="Jun"/>
    <d v="2025-06-25T00:00:00"/>
    <d v="2025-07-10T00:00:00"/>
    <d v="2025-07-10T00:00:00"/>
    <x v="0"/>
    <n v="15"/>
    <n v="15"/>
    <x v="1"/>
    <x v="7"/>
    <s v="Birmingham"/>
    <s v="Non-Profit"/>
    <x v="4"/>
    <x v="10"/>
    <x v="1"/>
    <x v="269"/>
    <n v="546.83000000000004"/>
    <s v="Low"/>
    <n v="400.84"/>
    <n v="400.84"/>
    <n v="7.8E-2"/>
    <n v="13"/>
    <n v="31.265519999999999"/>
    <n v="4804.4682400000002"/>
    <n v="4773.2027200000002"/>
    <n v="7108.7900000000009"/>
    <n v="-2304.3217600000007"/>
    <n v="-2335.5872800000006"/>
    <n v="0.67584894757054292"/>
    <n v="7.8E-2"/>
    <n v="628.85450000000003"/>
    <n v="15.6"/>
  </r>
  <r>
    <x v="271"/>
    <d v="2024-03-04T00:00:00"/>
    <s v="q1"/>
    <s v="2024"/>
    <s v="Jun"/>
    <d v="2024-06-23T00:00:00"/>
    <d v="2024-06-25T00:00:00"/>
    <d v="2024-06-25T00:00:00"/>
    <x v="1"/>
    <n v="2"/>
    <n v="2"/>
    <x v="1"/>
    <x v="7"/>
    <s v="Birmingham"/>
    <s v="Small Business"/>
    <x v="4"/>
    <x v="1"/>
    <x v="5"/>
    <x v="270"/>
    <n v="951.44"/>
    <s v="Medium"/>
    <n v="1646.43"/>
    <n v="1646.43"/>
    <n v="0.11"/>
    <n v="24"/>
    <n v="181.10730000000001"/>
    <n v="35167.7448"/>
    <n v="34986.637499999997"/>
    <n v="22834.560000000001"/>
    <n v="12333.184799999999"/>
    <n v="12152.077499999996"/>
    <n v="1.5401104641385688"/>
    <n v="0.11"/>
    <n v="1094.1559999999999"/>
    <n v="28.799999999999997"/>
  </r>
  <r>
    <x v="272"/>
    <d v="2024-03-06T00:00:00"/>
    <s v="q1"/>
    <s v="2024"/>
    <s v="Jan"/>
    <d v="2024-01-18T00:00:00"/>
    <d v="2024-02-03T00:00:00"/>
    <d v="2024-02-03T00:00:00"/>
    <x v="0"/>
    <n v="16"/>
    <n v="16"/>
    <x v="3"/>
    <x v="11"/>
    <s v="Cape Town"/>
    <s v="Non-Profit"/>
    <x v="0"/>
    <x v="1"/>
    <x v="6"/>
    <x v="271"/>
    <n v="666.23"/>
    <s v="Medium"/>
    <n v="1382.91"/>
    <n v="1382.91"/>
    <n v="0.17599999999999999"/>
    <n v="13"/>
    <n v="243.39215999999999"/>
    <n v="14813.731920000002"/>
    <n v="14570.339760000003"/>
    <n v="8660.99"/>
    <n v="6152.7419200000022"/>
    <n v="5909.3497600000028"/>
    <n v="1.7103970700809032"/>
    <n v="0.17599999999999999"/>
    <n v="766.16449999999998"/>
    <n v="15.6"/>
  </r>
  <r>
    <x v="273"/>
    <d v="2024-03-07T00:00:00"/>
    <s v="q1"/>
    <s v="2024"/>
    <s v="Apr"/>
    <d v="2024-04-03T00:00:00"/>
    <d v="2024-04-21T00:00:00"/>
    <d v="2024-04-21T00:00:00"/>
    <x v="0"/>
    <n v="18"/>
    <n v="18"/>
    <x v="2"/>
    <x v="6"/>
    <s v="Brasília"/>
    <s v="Small Business"/>
    <x v="0"/>
    <x v="11"/>
    <x v="4"/>
    <x v="272"/>
    <n v="1176.69"/>
    <s v="High"/>
    <n v="2201.54"/>
    <n v="2201.54"/>
    <n v="0.17"/>
    <n v="27"/>
    <n v="374.26179999999999"/>
    <n v="49336.511399999996"/>
    <n v="48962.249599999996"/>
    <n v="31770.63"/>
    <n v="17565.881399999995"/>
    <n v="17191.619599999995"/>
    <n v="1.5528968547365913"/>
    <n v="0.17"/>
    <n v="1353.1934999999999"/>
    <n v="32.4"/>
  </r>
  <r>
    <x v="274"/>
    <d v="2024-03-07T00:00:00"/>
    <s v="q1"/>
    <s v="2024"/>
    <s v="Nov"/>
    <d v="2024-11-25T00:00:00"/>
    <d v="2024-12-07T00:00:00"/>
    <d v="2024-12-07T00:00:00"/>
    <x v="0"/>
    <n v="12"/>
    <n v="12"/>
    <x v="0"/>
    <x v="3"/>
    <s v="Shanghai"/>
    <s v="Corporate"/>
    <x v="0"/>
    <x v="3"/>
    <x v="5"/>
    <x v="273"/>
    <n v="769.9"/>
    <s v="Medium"/>
    <n v="814.36"/>
    <n v="814.36"/>
    <n v="0"/>
    <n v="5"/>
    <n v="0"/>
    <n v="4071.8"/>
    <n v="4071.8"/>
    <n v="3849.5"/>
    <n v="222.30000000000018"/>
    <n v="222.30000000000018"/>
    <n v="1.0577477594492792"/>
    <n v="0"/>
    <n v="885.38499999999988"/>
    <n v="6"/>
  </r>
  <r>
    <x v="275"/>
    <d v="2024-03-09T00:00:00"/>
    <s v="q1"/>
    <s v="2024"/>
    <s v="Nov"/>
    <d v="2024-11-07T00:00:00"/>
    <d v="2024-11-26T00:00:00"/>
    <d v="2024-11-26T00:00:00"/>
    <x v="0"/>
    <n v="19"/>
    <n v="19"/>
    <x v="2"/>
    <x v="6"/>
    <s v="Rio de Janeiro"/>
    <s v="Non-Profit"/>
    <x v="0"/>
    <x v="5"/>
    <x v="6"/>
    <x v="274"/>
    <n v="55.35"/>
    <s v="Low"/>
    <n v="128.68"/>
    <n v="128.68"/>
    <n v="0.128"/>
    <n v="10"/>
    <n v="16.471040000000002"/>
    <n v="1122.0896000000002"/>
    <n v="1105.6185600000003"/>
    <n v="553.5"/>
    <n v="568.58960000000025"/>
    <n v="552.11856000000034"/>
    <n v="2.0272621499548333"/>
    <n v="0.128"/>
    <n v="63.652499999999996"/>
    <n v="12"/>
  </r>
  <r>
    <x v="276"/>
    <d v="2024-03-09T00:00:00"/>
    <s v="q1"/>
    <s v="2024"/>
    <s v="Jan"/>
    <d v="2024-01-01T00:00:00"/>
    <d v="2024-01-27T00:00:00"/>
    <d v="2024-01-27T00:00:00"/>
    <x v="0"/>
    <n v="26"/>
    <n v="26"/>
    <x v="1"/>
    <x v="7"/>
    <s v="Manchester"/>
    <s v="Education"/>
    <x v="0"/>
    <x v="10"/>
    <x v="5"/>
    <x v="275"/>
    <n v="657.45"/>
    <s v="Medium"/>
    <n v="1325.96"/>
    <n v="1325.96"/>
    <n v="0.16700000000000001"/>
    <n v="21"/>
    <n v="221.43532000000002"/>
    <n v="23195.01828"/>
    <n v="22973.58296"/>
    <n v="13806.45"/>
    <n v="9388.5682799999995"/>
    <n v="9167.132959999999"/>
    <n v="1.6800132025249068"/>
    <n v="0.16700000000000001"/>
    <n v="756.0675"/>
    <n v="25.2"/>
  </r>
  <r>
    <x v="277"/>
    <d v="2024-03-09T00:00:00"/>
    <s v="q1"/>
    <s v="2025"/>
    <s v="Aug"/>
    <d v="2025-08-14T00:00:00"/>
    <d v="2025-09-11T00:00:00"/>
    <d v="2025-09-11T00:00:00"/>
    <x v="0"/>
    <n v="28"/>
    <n v="28"/>
    <x v="2"/>
    <x v="6"/>
    <s v="São Paulo"/>
    <s v="Non-Profit"/>
    <x v="3"/>
    <x v="9"/>
    <x v="6"/>
    <x v="276"/>
    <n v="1203.02"/>
    <s v="High"/>
    <n v="2439.33"/>
    <n v="2439.33"/>
    <n v="0"/>
    <n v="18"/>
    <n v="0"/>
    <n v="43907.94"/>
    <n v="43907.94"/>
    <n v="21654.36"/>
    <n v="22253.58"/>
    <n v="22253.58"/>
    <n v="2.0276720254027363"/>
    <n v="0"/>
    <n v="1383.473"/>
    <n v="21.599999999999998"/>
  </r>
  <r>
    <x v="278"/>
    <d v="2024-03-10T00:00:00"/>
    <s v="q1"/>
    <s v="2024"/>
    <s v="Aug"/>
    <d v="2024-08-08T00:00:00"/>
    <d v="2024-08-20T00:00:00"/>
    <d v="2024-08-20T00:00:00"/>
    <x v="0"/>
    <n v="12"/>
    <n v="12"/>
    <x v="0"/>
    <x v="0"/>
    <s v="Osaka"/>
    <s v="Small Business"/>
    <x v="1"/>
    <x v="14"/>
    <x v="4"/>
    <x v="277"/>
    <n v="1233.3599999999999"/>
    <s v="High"/>
    <n v="2120.4"/>
    <n v="2120.4"/>
    <n v="0.17899999999999999"/>
    <n v="20"/>
    <n v="379.55160000000001"/>
    <n v="34816.968000000001"/>
    <n v="34437.416400000002"/>
    <n v="24667.199999999997"/>
    <n v="10149.768000000004"/>
    <n v="9770.2164000000048"/>
    <n v="1.4114681844716872"/>
    <n v="0.17899999999999999"/>
    <n v="1418.3639999999998"/>
    <n v="24"/>
  </r>
  <r>
    <x v="279"/>
    <d v="2024-03-11T00:00:00"/>
    <s v="q1"/>
    <s v="2023"/>
    <s v="Dec"/>
    <d v="2023-12-02T00:00:00"/>
    <d v="2023-12-16T00:00:00"/>
    <d v="2023-12-16T00:00:00"/>
    <x v="0"/>
    <n v="14"/>
    <n v="14"/>
    <x v="1"/>
    <x v="1"/>
    <s v="Frankfurt"/>
    <s v="Education"/>
    <x v="3"/>
    <x v="0"/>
    <x v="3"/>
    <x v="278"/>
    <n v="879.08"/>
    <s v="Medium"/>
    <n v="1093.3900000000001"/>
    <n v="1093.3900000000001"/>
    <n v="0.113"/>
    <n v="17"/>
    <n v="123.55307000000002"/>
    <n v="16487.22781"/>
    <n v="16363.67474"/>
    <n v="14944.36"/>
    <n v="1542.8678099999997"/>
    <n v="1419.3147399999998"/>
    <n v="1.1032408085725987"/>
    <n v="0.113"/>
    <n v="1010.942"/>
    <n v="20.399999999999999"/>
  </r>
  <r>
    <x v="280"/>
    <d v="2024-03-11T00:00:00"/>
    <s v="q1"/>
    <s v="2023"/>
    <s v="Jul"/>
    <d v="2023-07-14T00:00:00"/>
    <d v="2023-07-14T00:00:00"/>
    <d v="2023-07-14T00:00:00"/>
    <x v="1"/>
    <n v="0"/>
    <n v="0"/>
    <x v="3"/>
    <x v="9"/>
    <s v="Lagos"/>
    <s v="Education"/>
    <x v="1"/>
    <x v="7"/>
    <x v="5"/>
    <x v="279"/>
    <n v="956.38"/>
    <s v="Medium"/>
    <n v="1454.22"/>
    <n v="1454.22"/>
    <n v="3.9E-2"/>
    <n v="19"/>
    <n v="56.714579999999998"/>
    <n v="26552.60298"/>
    <n v="26495.8884"/>
    <n v="18171.22"/>
    <n v="8381.3829799999985"/>
    <n v="8324.6683999999987"/>
    <n v="1.4612449235659464"/>
    <n v="3.9E-2"/>
    <n v="1099.837"/>
    <n v="22.8"/>
  </r>
  <r>
    <x v="281"/>
    <d v="2024-03-13T00:00:00"/>
    <s v="q1"/>
    <s v="2023"/>
    <s v="Feb"/>
    <d v="2023-02-23T00:00:00"/>
    <d v="2023-03-08T00:00:00"/>
    <d v="2023-03-08T00:00:00"/>
    <x v="0"/>
    <n v="13"/>
    <n v="13"/>
    <x v="1"/>
    <x v="7"/>
    <s v="Manchester"/>
    <s v="Small Business"/>
    <x v="3"/>
    <x v="4"/>
    <x v="6"/>
    <x v="280"/>
    <n v="307.37"/>
    <s v="Low"/>
    <n v="462.61"/>
    <n v="462.61"/>
    <n v="0.188"/>
    <n v="11"/>
    <n v="86.970680000000002"/>
    <n v="4132.0325200000007"/>
    <n v="4045.0618400000008"/>
    <n v="3381.07"/>
    <n v="750.9625200000005"/>
    <n v="663.99184000000059"/>
    <n v="1.2221079480756094"/>
    <n v="0.188"/>
    <n v="353.47549999999995"/>
    <n v="13.2"/>
  </r>
  <r>
    <x v="282"/>
    <d v="2024-03-15T00:00:00"/>
    <s v="q1"/>
    <s v="2025"/>
    <s v="Jun"/>
    <d v="2025-06-17T00:00:00"/>
    <d v="2025-07-05T00:00:00"/>
    <d v="2025-07-05T00:00:00"/>
    <x v="0"/>
    <n v="18"/>
    <n v="18"/>
    <x v="0"/>
    <x v="4"/>
    <s v="Delhi"/>
    <s v="Consumer"/>
    <x v="4"/>
    <x v="1"/>
    <x v="0"/>
    <x v="281"/>
    <n v="982.93"/>
    <s v="High"/>
    <n v="2299.3000000000002"/>
    <n v="2299.3000000000002"/>
    <n v="0.113"/>
    <n v="6"/>
    <n v="259.82090000000005"/>
    <n v="12236.874600000001"/>
    <n v="11977.0537"/>
    <n v="5897.58"/>
    <n v="6339.2946000000011"/>
    <n v="6079.4737000000005"/>
    <n v="2.0748976020672889"/>
    <n v="0.113"/>
    <n v="1130.3694999999998"/>
    <n v="7.1999999999999993"/>
  </r>
  <r>
    <x v="283"/>
    <d v="2024-03-16T00:00:00"/>
    <s v="q1"/>
    <s v="2023"/>
    <s v="Dec"/>
    <d v="2023-12-21T00:00:00"/>
    <d v="2024-01-06T00:00:00"/>
    <d v="2024-01-06T00:00:00"/>
    <x v="0"/>
    <n v="16"/>
    <n v="16"/>
    <x v="3"/>
    <x v="9"/>
    <s v="Port Harcourt"/>
    <s v="Corporate"/>
    <x v="4"/>
    <x v="8"/>
    <x v="2"/>
    <x v="282"/>
    <n v="932.61"/>
    <s v="High"/>
    <n v="1982.98"/>
    <n v="1982.98"/>
    <n v="0.14399999999999999"/>
    <n v="16"/>
    <n v="285.54911999999996"/>
    <n v="27158.894079999998"/>
    <n v="26873.344959999999"/>
    <n v="14921.76"/>
    <n v="12237.134079999998"/>
    <n v="11951.584959999998"/>
    <n v="1.8200865099023169"/>
    <n v="0.14399999999999999"/>
    <n v="1072.5014999999999"/>
    <n v="19.2"/>
  </r>
  <r>
    <x v="284"/>
    <d v="2024-03-18T00:00:00"/>
    <s v="q1"/>
    <s v="2023"/>
    <s v="May"/>
    <d v="2023-05-04T00:00:00"/>
    <d v="2023-05-16T00:00:00"/>
    <d v="2023-05-16T00:00:00"/>
    <x v="0"/>
    <n v="12"/>
    <n v="12"/>
    <x v="3"/>
    <x v="9"/>
    <s v="Abuja"/>
    <s v="Small Business"/>
    <x v="4"/>
    <x v="5"/>
    <x v="1"/>
    <x v="283"/>
    <n v="77.739999999999995"/>
    <s v="Low"/>
    <n v="147.12"/>
    <n v="147.12"/>
    <n v="0"/>
    <n v="15"/>
    <n v="0"/>
    <n v="2206.8000000000002"/>
    <n v="2206.8000000000002"/>
    <n v="1166.0999999999999"/>
    <n v="1040.7000000000003"/>
    <n v="1040.7000000000003"/>
    <n v="1.8924620529971703"/>
    <n v="0"/>
    <n v="89.400999999999982"/>
    <n v="18"/>
  </r>
  <r>
    <x v="285"/>
    <d v="2024-03-23T00:00:00"/>
    <s v="q1"/>
    <s v="2024"/>
    <s v="Jul"/>
    <d v="2024-07-25T00:00:00"/>
    <d v="2024-08-02T00:00:00"/>
    <d v="2024-08-02T00:00:00"/>
    <x v="0"/>
    <n v="8"/>
    <n v="8"/>
    <x v="2"/>
    <x v="2"/>
    <s v="Montreal"/>
    <s v="Consumer"/>
    <x v="3"/>
    <x v="5"/>
    <x v="5"/>
    <x v="284"/>
    <n v="986.81"/>
    <s v="High"/>
    <n v="2050.31"/>
    <n v="2050.31"/>
    <n v="0.10299999999999999"/>
    <n v="43"/>
    <n v="211.18192999999999"/>
    <n v="79082.507010000001"/>
    <n v="78871.325079999995"/>
    <n v="42432.829999999994"/>
    <n v="36649.677010000007"/>
    <n v="36438.495080000001"/>
    <n v="1.8637104103120157"/>
    <n v="0.10299999999999999"/>
    <n v="1134.8314999999998"/>
    <n v="51.6"/>
  </r>
  <r>
    <x v="286"/>
    <d v="2024-03-26T00:00:00"/>
    <s v="q1"/>
    <s v="2023"/>
    <s v="Dec"/>
    <d v="2023-12-01T00:00:00"/>
    <d v="2023-12-18T00:00:00"/>
    <d v="2023-12-18T00:00:00"/>
    <x v="0"/>
    <n v="17"/>
    <n v="17"/>
    <x v="0"/>
    <x v="0"/>
    <s v="Nagoya"/>
    <s v="Small Business"/>
    <x v="3"/>
    <x v="0"/>
    <x v="0"/>
    <x v="285"/>
    <n v="1495.79"/>
    <s v="High"/>
    <n v="2783.12"/>
    <n v="2783.12"/>
    <n v="0.02"/>
    <n v="5"/>
    <n v="55.662399999999998"/>
    <n v="13637.287999999999"/>
    <n v="13581.625599999999"/>
    <n v="7478.95"/>
    <n v="6158.3379999999988"/>
    <n v="6102.6755999999996"/>
    <n v="1.8234228066774079"/>
    <n v="0.02"/>
    <n v="1720.1584999999998"/>
    <n v="6"/>
  </r>
  <r>
    <x v="287"/>
    <d v="2024-03-27T00:00:00"/>
    <s v="q1"/>
    <s v="2024"/>
    <s v="Jul"/>
    <d v="2024-07-13T00:00:00"/>
    <d v="2024-07-13T00:00:00"/>
    <d v="2024-07-12T00:00:00"/>
    <x v="1"/>
    <n v="0"/>
    <n v="-1"/>
    <x v="0"/>
    <x v="0"/>
    <s v="Nagoya"/>
    <s v="Small Business"/>
    <x v="4"/>
    <x v="9"/>
    <x v="4"/>
    <x v="286"/>
    <n v="105.13"/>
    <s v="Low"/>
    <n v="244.13"/>
    <n v="244.13"/>
    <n v="7.0999999999999994E-2"/>
    <n v="14"/>
    <n v="17.333229999999997"/>
    <n v="3175.1547799999998"/>
    <n v="3157.8215499999997"/>
    <n v="1471.82"/>
    <n v="1703.3347799999999"/>
    <n v="1686.0015499999997"/>
    <n v="2.1572982973461428"/>
    <n v="7.0999999999999994E-2"/>
    <n v="120.89949999999999"/>
    <n v="16.8"/>
  </r>
  <r>
    <x v="288"/>
    <d v="2024-03-30T00:00:00"/>
    <s v="q1"/>
    <s v="2024"/>
    <s v="Feb"/>
    <d v="2024-02-17T00:00:00"/>
    <d v="2024-03-04T00:00:00"/>
    <d v="2024-03-04T00:00:00"/>
    <x v="0"/>
    <n v="16"/>
    <n v="16"/>
    <x v="0"/>
    <x v="4"/>
    <s v="Delhi"/>
    <s v="Small Business"/>
    <x v="4"/>
    <x v="9"/>
    <x v="1"/>
    <x v="287"/>
    <n v="1231.8"/>
    <s v="High"/>
    <n v="2015.99"/>
    <n v="2015.99"/>
    <n v="0.26100000000000001"/>
    <n v="6"/>
    <n v="526.17339000000004"/>
    <n v="8938.8996600000009"/>
    <n v="8412.726270000001"/>
    <n v="7390.7999999999993"/>
    <n v="1548.0996600000017"/>
    <n v="1021.9262700000018"/>
    <n v="1.2094630703036209"/>
    <n v="0.2"/>
    <n v="1416.57"/>
    <n v="7.1999999999999993"/>
  </r>
  <r>
    <x v="289"/>
    <d v="2024-03-31T00:00:00"/>
    <s v="q1"/>
    <s v="2024"/>
    <s v="Oct"/>
    <d v="2024-10-29T00:00:00"/>
    <d v="2024-11-04T00:00:00"/>
    <d v="2024-11-04T00:00:00"/>
    <x v="1"/>
    <n v="6"/>
    <n v="6"/>
    <x v="3"/>
    <x v="5"/>
    <s v="Nairobi"/>
    <s v="Corporate"/>
    <x v="0"/>
    <x v="13"/>
    <x v="6"/>
    <x v="288"/>
    <n v="805.81"/>
    <s v="Medium"/>
    <n v="1823.04"/>
    <n v="1823.04"/>
    <n v="0"/>
    <n v="11"/>
    <n v="0"/>
    <n v="20053.439999999999"/>
    <n v="20053.439999999999"/>
    <n v="8863.91"/>
    <n v="11189.529999999999"/>
    <n v="11189.529999999999"/>
    <n v="2.2623695412069842"/>
    <n v="0"/>
    <n v="926.68149999999991"/>
    <n v="13.2"/>
  </r>
  <r>
    <x v="290"/>
    <d v="2024-04-03T00:00:00"/>
    <s v="q2"/>
    <s v="2023"/>
    <s v="Jul"/>
    <d v="2023-07-24T00:00:00"/>
    <d v="2023-08-19T00:00:00"/>
    <d v="2023-08-19T00:00:00"/>
    <x v="0"/>
    <n v="26"/>
    <n v="26"/>
    <x v="3"/>
    <x v="5"/>
    <s v="Nairobi"/>
    <s v="Enterprise"/>
    <x v="0"/>
    <x v="13"/>
    <x v="5"/>
    <x v="289"/>
    <n v="661.45"/>
    <s v="Medium"/>
    <n v="1634.86"/>
    <n v="1634.86"/>
    <n v="0.56499999999999995"/>
    <n v="24"/>
    <n v="923.69589999999982"/>
    <n v="17067.938400000003"/>
    <n v="16144.242500000002"/>
    <n v="15874.800000000001"/>
    <n v="1193.1384000000016"/>
    <n v="269.44250000000102"/>
    <n v="1.0751592712979061"/>
    <n v="0.2"/>
    <n v="760.66750000000002"/>
    <n v="28.799999999999997"/>
  </r>
  <r>
    <x v="291"/>
    <d v="2024-04-03T00:00:00"/>
    <s v="q2"/>
    <s v="2023"/>
    <s v="Apr"/>
    <d v="2023-04-13T00:00:00"/>
    <d v="2023-04-13T00:00:00"/>
    <d v="2023-04-11T00:00:00"/>
    <x v="1"/>
    <n v="0"/>
    <n v="-2"/>
    <x v="2"/>
    <x v="10"/>
    <s v="San Francisco"/>
    <s v="Education"/>
    <x v="4"/>
    <x v="12"/>
    <x v="4"/>
    <x v="290"/>
    <n v="32.1"/>
    <s v="Low"/>
    <n v="70.599999999999994"/>
    <n v="70.599999999999994"/>
    <n v="0.28199999999999997"/>
    <n v="22"/>
    <n v="19.909199999999995"/>
    <n v="1115.1975999999997"/>
    <n v="1095.2883999999997"/>
    <n v="706.2"/>
    <n v="408.99759999999969"/>
    <n v="389.08839999999964"/>
    <n v="1.5791526479750775"/>
    <n v="0.2"/>
    <n v="36.914999999999999"/>
    <n v="26.4"/>
  </r>
  <r>
    <x v="292"/>
    <d v="2024-04-04T00:00:00"/>
    <s v="q2"/>
    <s v="2023"/>
    <s v="Jul"/>
    <d v="2023-07-14T00:00:00"/>
    <d v="2023-07-21T00:00:00"/>
    <d v="2023-07-21T00:00:00"/>
    <x v="0"/>
    <n v="7"/>
    <n v="7"/>
    <x v="3"/>
    <x v="11"/>
    <s v="Durban"/>
    <s v="Enterprise"/>
    <x v="4"/>
    <x v="5"/>
    <x v="3"/>
    <x v="291"/>
    <n v="620.74"/>
    <s v="Medium"/>
    <n v="1330.07"/>
    <n v="1330.07"/>
    <n v="0.29899999999999999"/>
    <n v="28"/>
    <n v="397.69092999999998"/>
    <n v="26106.613960000002"/>
    <n v="25708.923030000002"/>
    <n v="17380.72"/>
    <n v="8725.8939600000012"/>
    <n v="8328.2030300000006"/>
    <n v="1.5020444469504142"/>
    <n v="0.2"/>
    <n v="713.851"/>
    <n v="33.6"/>
  </r>
  <r>
    <x v="293"/>
    <d v="2024-04-05T00:00:00"/>
    <s v="q2"/>
    <s v="2023"/>
    <s v="Jul"/>
    <d v="2023-07-25T00:00:00"/>
    <d v="2023-08-10T00:00:00"/>
    <d v="2023-08-10T00:00:00"/>
    <x v="0"/>
    <n v="16"/>
    <n v="16"/>
    <x v="3"/>
    <x v="9"/>
    <s v="Port Harcourt"/>
    <s v="Corporate"/>
    <x v="0"/>
    <x v="7"/>
    <x v="5"/>
    <x v="292"/>
    <n v="506.83"/>
    <s v="Low"/>
    <n v="441.74"/>
    <n v="441.74"/>
    <n v="0.24"/>
    <n v="9"/>
    <n v="106.0176"/>
    <n v="3021.5016000000001"/>
    <n v="2915.4839999999999"/>
    <n v="4561.47"/>
    <n v="-1539.9684000000002"/>
    <n v="-1645.9860000000003"/>
    <n v="0.6623964642976935"/>
    <n v="0.2"/>
    <n v="582.85449999999992"/>
    <n v="10.799999999999999"/>
  </r>
  <r>
    <x v="294"/>
    <d v="2024-04-06T00:00:00"/>
    <s v="q2"/>
    <s v="2024"/>
    <s v="Feb"/>
    <d v="2024-02-18T00:00:00"/>
    <d v="2024-03-03T00:00:00"/>
    <d v="2024-03-03T00:00:00"/>
    <x v="0"/>
    <n v="14"/>
    <n v="14"/>
    <x v="2"/>
    <x v="6"/>
    <s v="Brasília"/>
    <s v="Enterprise"/>
    <x v="0"/>
    <x v="3"/>
    <x v="6"/>
    <x v="293"/>
    <n v="624.23"/>
    <s v="Medium"/>
    <n v="1318.37"/>
    <n v="1318.37"/>
    <n v="0.21"/>
    <n v="37"/>
    <n v="276.85769999999997"/>
    <n v="38535.955099999999"/>
    <n v="38259.097399999999"/>
    <n v="23096.510000000002"/>
    <n v="15439.445099999997"/>
    <n v="15162.587399999997"/>
    <n v="1.6684752414975248"/>
    <n v="0.2"/>
    <n v="717.86450000000002"/>
    <n v="44.4"/>
  </r>
  <r>
    <x v="295"/>
    <d v="2024-04-09T00:00:00"/>
    <s v="q2"/>
    <s v="2024"/>
    <s v="Jul"/>
    <d v="2024-07-11T00:00:00"/>
    <d v="2024-07-31T00:00:00"/>
    <d v="2024-07-31T00:00:00"/>
    <x v="0"/>
    <n v="20"/>
    <n v="20"/>
    <x v="0"/>
    <x v="3"/>
    <s v="Shenzhen"/>
    <s v="Consumer"/>
    <x v="2"/>
    <x v="12"/>
    <x v="1"/>
    <x v="294"/>
    <n v="647.26"/>
    <s v="Medium"/>
    <n v="1374.72"/>
    <n v="1374.72"/>
    <n v="6.6000000000000003E-2"/>
    <n v="22"/>
    <n v="90.731520000000003"/>
    <n v="28247.74656"/>
    <n v="28157.015039999998"/>
    <n v="14239.72"/>
    <n v="14008.02656"/>
    <n v="13917.295039999999"/>
    <n v="1.9837290733244755"/>
    <n v="6.6000000000000003E-2"/>
    <n v="744.34899999999993"/>
    <n v="26.4"/>
  </r>
  <r>
    <x v="296"/>
    <d v="2024-04-12T00:00:00"/>
    <s v="q2"/>
    <s v="2024"/>
    <s v="Apr"/>
    <d v="2024-04-09T00:00:00"/>
    <d v="2024-04-18T00:00:00"/>
    <d v="2024-04-18T00:00:00"/>
    <x v="0"/>
    <n v="9"/>
    <n v="9"/>
    <x v="1"/>
    <x v="8"/>
    <s v="Lyon"/>
    <s v="Consumer"/>
    <x v="2"/>
    <x v="2"/>
    <x v="6"/>
    <x v="295"/>
    <n v="1288.8499999999999"/>
    <s v="High"/>
    <n v="2751.84"/>
    <n v="2751.84"/>
    <n v="0.158"/>
    <n v="7"/>
    <n v="434.79072000000002"/>
    <n v="16219.34496"/>
    <n v="15784.554239999999"/>
    <n v="9021.9499999999989"/>
    <n v="7197.3949600000014"/>
    <n v="6762.6042400000006"/>
    <n v="1.7977648911820618"/>
    <n v="0.158"/>
    <n v="1482.1774999999998"/>
    <n v="8.4"/>
  </r>
  <r>
    <x v="297"/>
    <d v="2024-04-16T00:00:00"/>
    <s v="q2"/>
    <s v="2025"/>
    <s v="Apr"/>
    <d v="2025-04-27T00:00:00"/>
    <d v="2025-05-27T00:00:00"/>
    <d v="2025-05-27T00:00:00"/>
    <x v="0"/>
    <n v="30"/>
    <n v="30"/>
    <x v="0"/>
    <x v="4"/>
    <s v="Delhi"/>
    <s v="Enterprise"/>
    <x v="4"/>
    <x v="14"/>
    <x v="1"/>
    <x v="296"/>
    <n v="481.32"/>
    <s v="Medium"/>
    <n v="1135.99"/>
    <n v="1135.99"/>
    <n v="0.14499999999999999"/>
    <n v="5"/>
    <n v="164.71854999999999"/>
    <n v="4856.35725"/>
    <n v="4691.6387000000004"/>
    <n v="2406.6"/>
    <n v="2449.7572500000001"/>
    <n v="2285.0387000000005"/>
    <n v="2.0179328721017202"/>
    <n v="0.14499999999999999"/>
    <n v="553.51799999999992"/>
    <n v="6"/>
  </r>
  <r>
    <x v="298"/>
    <d v="2024-04-18T00:00:00"/>
    <s v="q2"/>
    <s v="2023"/>
    <s v="Nov"/>
    <d v="2023-11-15T00:00:00"/>
    <d v="2023-12-06T00:00:00"/>
    <d v="2023-12-06T00:00:00"/>
    <x v="0"/>
    <n v="21"/>
    <n v="21"/>
    <x v="1"/>
    <x v="7"/>
    <s v="Manchester"/>
    <s v="Education"/>
    <x v="3"/>
    <x v="14"/>
    <x v="5"/>
    <x v="297"/>
    <n v="1184.99"/>
    <s v="Medium"/>
    <n v="1154.3399999999999"/>
    <n v="1154.3399999999999"/>
    <n v="2.8000000000000001E-2"/>
    <n v="5"/>
    <n v="32.32152"/>
    <n v="5610.0923999999995"/>
    <n v="5577.7708799999991"/>
    <n v="5924.95"/>
    <n v="-314.85760000000028"/>
    <n v="-347.17912000000069"/>
    <n v="0.9468590283462307"/>
    <n v="2.8000000000000001E-2"/>
    <n v="1362.7384999999999"/>
    <n v="6"/>
  </r>
  <r>
    <x v="299"/>
    <d v="2024-04-19T00:00:00"/>
    <s v="q2"/>
    <s v="2023"/>
    <s v="Aug"/>
    <d v="2023-08-30T00:00:00"/>
    <d v="2023-09-03T00:00:00"/>
    <d v="2023-09-03T00:00:00"/>
    <x v="1"/>
    <n v="4"/>
    <n v="4"/>
    <x v="0"/>
    <x v="4"/>
    <s v="Delhi"/>
    <s v="Small Business"/>
    <x v="4"/>
    <x v="1"/>
    <x v="5"/>
    <x v="298"/>
    <n v="1082.25"/>
    <s v="High"/>
    <n v="2433.34"/>
    <n v="2433.34"/>
    <n v="0.27"/>
    <n v="4"/>
    <n v="657.00180000000012"/>
    <n v="7105.3528000000006"/>
    <n v="6448.3510000000006"/>
    <n v="4329"/>
    <n v="2776.3528000000006"/>
    <n v="2119.3510000000006"/>
    <n v="1.6413381381381382"/>
    <n v="0.2"/>
    <n v="1244.5874999999999"/>
    <n v="4.8"/>
  </r>
  <r>
    <x v="300"/>
    <d v="2024-04-21T00:00:00"/>
    <s v="q2"/>
    <s v="2025"/>
    <s v="Sept"/>
    <d v="2025-09-14T00:00:00"/>
    <d v="2025-09-26T00:00:00"/>
    <d v="2025-09-26T00:00:00"/>
    <x v="0"/>
    <n v="12"/>
    <n v="12"/>
    <x v="1"/>
    <x v="7"/>
    <s v="London"/>
    <s v="Small Business"/>
    <x v="3"/>
    <x v="0"/>
    <x v="4"/>
    <x v="299"/>
    <n v="425.15"/>
    <s v="Medium"/>
    <n v="885.92"/>
    <n v="885.92"/>
    <n v="0.23899999999999999"/>
    <n v="13"/>
    <n v="211.73487999999998"/>
    <n v="8764.4065599999994"/>
    <n v="8552.6716799999995"/>
    <n v="5526.95"/>
    <n v="3237.4565599999996"/>
    <n v="3025.7216799999997"/>
    <n v="1.5857582500294014"/>
    <n v="0.2"/>
    <n v="488.92249999999996"/>
    <n v="15.6"/>
  </r>
  <r>
    <x v="301"/>
    <d v="2024-04-24T00:00:00"/>
    <s v="q2"/>
    <s v="2025"/>
    <s v="Jan"/>
    <d v="2025-01-11T00:00:00"/>
    <d v="2025-01-23T00:00:00"/>
    <d v="2025-01-23T00:00:00"/>
    <x v="0"/>
    <n v="12"/>
    <n v="12"/>
    <x v="2"/>
    <x v="10"/>
    <s v="Austin"/>
    <s v="Consumer"/>
    <x v="0"/>
    <x v="14"/>
    <x v="1"/>
    <x v="300"/>
    <n v="100.69"/>
    <s v="Low"/>
    <n v="226.14"/>
    <n v="226.14"/>
    <n v="6.5000000000000002E-2"/>
    <n v="12"/>
    <n v="14.6991"/>
    <n v="2537.2908000000002"/>
    <n v="2522.5917000000004"/>
    <n v="1208.28"/>
    <n v="1329.0108000000002"/>
    <n v="1314.3117000000004"/>
    <n v="2.0999195550700169"/>
    <n v="6.5000000000000002E-2"/>
    <n v="115.79349999999999"/>
    <n v="14.399999999999999"/>
  </r>
  <r>
    <x v="302"/>
    <d v="2024-04-26T00:00:00"/>
    <s v="q2"/>
    <s v="2023"/>
    <s v="Oct"/>
    <d v="2023-10-22T00:00:00"/>
    <d v="2023-11-16T00:00:00"/>
    <d v="2023-11-16T00:00:00"/>
    <x v="0"/>
    <n v="25"/>
    <n v="25"/>
    <x v="2"/>
    <x v="2"/>
    <s v="Toronto"/>
    <s v="Small Business"/>
    <x v="4"/>
    <x v="7"/>
    <x v="0"/>
    <x v="301"/>
    <n v="1373.31"/>
    <s v="High"/>
    <n v="3154.14"/>
    <n v="3154.14"/>
    <n v="0.2"/>
    <n v="11"/>
    <n v="630.82799999999997"/>
    <n v="27756.432000000001"/>
    <n v="27125.603999999999"/>
    <n v="15106.41"/>
    <n v="12650.022000000001"/>
    <n v="12019.194"/>
    <n v="1.8373943246608559"/>
    <n v="0.2"/>
    <n v="1579.3064999999999"/>
    <n v="13.2"/>
  </r>
  <r>
    <x v="303"/>
    <d v="2024-04-29T00:00:00"/>
    <s v="q2"/>
    <s v="2025"/>
    <s v="May"/>
    <d v="2025-05-19T00:00:00"/>
    <d v="2025-05-19T00:00:00"/>
    <d v="2025-05-17T00:00:00"/>
    <x v="1"/>
    <n v="0"/>
    <n v="-2"/>
    <x v="2"/>
    <x v="6"/>
    <s v="São Paulo"/>
    <s v="Small Business"/>
    <x v="0"/>
    <x v="1"/>
    <x v="3"/>
    <x v="302"/>
    <n v="383.77"/>
    <s v="Medium"/>
    <n v="952.56"/>
    <n v="952.56"/>
    <n v="0.34599999999999997"/>
    <n v="10"/>
    <n v="329.58575999999994"/>
    <n v="6229.7423999999992"/>
    <n v="5900.1566399999992"/>
    <n v="3837.7"/>
    <n v="2392.0423999999994"/>
    <n v="2062.4566399999994"/>
    <n v="1.6233010396852281"/>
    <n v="0.2"/>
    <n v="441.33549999999997"/>
    <n v="12"/>
  </r>
  <r>
    <x v="304"/>
    <d v="2024-05-01T00:00:00"/>
    <s v="q2"/>
    <s v="2024"/>
    <s v="Jan"/>
    <d v="2024-01-12T00:00:00"/>
    <d v="2024-01-29T00:00:00"/>
    <d v="2024-01-29T00:00:00"/>
    <x v="0"/>
    <n v="17"/>
    <n v="17"/>
    <x v="0"/>
    <x v="4"/>
    <s v="Hyderabad"/>
    <s v="Small Business"/>
    <x v="3"/>
    <x v="11"/>
    <x v="2"/>
    <x v="303"/>
    <n v="310.02"/>
    <s v="Medium"/>
    <n v="619.51"/>
    <n v="619.51"/>
    <n v="4.2000000000000003E-2"/>
    <n v="4"/>
    <n v="26.01942"/>
    <n v="2373.9623200000001"/>
    <n v="2347.9429"/>
    <n v="1240.08"/>
    <n v="1133.8823200000002"/>
    <n v="1107.8629000000001"/>
    <n v="1.9143622346945359"/>
    <n v="4.2000000000000003E-2"/>
    <n v="356.52299999999997"/>
    <n v="4.8"/>
  </r>
  <r>
    <x v="305"/>
    <d v="2024-05-01T00:00:00"/>
    <s v="q2"/>
    <s v="2023"/>
    <s v="Jun"/>
    <d v="2023-06-10T00:00:00"/>
    <d v="2023-06-18T00:00:00"/>
    <d v="2023-06-18T00:00:00"/>
    <x v="0"/>
    <n v="8"/>
    <n v="8"/>
    <x v="3"/>
    <x v="5"/>
    <s v="Nakuru"/>
    <s v="Enterprise"/>
    <x v="3"/>
    <x v="14"/>
    <x v="1"/>
    <x v="304"/>
    <n v="894.23"/>
    <s v="Medium"/>
    <n v="1421.55"/>
    <n v="1421.55"/>
    <n v="0.109"/>
    <n v="3"/>
    <n v="154.94895"/>
    <n v="3799.8031499999997"/>
    <n v="3644.8541999999998"/>
    <n v="2682.69"/>
    <n v="1117.1131499999997"/>
    <n v="962.16419999999971"/>
    <n v="1.4164152958411145"/>
    <n v="0.109"/>
    <n v="1028.3644999999999"/>
    <n v="3.5999999999999996"/>
  </r>
  <r>
    <x v="306"/>
    <d v="2024-05-04T00:00:00"/>
    <s v="q2"/>
    <s v="2023"/>
    <s v="May"/>
    <d v="2023-05-07T00:00:00"/>
    <d v="2023-05-29T00:00:00"/>
    <d v="2023-05-29T00:00:00"/>
    <x v="0"/>
    <n v="22"/>
    <n v="22"/>
    <x v="3"/>
    <x v="11"/>
    <s v="Durban"/>
    <s v="Education"/>
    <x v="0"/>
    <x v="8"/>
    <x v="5"/>
    <x v="305"/>
    <n v="653.86"/>
    <s v="Medium"/>
    <n v="931.84"/>
    <n v="931.84"/>
    <n v="0.121"/>
    <n v="12"/>
    <n v="112.75264"/>
    <n v="9829.0483199999999"/>
    <n v="9716.2956799999993"/>
    <n v="7846.32"/>
    <n v="1982.7283200000002"/>
    <n v="1869.9756799999996"/>
    <n v="1.252695317040345"/>
    <n v="0.121"/>
    <n v="751.93899999999996"/>
    <n v="14.399999999999999"/>
  </r>
  <r>
    <x v="307"/>
    <d v="2024-05-05T00:00:00"/>
    <s v="q2"/>
    <s v="2024"/>
    <s v="Sept"/>
    <d v="2024-09-09T00:00:00"/>
    <d v="2024-10-08T00:00:00"/>
    <d v="2024-10-08T00:00:00"/>
    <x v="0"/>
    <n v="29"/>
    <n v="29"/>
    <x v="2"/>
    <x v="6"/>
    <s v="São Paulo"/>
    <s v="Education"/>
    <x v="3"/>
    <x v="5"/>
    <x v="2"/>
    <x v="306"/>
    <n v="1010.33"/>
    <s v="High"/>
    <n v="2492.14"/>
    <n v="2492.14"/>
    <n v="5.0999999999999997E-2"/>
    <n v="11"/>
    <n v="127.09913999999999"/>
    <n v="26015.449459999996"/>
    <n v="25888.350319999998"/>
    <n v="11113.630000000001"/>
    <n v="14901.819459999995"/>
    <n v="14774.720319999997"/>
    <n v="2.3408597784882161"/>
    <n v="5.0999999999999997E-2"/>
    <n v="1161.8795"/>
    <n v="13.2"/>
  </r>
  <r>
    <x v="308"/>
    <d v="2024-05-07T00:00:00"/>
    <s v="q2"/>
    <s v="2024"/>
    <s v="Feb"/>
    <d v="2024-02-18T00:00:00"/>
    <d v="2024-03-11T00:00:00"/>
    <d v="2024-03-11T00:00:00"/>
    <x v="0"/>
    <n v="22"/>
    <n v="22"/>
    <x v="2"/>
    <x v="6"/>
    <s v="São Paulo"/>
    <s v="Consumer"/>
    <x v="2"/>
    <x v="3"/>
    <x v="2"/>
    <x v="307"/>
    <n v="80.48"/>
    <s v="Low"/>
    <n v="65.650000000000006"/>
    <n v="65.650000000000006"/>
    <n v="0.17599999999999999"/>
    <n v="13"/>
    <n v="11.554400000000001"/>
    <n v="703.2428000000001"/>
    <n v="691.68840000000012"/>
    <n v="1046.24"/>
    <n v="-342.99719999999991"/>
    <n v="-354.55159999999989"/>
    <n v="0.67216202783300205"/>
    <n v="0.17599999999999999"/>
    <n v="92.551999999999992"/>
    <n v="15.6"/>
  </r>
  <r>
    <x v="309"/>
    <d v="2024-05-10T00:00:00"/>
    <s v="q2"/>
    <s v="2023"/>
    <s v="Feb"/>
    <d v="2023-02-28T00:00:00"/>
    <d v="2023-02-28T00:00:00"/>
    <d v="2023-02-27T00:00:00"/>
    <x v="1"/>
    <n v="0"/>
    <n v="-1"/>
    <x v="1"/>
    <x v="8"/>
    <s v="Marseille"/>
    <s v="Corporate"/>
    <x v="1"/>
    <x v="8"/>
    <x v="4"/>
    <x v="308"/>
    <n v="1299.81"/>
    <s v="High"/>
    <n v="3149.13"/>
    <n v="3149.13"/>
    <n v="0.10299999999999999"/>
    <n v="14"/>
    <n v="324.36039"/>
    <n v="39546.774539999999"/>
    <n v="39222.414149999997"/>
    <n v="18197.34"/>
    <n v="21349.434539999998"/>
    <n v="21025.074149999997"/>
    <n v="2.1732173240704409"/>
    <n v="0.10299999999999999"/>
    <n v="1494.7814999999998"/>
    <n v="16.8"/>
  </r>
  <r>
    <x v="310"/>
    <d v="2024-05-12T00:00:00"/>
    <s v="q2"/>
    <s v="2024"/>
    <s v="Jan"/>
    <d v="2024-01-02T00:00:00"/>
    <d v="2024-01-02T00:00:00"/>
    <d v="2024-01-01T00:00:00"/>
    <x v="1"/>
    <n v="0"/>
    <n v="-1"/>
    <x v="2"/>
    <x v="10"/>
    <s v="Chicago"/>
    <s v="Education"/>
    <x v="4"/>
    <x v="11"/>
    <x v="4"/>
    <x v="309"/>
    <n v="404.77"/>
    <s v="Low"/>
    <n v="433.88"/>
    <n v="433.88"/>
    <n v="0.215"/>
    <n v="22"/>
    <n v="93.284199999999998"/>
    <n v="7493.1076000000012"/>
    <n v="7399.8234000000011"/>
    <n v="8904.9399999999987"/>
    <n v="-1411.8323999999975"/>
    <n v="-1505.1165999999976"/>
    <n v="0.84145514736764115"/>
    <n v="0.2"/>
    <n v="465.48549999999994"/>
    <n v="26.4"/>
  </r>
  <r>
    <x v="311"/>
    <d v="2024-05-14T00:00:00"/>
    <s v="q2"/>
    <s v="2024"/>
    <s v="May"/>
    <d v="2024-05-28T00:00:00"/>
    <d v="2024-06-18T00:00:00"/>
    <d v="2024-06-18T00:00:00"/>
    <x v="0"/>
    <n v="21"/>
    <n v="21"/>
    <x v="1"/>
    <x v="1"/>
    <s v="Frankfurt"/>
    <s v="Small Business"/>
    <x v="2"/>
    <x v="2"/>
    <x v="1"/>
    <x v="310"/>
    <n v="986.85"/>
    <s v="High"/>
    <n v="2422.1"/>
    <n v="2422.1"/>
    <n v="7.5999999999999998E-2"/>
    <n v="10"/>
    <n v="184.0796"/>
    <n v="22380.204000000002"/>
    <n v="22196.124400000001"/>
    <n v="9868.5"/>
    <n v="12511.704000000002"/>
    <n v="12327.624400000001"/>
    <n v="2.2678425292597661"/>
    <n v="7.5999999999999998E-2"/>
    <n v="1134.8774999999998"/>
    <n v="12"/>
  </r>
  <r>
    <x v="312"/>
    <d v="2024-05-17T00:00:00"/>
    <s v="q2"/>
    <s v="2023"/>
    <s v="Mar"/>
    <d v="2023-03-23T00:00:00"/>
    <d v="2023-04-15T00:00:00"/>
    <d v="2023-04-15T00:00:00"/>
    <x v="0"/>
    <n v="23"/>
    <n v="23"/>
    <x v="3"/>
    <x v="5"/>
    <s v="Mombasa"/>
    <s v="Small Business"/>
    <x v="1"/>
    <x v="4"/>
    <x v="5"/>
    <x v="311"/>
    <n v="875.36"/>
    <s v="Medium"/>
    <n v="1178.6199999999999"/>
    <n v="1178.6199999999999"/>
    <n v="0.151"/>
    <n v="53"/>
    <n v="177.97161999999997"/>
    <n v="53034.364139999991"/>
    <n v="52856.392519999994"/>
    <n v="46394.080000000002"/>
    <n v="6640.2841399999888"/>
    <n v="6462.3125199999922"/>
    <n v="1.1431278331200876"/>
    <n v="0.151"/>
    <n v="1006.664"/>
    <n v="63.599999999999994"/>
  </r>
  <r>
    <x v="313"/>
    <d v="2024-05-18T00:00:00"/>
    <s v="q2"/>
    <s v="2023"/>
    <s v="May"/>
    <d v="2023-05-06T00:00:00"/>
    <d v="2023-05-14T00:00:00"/>
    <d v="2023-05-14T00:00:00"/>
    <x v="0"/>
    <n v="8"/>
    <n v="8"/>
    <x v="0"/>
    <x v="0"/>
    <s v="Osaka"/>
    <s v="Enterprise"/>
    <x v="4"/>
    <x v="11"/>
    <x v="1"/>
    <x v="312"/>
    <n v="291.18"/>
    <s v="Low"/>
    <n v="479.54"/>
    <n v="479.54"/>
    <n v="0.14099999999999999"/>
    <n v="22"/>
    <n v="67.615139999999997"/>
    <n v="9062.34692"/>
    <n v="8994.7317800000001"/>
    <n v="6405.96"/>
    <n v="2656.3869199999999"/>
    <n v="2588.77178"/>
    <n v="1.4146742908166769"/>
    <n v="0.14099999999999999"/>
    <n v="334.85699999999997"/>
    <n v="26.4"/>
  </r>
  <r>
    <x v="314"/>
    <d v="2024-05-18T00:00:00"/>
    <s v="q2"/>
    <s v="2023"/>
    <s v="Nov"/>
    <d v="2023-11-14T00:00:00"/>
    <d v="2023-11-30T00:00:00"/>
    <d v="2023-11-30T00:00:00"/>
    <x v="0"/>
    <n v="16"/>
    <n v="16"/>
    <x v="2"/>
    <x v="6"/>
    <s v="São Paulo"/>
    <s v="Enterprise"/>
    <x v="3"/>
    <x v="8"/>
    <x v="4"/>
    <x v="313"/>
    <n v="1017.92"/>
    <s v="Medium"/>
    <n v="1175.25"/>
    <n v="1175.25"/>
    <n v="7.4999999999999997E-2"/>
    <n v="15"/>
    <n v="88.143749999999997"/>
    <n v="16306.59375"/>
    <n v="16218.45"/>
    <n v="15268.8"/>
    <n v="1037.7937500000007"/>
    <n v="949.65000000000146"/>
    <n v="1.0679682588022634"/>
    <n v="7.4999999999999997E-2"/>
    <n v="1170.6079999999999"/>
    <n v="18"/>
  </r>
  <r>
    <x v="315"/>
    <d v="2024-05-18T00:00:00"/>
    <s v="q2"/>
    <s v="2025"/>
    <s v="Apr"/>
    <d v="2025-04-01T00:00:00"/>
    <d v="2025-04-27T00:00:00"/>
    <d v="2025-04-27T00:00:00"/>
    <x v="0"/>
    <n v="26"/>
    <n v="26"/>
    <x v="2"/>
    <x v="10"/>
    <s v="San Francisco"/>
    <s v="Corporate"/>
    <x v="3"/>
    <x v="7"/>
    <x v="3"/>
    <x v="314"/>
    <n v="156.55000000000001"/>
    <s v="Low"/>
    <n v="227.45"/>
    <n v="227.45"/>
    <n v="1.4E-2"/>
    <n v="13"/>
    <n v="3.1842999999999999"/>
    <n v="2915.4540999999999"/>
    <n v="2912.2698"/>
    <n v="2035.15"/>
    <n v="880.30409999999983"/>
    <n v="877.11979999999994"/>
    <n v="1.432549984030661"/>
    <n v="1.4E-2"/>
    <n v="180.0325"/>
    <n v="15.6"/>
  </r>
  <r>
    <x v="316"/>
    <d v="2024-05-19T00:00:00"/>
    <s v="q2"/>
    <s v="2025"/>
    <s v="Jun"/>
    <d v="2025-06-01T00:00:00"/>
    <d v="2025-06-06T00:00:00"/>
    <d v="2025-06-06T00:00:00"/>
    <x v="1"/>
    <n v="5"/>
    <n v="5"/>
    <x v="1"/>
    <x v="8"/>
    <s v="Paris"/>
    <s v="Consumer"/>
    <x v="0"/>
    <x v="12"/>
    <x v="2"/>
    <x v="315"/>
    <n v="379.45"/>
    <s v="Medium"/>
    <n v="742.23"/>
    <n v="742.23"/>
    <n v="0.09"/>
    <n v="13"/>
    <n v="66.800700000000006"/>
    <n v="8780.5809000000008"/>
    <n v="8713.7802000000011"/>
    <n v="4932.8499999999995"/>
    <n v="3847.7309000000014"/>
    <n v="3780.9302000000016"/>
    <n v="1.7800218737646598"/>
    <n v="0.09"/>
    <n v="436.36749999999995"/>
    <n v="15.6"/>
  </r>
  <r>
    <x v="317"/>
    <d v="2024-05-20T00:00:00"/>
    <s v="q2"/>
    <s v="2024"/>
    <s v="Jun"/>
    <d v="2024-06-08T00:00:00"/>
    <d v="2024-06-24T00:00:00"/>
    <d v="2024-06-24T00:00:00"/>
    <x v="0"/>
    <n v="16"/>
    <n v="16"/>
    <x v="3"/>
    <x v="11"/>
    <s v="Durban"/>
    <s v="Education"/>
    <x v="0"/>
    <x v="14"/>
    <x v="3"/>
    <x v="316"/>
    <n v="597.85"/>
    <s v="Medium"/>
    <n v="741.92"/>
    <n v="741.92"/>
    <n v="3.1E-2"/>
    <n v="7"/>
    <n v="22.999519999999997"/>
    <n v="5032.4433599999993"/>
    <n v="5009.443839999999"/>
    <n v="4184.95"/>
    <n v="847.49335999999948"/>
    <n v="824.49383999999918"/>
    <n v="1.2025097934264446"/>
    <n v="3.1E-2"/>
    <n v="687.52749999999992"/>
    <n v="8.4"/>
  </r>
  <r>
    <x v="318"/>
    <d v="2024-05-21T00:00:00"/>
    <s v="q2"/>
    <s v="2024"/>
    <s v="Nov"/>
    <d v="2024-11-04T00:00:00"/>
    <d v="2024-11-05T00:00:00"/>
    <d v="2024-11-05T00:00:00"/>
    <x v="1"/>
    <n v="1"/>
    <n v="1"/>
    <x v="1"/>
    <x v="7"/>
    <s v="London"/>
    <s v="Corporate"/>
    <x v="1"/>
    <x v="13"/>
    <x v="6"/>
    <x v="317"/>
    <n v="840.68"/>
    <s v="Medium"/>
    <n v="1493.53"/>
    <n v="1493.53"/>
    <n v="0"/>
    <n v="27"/>
    <n v="0"/>
    <n v="40325.31"/>
    <n v="40325.31"/>
    <n v="22698.359999999997"/>
    <n v="17626.95"/>
    <n v="17626.95"/>
    <n v="1.7765737260313081"/>
    <n v="0"/>
    <n v="966.78199999999981"/>
    <n v="32.4"/>
  </r>
  <r>
    <x v="319"/>
    <d v="2024-05-22T00:00:00"/>
    <s v="q2"/>
    <s v="2023"/>
    <s v="Jun"/>
    <d v="2023-06-24T00:00:00"/>
    <d v="2023-06-24T00:00:00"/>
    <d v="2023-06-22T00:00:00"/>
    <x v="1"/>
    <n v="0"/>
    <n v="-2"/>
    <x v="2"/>
    <x v="2"/>
    <s v="Toronto"/>
    <s v="Non-Profit"/>
    <x v="1"/>
    <x v="13"/>
    <x v="5"/>
    <x v="318"/>
    <n v="471.42"/>
    <s v="Medium"/>
    <n v="824.81"/>
    <n v="824.81"/>
    <n v="8.7999999999999995E-2"/>
    <n v="15"/>
    <n v="72.583279999999988"/>
    <n v="11283.400799999999"/>
    <n v="11210.817519999999"/>
    <n v="7071.3"/>
    <n v="4212.1007999999993"/>
    <n v="4139.5175199999985"/>
    <n v="1.5956614483899707"/>
    <n v="8.7999999999999995E-2"/>
    <n v="542.13299999999992"/>
    <n v="18"/>
  </r>
  <r>
    <x v="320"/>
    <d v="2024-05-23T00:00:00"/>
    <s v="q2"/>
    <s v="2023"/>
    <s v="Jan"/>
    <d v="2023-01-10T00:00:00"/>
    <d v="2023-01-29T00:00:00"/>
    <d v="2023-01-29T00:00:00"/>
    <x v="0"/>
    <n v="19"/>
    <n v="19"/>
    <x v="1"/>
    <x v="8"/>
    <s v="Lyon"/>
    <s v="Non-Profit"/>
    <x v="3"/>
    <x v="10"/>
    <x v="0"/>
    <x v="319"/>
    <n v="401.66"/>
    <s v="Medium"/>
    <n v="772.09"/>
    <n v="772.09"/>
    <n v="8.8999999999999996E-2"/>
    <n v="14"/>
    <n v="68.716009999999997"/>
    <n v="9847.2358600000007"/>
    <n v="9778.5198500000006"/>
    <n v="5623.2400000000007"/>
    <n v="4223.99586"/>
    <n v="4155.2798499999999"/>
    <n v="1.7511676293382461"/>
    <n v="8.8999999999999996E-2"/>
    <n v="461.90899999999999"/>
    <n v="16.8"/>
  </r>
  <r>
    <x v="321"/>
    <d v="2024-05-23T00:00:00"/>
    <s v="q2"/>
    <s v="2024"/>
    <s v="Dec"/>
    <d v="2024-12-29T00:00:00"/>
    <d v="2025-01-12T00:00:00"/>
    <d v="2025-01-12T00:00:00"/>
    <x v="0"/>
    <n v="14"/>
    <n v="14"/>
    <x v="1"/>
    <x v="7"/>
    <s v="Manchester"/>
    <s v="Corporate"/>
    <x v="3"/>
    <x v="11"/>
    <x v="3"/>
    <x v="320"/>
    <n v="1399.72"/>
    <s v="High"/>
    <n v="3149.21"/>
    <n v="3149.21"/>
    <n v="0.185"/>
    <n v="12"/>
    <n v="582.60384999999997"/>
    <n v="30799.273800000003"/>
    <n v="30216.669950000003"/>
    <n v="16796.64"/>
    <n v="14002.633800000003"/>
    <n v="13420.029950000004"/>
    <n v="1.8336568385105594"/>
    <n v="0.185"/>
    <n v="1609.6779999999999"/>
    <n v="14.399999999999999"/>
  </r>
  <r>
    <x v="322"/>
    <d v="2024-05-23T00:00:00"/>
    <s v="q2"/>
    <s v="2024"/>
    <s v="May"/>
    <d v="2024-05-23T00:00:00"/>
    <d v="2024-06-06T00:00:00"/>
    <d v="2024-06-06T00:00:00"/>
    <x v="0"/>
    <n v="14"/>
    <n v="14"/>
    <x v="2"/>
    <x v="6"/>
    <s v="Rio de Janeiro"/>
    <s v="Non-Profit"/>
    <x v="2"/>
    <x v="7"/>
    <x v="4"/>
    <x v="321"/>
    <n v="51.13"/>
    <s v="Low"/>
    <n v="57.53"/>
    <n v="57.53"/>
    <n v="4.4999999999999998E-2"/>
    <n v="16"/>
    <n v="2.5888499999999999"/>
    <n v="879.05840000000001"/>
    <n v="876.46955000000003"/>
    <n v="818.08"/>
    <n v="60.978399999999965"/>
    <n v="58.389549999999986"/>
    <n v="1.074538431449247"/>
    <n v="4.4999999999999998E-2"/>
    <n v="58.799500000000002"/>
    <n v="19.2"/>
  </r>
  <r>
    <x v="323"/>
    <d v="2024-05-27T00:00:00"/>
    <s v="q2"/>
    <s v="2025"/>
    <s v="Jan"/>
    <d v="2025-01-22T00:00:00"/>
    <d v="2025-02-04T00:00:00"/>
    <d v="2025-02-04T00:00:00"/>
    <x v="0"/>
    <n v="13"/>
    <n v="13"/>
    <x v="0"/>
    <x v="0"/>
    <s v="Tokyo"/>
    <s v="Small Business"/>
    <x v="0"/>
    <x v="1"/>
    <x v="6"/>
    <x v="322"/>
    <n v="122.29"/>
    <s v="Low"/>
    <n v="224.95"/>
    <n v="224.95"/>
    <n v="0.153"/>
    <n v="28"/>
    <n v="34.417349999999999"/>
    <n v="5334.9141999999993"/>
    <n v="5300.4968499999995"/>
    <n v="3424.1200000000003"/>
    <n v="1910.7941999999989"/>
    <n v="1876.3768499999992"/>
    <n v="1.5580394962793356"/>
    <n v="0.153"/>
    <n v="140.6335"/>
    <n v="33.6"/>
  </r>
  <r>
    <x v="324"/>
    <d v="2024-05-28T00:00:00"/>
    <s v="q2"/>
    <s v="2025"/>
    <s v="Mar"/>
    <d v="2025-03-25T00:00:00"/>
    <d v="2025-03-26T00:00:00"/>
    <d v="2025-03-26T00:00:00"/>
    <x v="1"/>
    <n v="1"/>
    <n v="1"/>
    <x v="3"/>
    <x v="9"/>
    <s v="Lagos"/>
    <s v="Education"/>
    <x v="0"/>
    <x v="12"/>
    <x v="5"/>
    <x v="323"/>
    <n v="1450.43"/>
    <s v="High"/>
    <n v="1994.67"/>
    <n v="1994.67"/>
    <n v="0.1"/>
    <n v="24"/>
    <n v="199.46700000000001"/>
    <n v="43084.872000000003"/>
    <n v="42885.405000000006"/>
    <n v="34810.32"/>
    <n v="8274.5520000000033"/>
    <n v="8075.0850000000064"/>
    <n v="1.237703991230187"/>
    <n v="0.1"/>
    <n v="1667.9945"/>
    <n v="28.799999999999997"/>
  </r>
  <r>
    <x v="325"/>
    <d v="2024-05-28T00:00:00"/>
    <s v="q2"/>
    <s v="2025"/>
    <s v="May"/>
    <d v="2025-05-18T00:00:00"/>
    <d v="2025-06-09T00:00:00"/>
    <d v="2025-06-09T00:00:00"/>
    <x v="0"/>
    <n v="22"/>
    <n v="22"/>
    <x v="2"/>
    <x v="10"/>
    <s v="New York"/>
    <s v="Consumer"/>
    <x v="1"/>
    <x v="14"/>
    <x v="4"/>
    <x v="324"/>
    <n v="382.96"/>
    <s v="Medium"/>
    <n v="552.84"/>
    <n v="552.84"/>
    <n v="0.17599999999999999"/>
    <n v="8"/>
    <n v="97.299840000000003"/>
    <n v="3644.3212800000006"/>
    <n v="3547.0214400000004"/>
    <n v="3063.68"/>
    <n v="580.64128000000073"/>
    <n v="483.3414400000006"/>
    <n v="1.1895241278462505"/>
    <n v="0.17599999999999999"/>
    <n v="440.40399999999994"/>
    <n v="9.6"/>
  </r>
  <r>
    <x v="326"/>
    <d v="2024-05-30T00:00:00"/>
    <s v="q2"/>
    <s v="2025"/>
    <s v="Apr"/>
    <d v="2025-04-09T00:00:00"/>
    <d v="2025-04-12T00:00:00"/>
    <d v="2025-04-12T00:00:00"/>
    <x v="1"/>
    <n v="3"/>
    <n v="3"/>
    <x v="1"/>
    <x v="8"/>
    <s v="Lyon"/>
    <s v="Small Business"/>
    <x v="0"/>
    <x v="14"/>
    <x v="3"/>
    <x v="325"/>
    <n v="86.68"/>
    <s v="Low"/>
    <n v="213.32"/>
    <n v="213.32"/>
    <n v="3.7999999999999999E-2"/>
    <n v="8"/>
    <n v="8.1061599999999991"/>
    <n v="1641.7107199999998"/>
    <n v="1633.6045599999998"/>
    <n v="693.44"/>
    <n v="948.27071999999976"/>
    <n v="940.16455999999971"/>
    <n v="2.367487771112136"/>
    <n v="3.7999999999999999E-2"/>
    <n v="99.682000000000002"/>
    <n v="9.6"/>
  </r>
  <r>
    <x v="327"/>
    <d v="2024-06-02T00:00:00"/>
    <s v="q2"/>
    <s v="2025"/>
    <s v="Jun"/>
    <d v="2025-06-22T00:00:00"/>
    <d v="2025-07-08T00:00:00"/>
    <d v="2025-07-08T00:00:00"/>
    <x v="0"/>
    <n v="16"/>
    <n v="16"/>
    <x v="1"/>
    <x v="7"/>
    <s v="London"/>
    <s v="Education"/>
    <x v="3"/>
    <x v="3"/>
    <x v="1"/>
    <x v="326"/>
    <n v="892.73"/>
    <s v="Medium"/>
    <n v="979.84"/>
    <n v="979.84"/>
    <n v="0.17399999999999999"/>
    <n v="10"/>
    <n v="170.49215999999998"/>
    <n v="8093.4784"/>
    <n v="7922.9862400000002"/>
    <n v="8927.2999999999993"/>
    <n v="-833.82159999999931"/>
    <n v="-1004.3137599999991"/>
    <n v="0.90659868045209646"/>
    <n v="0.17399999999999999"/>
    <n v="1026.6395"/>
    <n v="12"/>
  </r>
  <r>
    <x v="328"/>
    <d v="2024-06-02T00:00:00"/>
    <s v="q2"/>
    <s v="2024"/>
    <s v="Jun"/>
    <d v="2024-06-19T00:00:00"/>
    <d v="2024-06-20T00:00:00"/>
    <d v="2024-06-20T00:00:00"/>
    <x v="1"/>
    <n v="1"/>
    <n v="1"/>
    <x v="3"/>
    <x v="5"/>
    <s v="Kisumu"/>
    <s v="Small Business"/>
    <x v="3"/>
    <x v="5"/>
    <x v="0"/>
    <x v="327"/>
    <n v="231.63"/>
    <s v="Low"/>
    <n v="537.39"/>
    <n v="537.39"/>
    <n v="0.08"/>
    <n v="12"/>
    <n v="42.991199999999999"/>
    <n v="5932.7856000000002"/>
    <n v="5889.7943999999998"/>
    <n v="2779.56"/>
    <n v="3153.2256000000002"/>
    <n v="3110.2343999999998"/>
    <n v="2.1344333635539439"/>
    <n v="0.08"/>
    <n v="266.37449999999995"/>
    <n v="14.399999999999999"/>
  </r>
  <r>
    <x v="329"/>
    <d v="2024-06-03T00:00:00"/>
    <s v="q2"/>
    <s v="2023"/>
    <s v="Jul"/>
    <d v="2023-07-18T00:00:00"/>
    <d v="2023-07-22T00:00:00"/>
    <d v="2023-07-22T00:00:00"/>
    <x v="1"/>
    <n v="4"/>
    <n v="4"/>
    <x v="2"/>
    <x v="6"/>
    <s v="São Paulo"/>
    <s v="Consumer"/>
    <x v="3"/>
    <x v="9"/>
    <x v="4"/>
    <x v="328"/>
    <n v="1269.55"/>
    <s v="High"/>
    <n v="2071.1"/>
    <n v="2071.1"/>
    <n v="0.129"/>
    <n v="22"/>
    <n v="267.17189999999999"/>
    <n v="39686.4182"/>
    <n v="39419.246299999999"/>
    <n v="27930.1"/>
    <n v="11756.318200000002"/>
    <n v="11489.1463"/>
    <n v="1.4209193021149227"/>
    <n v="0.129"/>
    <n v="1459.9824999999998"/>
    <n v="26.4"/>
  </r>
  <r>
    <x v="330"/>
    <d v="2024-06-04T00:00:00"/>
    <s v="q2"/>
    <s v="2023"/>
    <s v="Oct"/>
    <d v="2023-10-05T00:00:00"/>
    <d v="2023-10-31T00:00:00"/>
    <d v="2023-10-31T00:00:00"/>
    <x v="0"/>
    <n v="26"/>
    <n v="26"/>
    <x v="0"/>
    <x v="3"/>
    <s v="Shanghai"/>
    <s v="Consumer"/>
    <x v="4"/>
    <x v="5"/>
    <x v="6"/>
    <x v="329"/>
    <n v="649.91"/>
    <s v="Medium"/>
    <n v="1360.12"/>
    <n v="1360.12"/>
    <n v="0.19400000000000001"/>
    <n v="9"/>
    <n v="263.86327999999997"/>
    <n v="9866.3104799999983"/>
    <n v="9602.4471999999987"/>
    <n v="5849.19"/>
    <n v="4017.1204799999987"/>
    <n v="3753.2571999999991"/>
    <n v="1.6867823544798508"/>
    <n v="0.19400000000000001"/>
    <n v="747.39649999999995"/>
    <n v="10.799999999999999"/>
  </r>
  <r>
    <x v="331"/>
    <d v="2024-06-05T00:00:00"/>
    <s v="q2"/>
    <s v="2025"/>
    <s v="May"/>
    <d v="2025-05-10T00:00:00"/>
    <d v="2025-05-27T00:00:00"/>
    <d v="2025-05-27T00:00:00"/>
    <x v="0"/>
    <n v="17"/>
    <n v="17"/>
    <x v="2"/>
    <x v="2"/>
    <s v="Vancouver"/>
    <s v="Education"/>
    <x v="3"/>
    <x v="4"/>
    <x v="2"/>
    <x v="330"/>
    <n v="862.89"/>
    <s v="Medium"/>
    <n v="1426.03"/>
    <n v="1426.03"/>
    <n v="5.6000000000000001E-2"/>
    <n v="19"/>
    <n v="79.857680000000002"/>
    <n v="25577.274079999999"/>
    <n v="25497.416399999998"/>
    <n v="16394.91"/>
    <n v="9182.3640799999994"/>
    <n v="9102.5063999999984"/>
    <n v="1.560074076649399"/>
    <n v="5.6000000000000001E-2"/>
    <n v="992.32349999999985"/>
    <n v="22.8"/>
  </r>
  <r>
    <x v="332"/>
    <d v="2024-06-06T00:00:00"/>
    <s v="q2"/>
    <s v="2025"/>
    <s v="Jan"/>
    <d v="2025-01-22T00:00:00"/>
    <d v="2025-01-22T00:00:00"/>
    <d v="2025-01-22T00:00:00"/>
    <x v="1"/>
    <n v="0"/>
    <n v="0"/>
    <x v="1"/>
    <x v="8"/>
    <s v="Lyon"/>
    <s v="Small Business"/>
    <x v="2"/>
    <x v="11"/>
    <x v="5"/>
    <x v="331"/>
    <n v="591.72"/>
    <s v="Medium"/>
    <n v="577.24"/>
    <n v="577.24"/>
    <n v="0"/>
    <n v="22"/>
    <n v="0"/>
    <n v="12699.28"/>
    <n v="12699.28"/>
    <n v="13017.84"/>
    <n v="-318.55999999999949"/>
    <n v="-318.55999999999949"/>
    <n v="0.97552896640302855"/>
    <n v="0"/>
    <n v="680.47799999999995"/>
    <n v="26.4"/>
  </r>
  <r>
    <x v="333"/>
    <d v="2024-06-07T00:00:00"/>
    <s v="q2"/>
    <s v="2023"/>
    <s v="Jun"/>
    <d v="2023-06-20T00:00:00"/>
    <d v="2023-07-08T00:00:00"/>
    <d v="2023-07-08T00:00:00"/>
    <x v="0"/>
    <n v="18"/>
    <n v="18"/>
    <x v="2"/>
    <x v="10"/>
    <s v="Austin"/>
    <s v="Non-Profit"/>
    <x v="3"/>
    <x v="9"/>
    <x v="3"/>
    <x v="332"/>
    <n v="337"/>
    <s v="Low"/>
    <n v="511.03"/>
    <n v="511.03"/>
    <n v="0.108"/>
    <n v="7"/>
    <n v="55.191239999999993"/>
    <n v="3190.8713200000002"/>
    <n v="3135.6800800000001"/>
    <n v="2359"/>
    <n v="831.8713200000002"/>
    <n v="776.68008000000009"/>
    <n v="1.3526372700296736"/>
    <n v="0.108"/>
    <n v="387.54999999999995"/>
    <n v="8.4"/>
  </r>
  <r>
    <x v="334"/>
    <d v="2024-06-07T00:00:00"/>
    <s v="q2"/>
    <s v="2024"/>
    <s v="Mar"/>
    <d v="2024-03-26T00:00:00"/>
    <d v="2024-04-05T00:00:00"/>
    <d v="2024-04-05T00:00:00"/>
    <x v="0"/>
    <n v="10"/>
    <n v="10"/>
    <x v="2"/>
    <x v="10"/>
    <s v="Austin"/>
    <s v="Consumer"/>
    <x v="3"/>
    <x v="5"/>
    <x v="3"/>
    <x v="333"/>
    <n v="5.66"/>
    <s v="Low"/>
    <n v="4.22"/>
    <n v="4.22"/>
    <n v="0.11899999999999999"/>
    <n v="18"/>
    <n v="0.50217999999999996"/>
    <n v="66.920760000000001"/>
    <n v="66.418580000000006"/>
    <n v="101.88"/>
    <n v="-34.959239999999994"/>
    <n v="-35.46141999999999"/>
    <n v="0.65685865724381631"/>
    <n v="0.11899999999999999"/>
    <n v="6.5089999999999995"/>
    <n v="21.599999999999998"/>
  </r>
  <r>
    <x v="335"/>
    <d v="2024-06-08T00:00:00"/>
    <s v="q2"/>
    <s v="2024"/>
    <s v="Mar"/>
    <d v="2024-03-02T00:00:00"/>
    <d v="2024-03-16T00:00:00"/>
    <d v="2024-03-16T00:00:00"/>
    <x v="0"/>
    <n v="14"/>
    <n v="14"/>
    <x v="2"/>
    <x v="2"/>
    <s v="Vancouver"/>
    <s v="Non-Profit"/>
    <x v="3"/>
    <x v="6"/>
    <x v="6"/>
    <x v="334"/>
    <n v="248.24"/>
    <s v="Low"/>
    <n v="464.05"/>
    <n v="464.05"/>
    <n v="0.16900000000000001"/>
    <n v="11"/>
    <n v="78.424450000000007"/>
    <n v="4241.88105"/>
    <n v="4163.4565999999995"/>
    <n v="2730.6400000000003"/>
    <n v="1511.2410499999996"/>
    <n v="1432.8165999999992"/>
    <n v="1.5534384063809215"/>
    <n v="0.16900000000000001"/>
    <n v="285.476"/>
    <n v="13.2"/>
  </r>
  <r>
    <x v="336"/>
    <d v="2024-06-09T00:00:00"/>
    <s v="q2"/>
    <s v="2025"/>
    <s v="Jun"/>
    <d v="2025-06-01T00:00:00"/>
    <d v="2025-06-27T00:00:00"/>
    <d v="2025-06-27T00:00:00"/>
    <x v="0"/>
    <n v="26"/>
    <n v="26"/>
    <x v="1"/>
    <x v="1"/>
    <s v="Munich"/>
    <s v="Consumer"/>
    <x v="0"/>
    <x v="2"/>
    <x v="0"/>
    <x v="335"/>
    <n v="1362.31"/>
    <s v="High"/>
    <n v="3294.57"/>
    <n v="3294.57"/>
    <n v="0.113"/>
    <n v="7"/>
    <n v="372.28641000000005"/>
    <n v="20455.985130000001"/>
    <n v="20083.69872"/>
    <n v="9536.17"/>
    <n v="10919.815130000001"/>
    <n v="10547.52872"/>
    <n v="2.1450944278468191"/>
    <n v="0.113"/>
    <n v="1566.6564999999998"/>
    <n v="8.4"/>
  </r>
  <r>
    <x v="337"/>
    <d v="2024-06-10T00:00:00"/>
    <s v="q2"/>
    <s v="2025"/>
    <s v="Apr"/>
    <d v="2025-04-11T00:00:00"/>
    <d v="2025-05-04T00:00:00"/>
    <d v="2025-05-04T00:00:00"/>
    <x v="0"/>
    <n v="23"/>
    <n v="23"/>
    <x v="0"/>
    <x v="0"/>
    <s v="Osaka"/>
    <s v="Small Business"/>
    <x v="2"/>
    <x v="13"/>
    <x v="2"/>
    <x v="336"/>
    <n v="786.2"/>
    <s v="Medium"/>
    <n v="1075.3"/>
    <n v="1075.3"/>
    <n v="0.08"/>
    <n v="9"/>
    <n v="86.024000000000001"/>
    <n v="8903.4839999999986"/>
    <n v="8817.4599999999991"/>
    <n v="7075.8"/>
    <n v="1827.6839999999984"/>
    <n v="1741.6599999999989"/>
    <n v="1.2583006868481299"/>
    <n v="0.08"/>
    <n v="904.13"/>
    <n v="10.799999999999999"/>
  </r>
  <r>
    <x v="338"/>
    <d v="2024-06-11T00:00:00"/>
    <s v="q2"/>
    <s v="2023"/>
    <s v="Aug"/>
    <d v="2023-08-23T00:00:00"/>
    <d v="2023-09-22T00:00:00"/>
    <d v="2023-09-22T00:00:00"/>
    <x v="0"/>
    <n v="30"/>
    <n v="30"/>
    <x v="1"/>
    <x v="7"/>
    <s v="London"/>
    <s v="Consumer"/>
    <x v="0"/>
    <x v="6"/>
    <x v="5"/>
    <x v="337"/>
    <n v="209.81"/>
    <s v="Low"/>
    <n v="523"/>
    <n v="523"/>
    <n v="5.8999999999999997E-2"/>
    <n v="15"/>
    <n v="30.856999999999999"/>
    <n v="7382.1450000000004"/>
    <n v="7351.2880000000005"/>
    <n v="3147.15"/>
    <n v="4234.9950000000008"/>
    <n v="4204.1380000000008"/>
    <n v="2.3456603593727658"/>
    <n v="5.8999999999999997E-2"/>
    <n v="241.28149999999999"/>
    <n v="18"/>
  </r>
  <r>
    <x v="339"/>
    <d v="2024-06-15T00:00:00"/>
    <s v="q2"/>
    <s v="2023"/>
    <s v="Oct"/>
    <d v="2023-10-21T00:00:00"/>
    <d v="2023-11-09T00:00:00"/>
    <d v="2023-11-09T00:00:00"/>
    <x v="0"/>
    <n v="19"/>
    <n v="19"/>
    <x v="1"/>
    <x v="7"/>
    <s v="London"/>
    <s v="Non-Profit"/>
    <x v="3"/>
    <x v="3"/>
    <x v="5"/>
    <x v="338"/>
    <n v="1142.48"/>
    <s v="High"/>
    <n v="2105.5300000000002"/>
    <n v="2105.5300000000002"/>
    <n v="0.20699999999999999"/>
    <n v="14"/>
    <n v="435.84471000000002"/>
    <n v="23375.594060000003"/>
    <n v="22939.749350000002"/>
    <n v="15994.720000000001"/>
    <n v="7380.8740600000019"/>
    <n v="6945.0293500000007"/>
    <n v="1.4614569095301451"/>
    <n v="0.2"/>
    <n v="1313.8519999999999"/>
    <n v="16.8"/>
  </r>
  <r>
    <x v="340"/>
    <d v="2024-06-16T00:00:00"/>
    <s v="q2"/>
    <s v="2025"/>
    <s v="Aug"/>
    <d v="2025-08-28T00:00:00"/>
    <d v="2025-08-28T00:00:00"/>
    <d v="2025-08-26T00:00:00"/>
    <x v="1"/>
    <n v="0"/>
    <n v="-2"/>
    <x v="3"/>
    <x v="9"/>
    <s v="Port Harcourt"/>
    <s v="Small Business"/>
    <x v="1"/>
    <x v="3"/>
    <x v="5"/>
    <x v="339"/>
    <n v="521.05999999999995"/>
    <s v="Medium"/>
    <n v="1240.31"/>
    <n v="1240.31"/>
    <n v="0.14599999999999999"/>
    <n v="18"/>
    <n v="181.08525999999998"/>
    <n v="19066.045319999997"/>
    <n v="18884.960059999998"/>
    <n v="9379.0799999999981"/>
    <n v="9686.9653199999993"/>
    <n v="9505.8800599999995"/>
    <n v="2.0328268145702992"/>
    <n v="0.14599999999999999"/>
    <n v="599.21899999999994"/>
    <n v="21.599999999999998"/>
  </r>
  <r>
    <x v="341"/>
    <d v="2024-06-16T00:00:00"/>
    <s v="q2"/>
    <s v="2025"/>
    <s v="Mar"/>
    <d v="2025-03-30T00:00:00"/>
    <d v="2025-04-07T00:00:00"/>
    <d v="2025-04-07T00:00:00"/>
    <x v="0"/>
    <n v="8"/>
    <n v="8"/>
    <x v="2"/>
    <x v="6"/>
    <s v="São Paulo"/>
    <s v="Non-Profit"/>
    <x v="3"/>
    <x v="1"/>
    <x v="6"/>
    <x v="340"/>
    <n v="71.62"/>
    <s v="Low"/>
    <n v="118.37"/>
    <n v="118.37"/>
    <n v="0.156"/>
    <n v="11"/>
    <n v="18.465720000000001"/>
    <n v="1098.9470800000001"/>
    <n v="1080.4813600000002"/>
    <n v="787.82"/>
    <n v="311.12708000000009"/>
    <n v="292.66136000000017"/>
    <n v="1.3949215302987994"/>
    <n v="0.156"/>
    <n v="82.363"/>
    <n v="13.2"/>
  </r>
  <r>
    <x v="342"/>
    <d v="2024-06-19T00:00:00"/>
    <s v="q2"/>
    <s v="2023"/>
    <s v="Jul"/>
    <d v="2023-07-18T00:00:00"/>
    <d v="2023-08-10T00:00:00"/>
    <d v="2023-08-10T00:00:00"/>
    <x v="0"/>
    <n v="23"/>
    <n v="23"/>
    <x v="3"/>
    <x v="11"/>
    <s v="Johannesburg"/>
    <s v="Small Business"/>
    <x v="1"/>
    <x v="1"/>
    <x v="2"/>
    <x v="341"/>
    <n v="1271.56"/>
    <s v="Medium"/>
    <n v="995.47"/>
    <n v="995.47"/>
    <n v="0.192"/>
    <n v="13"/>
    <n v="191.13024000000001"/>
    <n v="10456.416880000001"/>
    <n v="10265.28664"/>
    <n v="16530.28"/>
    <n v="-6073.8631199999982"/>
    <n v="-6264.9933599999986"/>
    <n v="0.63256138915977234"/>
    <n v="0.192"/>
    <n v="1462.2939999999999"/>
    <n v="15.6"/>
  </r>
  <r>
    <x v="343"/>
    <d v="2024-06-23T00:00:00"/>
    <s v="q2"/>
    <s v="2024"/>
    <s v="Sept"/>
    <d v="2024-09-07T00:00:00"/>
    <d v="2024-09-07T00:00:00"/>
    <d v="2024-09-07T00:00:00"/>
    <x v="1"/>
    <n v="0"/>
    <n v="0"/>
    <x v="0"/>
    <x v="4"/>
    <s v="Mumbai"/>
    <s v="Education"/>
    <x v="0"/>
    <x v="11"/>
    <x v="4"/>
    <x v="342"/>
    <n v="1066.6500000000001"/>
    <s v="High"/>
    <n v="2569.77"/>
    <n v="2569.77"/>
    <n v="0.13400000000000001"/>
    <n v="9"/>
    <n v="344.34917999999999"/>
    <n v="20028.787380000002"/>
    <n v="19684.438200000001"/>
    <n v="9599.85"/>
    <n v="10428.937380000001"/>
    <n v="10084.5882"/>
    <n v="2.0863646181971593"/>
    <n v="0.13400000000000001"/>
    <n v="1226.6475"/>
    <n v="10.799999999999999"/>
  </r>
  <r>
    <x v="344"/>
    <d v="2024-06-23T00:00:00"/>
    <s v="q2"/>
    <s v="2024"/>
    <s v="Jan"/>
    <d v="2024-01-28T00:00:00"/>
    <d v="2024-01-30T00:00:00"/>
    <d v="2024-01-30T00:00:00"/>
    <x v="1"/>
    <n v="2"/>
    <n v="2"/>
    <x v="3"/>
    <x v="11"/>
    <s v="Cape Town"/>
    <s v="Consumer"/>
    <x v="3"/>
    <x v="9"/>
    <x v="5"/>
    <x v="343"/>
    <n v="798.45"/>
    <s v="Medium"/>
    <n v="1592.02"/>
    <n v="1592.02"/>
    <n v="6.6000000000000003E-2"/>
    <n v="18"/>
    <n v="105.07332000000001"/>
    <n v="26765.040239999998"/>
    <n v="26659.966919999999"/>
    <n v="14372.1"/>
    <n v="12392.940239999998"/>
    <n v="12287.866919999999"/>
    <n v="1.8622915398584756"/>
    <n v="6.6000000000000003E-2"/>
    <n v="918.21749999999997"/>
    <n v="21.599999999999998"/>
  </r>
  <r>
    <x v="345"/>
    <d v="2024-06-25T00:00:00"/>
    <s v="q2"/>
    <s v="2025"/>
    <s v="Apr"/>
    <d v="2025-04-04T00:00:00"/>
    <d v="2025-04-13T00:00:00"/>
    <d v="2025-04-13T00:00:00"/>
    <x v="0"/>
    <n v="9"/>
    <n v="9"/>
    <x v="1"/>
    <x v="1"/>
    <s v="Munich"/>
    <s v="Consumer"/>
    <x v="4"/>
    <x v="9"/>
    <x v="1"/>
    <x v="344"/>
    <n v="7.02"/>
    <s v="Low"/>
    <n v="6.28"/>
    <n v="6.28"/>
    <n v="0.13400000000000001"/>
    <n v="14"/>
    <n v="0.84152000000000005"/>
    <n v="76.138720000000006"/>
    <n v="75.297200000000004"/>
    <n v="98.28"/>
    <n v="-22.141279999999995"/>
    <n v="-22.982799999999997"/>
    <n v="0.77471225071225081"/>
    <n v="0.13400000000000001"/>
    <n v="8.0729999999999986"/>
    <n v="16.8"/>
  </r>
  <r>
    <x v="346"/>
    <d v="2024-06-29T00:00:00"/>
    <s v="q2"/>
    <s v="2023"/>
    <s v="Jun"/>
    <d v="2023-06-24T00:00:00"/>
    <d v="2023-07-21T00:00:00"/>
    <d v="2023-07-21T00:00:00"/>
    <x v="0"/>
    <n v="27"/>
    <n v="27"/>
    <x v="0"/>
    <x v="0"/>
    <s v="Nagoya"/>
    <s v="Consumer"/>
    <x v="4"/>
    <x v="5"/>
    <x v="1"/>
    <x v="345"/>
    <n v="554.76"/>
    <s v="Medium"/>
    <n v="728.69"/>
    <n v="728.69"/>
    <n v="0.22"/>
    <n v="7"/>
    <n v="160.31180000000001"/>
    <n v="3978.6474000000003"/>
    <n v="3818.3356000000003"/>
    <n v="3883.3199999999997"/>
    <n v="95.32740000000058"/>
    <n v="-64.984399999999368"/>
    <n v="1.024547912610859"/>
    <n v="0.2"/>
    <n v="637.97399999999993"/>
    <n v="8.4"/>
  </r>
  <r>
    <x v="347"/>
    <d v="2024-06-30T00:00:00"/>
    <s v="q2"/>
    <s v="2023"/>
    <s v="Aug"/>
    <d v="2023-08-15T00:00:00"/>
    <d v="2023-08-25T00:00:00"/>
    <d v="2023-08-25T00:00:00"/>
    <x v="0"/>
    <n v="10"/>
    <n v="10"/>
    <x v="3"/>
    <x v="5"/>
    <s v="Nairobi"/>
    <s v="Small Business"/>
    <x v="1"/>
    <x v="0"/>
    <x v="1"/>
    <x v="346"/>
    <n v="91.85"/>
    <s v="Low"/>
    <n v="111.29"/>
    <n v="111.29"/>
    <n v="0"/>
    <n v="6"/>
    <n v="0"/>
    <n v="667.74"/>
    <n v="667.74"/>
    <n v="551.09999999999991"/>
    <n v="116.6400000000001"/>
    <n v="116.6400000000001"/>
    <n v="1.2116494284158956"/>
    <n v="0"/>
    <n v="105.62749999999998"/>
    <n v="7.1999999999999993"/>
  </r>
  <r>
    <x v="348"/>
    <d v="2024-06-30T00:00:00"/>
    <s v="q2"/>
    <s v="2025"/>
    <s v="May"/>
    <d v="2025-05-17T00:00:00"/>
    <d v="2025-05-28T00:00:00"/>
    <d v="2025-05-28T00:00:00"/>
    <x v="0"/>
    <n v="11"/>
    <n v="11"/>
    <x v="0"/>
    <x v="4"/>
    <s v="Bengaluru"/>
    <s v="Corporate"/>
    <x v="0"/>
    <x v="11"/>
    <x v="0"/>
    <x v="347"/>
    <n v="623.4"/>
    <s v="Medium"/>
    <n v="1100.0899999999999"/>
    <n v="1100.0899999999999"/>
    <n v="0.114"/>
    <n v="12"/>
    <n v="125.41025999999999"/>
    <n v="11696.156879999999"/>
    <n v="11570.746619999998"/>
    <n v="7480.7999999999993"/>
    <n v="4215.3568799999994"/>
    <n v="4089.9466199999988"/>
    <n v="1.5634901187038819"/>
    <n v="0.114"/>
    <n v="716.91"/>
    <n v="14.399999999999999"/>
  </r>
  <r>
    <x v="349"/>
    <d v="2024-06-30T00:00:00"/>
    <s v="q2"/>
    <s v="2024"/>
    <s v="Jan"/>
    <d v="2024-01-13T00:00:00"/>
    <d v="2024-02-05T00:00:00"/>
    <d v="2024-02-05T00:00:00"/>
    <x v="0"/>
    <n v="23"/>
    <n v="23"/>
    <x v="1"/>
    <x v="1"/>
    <s v="Frankfurt"/>
    <s v="Education"/>
    <x v="3"/>
    <x v="11"/>
    <x v="0"/>
    <x v="348"/>
    <n v="1017.93"/>
    <s v="Medium"/>
    <n v="1529.14"/>
    <n v="1529.14"/>
    <n v="0.155"/>
    <n v="12"/>
    <n v="237.01670000000001"/>
    <n v="15505.479600000001"/>
    <n v="15268.4629"/>
    <n v="12215.16"/>
    <n v="3290.3196000000007"/>
    <n v="3053.3029000000006"/>
    <n v="1.2693636104643737"/>
    <n v="0.155"/>
    <n v="1170.6194999999998"/>
    <n v="14.399999999999999"/>
  </r>
  <r>
    <x v="350"/>
    <d v="2024-07-09T00:00:00"/>
    <s v="q3"/>
    <s v="2023"/>
    <s v="Jun"/>
    <d v="2023-06-15T00:00:00"/>
    <d v="2023-06-23T00:00:00"/>
    <d v="2023-06-23T00:00:00"/>
    <x v="0"/>
    <n v="8"/>
    <n v="8"/>
    <x v="2"/>
    <x v="10"/>
    <s v="San Francisco"/>
    <s v="Consumer"/>
    <x v="0"/>
    <x v="6"/>
    <x v="3"/>
    <x v="349"/>
    <n v="1097.0899999999999"/>
    <s v="High"/>
    <n v="2182.31"/>
    <n v="2182.31"/>
    <n v="0.112"/>
    <n v="9"/>
    <n v="244.41872000000001"/>
    <n v="17441.021520000002"/>
    <n v="17196.602800000001"/>
    <n v="9873.81"/>
    <n v="7567.2115200000026"/>
    <n v="7322.7928000000011"/>
    <n v="1.766392255876911"/>
    <n v="0.112"/>
    <n v="1261.6534999999999"/>
    <n v="10.799999999999999"/>
  </r>
  <r>
    <x v="351"/>
    <d v="2024-07-09T00:00:00"/>
    <s v="q3"/>
    <s v="2025"/>
    <s v="Mar"/>
    <d v="2025-03-14T00:00:00"/>
    <d v="2025-03-29T00:00:00"/>
    <d v="2025-03-29T00:00:00"/>
    <x v="0"/>
    <n v="15"/>
    <n v="15"/>
    <x v="0"/>
    <x v="0"/>
    <s v="Tokyo"/>
    <s v="Non-Profit"/>
    <x v="3"/>
    <x v="14"/>
    <x v="4"/>
    <x v="350"/>
    <n v="1106.96"/>
    <s v="High"/>
    <n v="2726.62"/>
    <n v="2726.62"/>
    <n v="0.317"/>
    <n v="7"/>
    <n v="864.33853999999997"/>
    <n v="13035.970220000001"/>
    <n v="12171.63168"/>
    <n v="7748.72"/>
    <n v="5287.2502200000008"/>
    <n v="4422.9116800000002"/>
    <n v="1.6823385307508854"/>
    <n v="0.2"/>
    <n v="1273.0039999999999"/>
    <n v="8.4"/>
  </r>
  <r>
    <x v="352"/>
    <d v="2024-07-11T00:00:00"/>
    <s v="q3"/>
    <s v="2023"/>
    <s v="Oct"/>
    <d v="2023-10-30T00:00:00"/>
    <d v="2023-11-14T00:00:00"/>
    <d v="2023-11-14T00:00:00"/>
    <x v="0"/>
    <n v="15"/>
    <n v="15"/>
    <x v="0"/>
    <x v="4"/>
    <s v="Bengaluru"/>
    <s v="Corporate"/>
    <x v="2"/>
    <x v="9"/>
    <x v="0"/>
    <x v="351"/>
    <n v="953.46"/>
    <s v="High"/>
    <n v="2066.75"/>
    <n v="2066.75"/>
    <n v="0.13800000000000001"/>
    <n v="5"/>
    <n v="285.2115"/>
    <n v="8907.6924999999992"/>
    <n v="8622.4809999999998"/>
    <n v="4767.3"/>
    <n v="4140.392499999999"/>
    <n v="3855.1809999999996"/>
    <n v="1.8684984162943383"/>
    <n v="0.13800000000000001"/>
    <n v="1096.479"/>
    <n v="6"/>
  </r>
  <r>
    <x v="353"/>
    <d v="2024-07-13T00:00:00"/>
    <s v="q3"/>
    <s v="2025"/>
    <s v="Jun"/>
    <d v="2025-06-24T00:00:00"/>
    <d v="2025-07-14T00:00:00"/>
    <d v="2025-07-14T00:00:00"/>
    <x v="0"/>
    <n v="20"/>
    <n v="20"/>
    <x v="1"/>
    <x v="1"/>
    <s v="Berlin"/>
    <s v="Corporate"/>
    <x v="3"/>
    <x v="6"/>
    <x v="5"/>
    <x v="352"/>
    <n v="385.08"/>
    <s v="Medium"/>
    <n v="893.19"/>
    <n v="893.19"/>
    <n v="0.151"/>
    <n v="8"/>
    <n v="134.87169"/>
    <n v="6066.54648"/>
    <n v="5931.67479"/>
    <n v="3080.64"/>
    <n v="2985.9064800000001"/>
    <n v="2851.0347900000002"/>
    <n v="1.969248753505765"/>
    <n v="0.151"/>
    <n v="442.84199999999993"/>
    <n v="9.6"/>
  </r>
  <r>
    <x v="354"/>
    <d v="2024-07-13T00:00:00"/>
    <s v="q3"/>
    <s v="2024"/>
    <s v="Jun"/>
    <d v="2024-06-16T00:00:00"/>
    <d v="2024-07-03T00:00:00"/>
    <d v="2024-07-03T00:00:00"/>
    <x v="0"/>
    <n v="17"/>
    <n v="17"/>
    <x v="3"/>
    <x v="11"/>
    <s v="Johannesburg"/>
    <s v="Enterprise"/>
    <x v="4"/>
    <x v="9"/>
    <x v="1"/>
    <x v="353"/>
    <n v="1173.83"/>
    <s v="High"/>
    <n v="2328.9"/>
    <n v="2328.9"/>
    <n v="0.12"/>
    <n v="17"/>
    <n v="279.46800000000002"/>
    <n v="34840.344000000005"/>
    <n v="34560.876000000004"/>
    <n v="19955.11"/>
    <n v="14885.234000000004"/>
    <n v="14605.766000000003"/>
    <n v="1.7459359532470633"/>
    <n v="0.12"/>
    <n v="1349.9044999999999"/>
    <n v="20.399999999999999"/>
  </r>
  <r>
    <x v="355"/>
    <d v="2024-07-15T00:00:00"/>
    <s v="q3"/>
    <s v="2024"/>
    <s v="Mar"/>
    <d v="2024-03-27T00:00:00"/>
    <d v="2024-04-11T00:00:00"/>
    <d v="2024-04-11T00:00:00"/>
    <x v="0"/>
    <n v="15"/>
    <n v="15"/>
    <x v="2"/>
    <x v="10"/>
    <s v="San Francisco"/>
    <s v="Small Business"/>
    <x v="3"/>
    <x v="6"/>
    <x v="4"/>
    <x v="354"/>
    <n v="1338.35"/>
    <s v="High"/>
    <n v="2247.14"/>
    <n v="2247.14"/>
    <n v="0.115"/>
    <n v="40"/>
    <n v="258.42110000000002"/>
    <n v="79548.755999999994"/>
    <n v="79290.334899999987"/>
    <n v="53534"/>
    <n v="26014.755999999994"/>
    <n v="25756.334899999987"/>
    <n v="1.4859482945417863"/>
    <n v="0.115"/>
    <n v="1539.1024999999997"/>
    <n v="48"/>
  </r>
  <r>
    <x v="356"/>
    <d v="2024-07-18T00:00:00"/>
    <s v="q3"/>
    <s v="2024"/>
    <s v="Jan"/>
    <d v="2024-01-25T00:00:00"/>
    <d v="2024-01-27T00:00:00"/>
    <d v="2024-01-27T00:00:00"/>
    <x v="1"/>
    <n v="2"/>
    <n v="2"/>
    <x v="2"/>
    <x v="6"/>
    <s v="São Paulo"/>
    <s v="Non-Profit"/>
    <x v="4"/>
    <x v="0"/>
    <x v="0"/>
    <x v="355"/>
    <n v="1410.97"/>
    <s v="Medium"/>
    <n v="1650.75"/>
    <n v="1650.75"/>
    <n v="0.13500000000000001"/>
    <n v="6"/>
    <n v="222.85125000000002"/>
    <n v="8567.3924999999999"/>
    <n v="8344.5412500000002"/>
    <n v="8465.82"/>
    <n v="101.57250000000022"/>
    <n v="-121.27874999999949"/>
    <n v="1.0119979517636803"/>
    <n v="0.13500000000000001"/>
    <n v="1622.6154999999999"/>
    <n v="7.1999999999999993"/>
  </r>
  <r>
    <x v="357"/>
    <d v="2024-07-19T00:00:00"/>
    <s v="q3"/>
    <s v="2024"/>
    <s v="Mar"/>
    <d v="2024-03-16T00:00:00"/>
    <d v="2024-04-13T00:00:00"/>
    <d v="2024-04-13T00:00:00"/>
    <x v="0"/>
    <n v="28"/>
    <n v="28"/>
    <x v="1"/>
    <x v="8"/>
    <s v="Paris"/>
    <s v="Small Business"/>
    <x v="2"/>
    <x v="8"/>
    <x v="6"/>
    <x v="356"/>
    <n v="287.61"/>
    <s v="Medium"/>
    <n v="628.54"/>
    <n v="628.54"/>
    <n v="0.13500000000000001"/>
    <n v="21"/>
    <n v="84.852900000000005"/>
    <n v="11417.429099999999"/>
    <n v="11332.5762"/>
    <n v="6039.81"/>
    <n v="5377.619099999999"/>
    <n v="5292.7661999999991"/>
    <n v="1.8903622961649453"/>
    <n v="0.13500000000000001"/>
    <n v="330.75149999999996"/>
    <n v="25.2"/>
  </r>
  <r>
    <x v="358"/>
    <d v="2024-07-24T00:00:00"/>
    <s v="q3"/>
    <s v="2023"/>
    <s v="Jul"/>
    <d v="2023-07-24T00:00:00"/>
    <d v="2023-08-13T00:00:00"/>
    <d v="2023-08-13T00:00:00"/>
    <x v="0"/>
    <n v="20"/>
    <n v="20"/>
    <x v="2"/>
    <x v="2"/>
    <s v="Montreal"/>
    <s v="Education"/>
    <x v="3"/>
    <x v="4"/>
    <x v="3"/>
    <x v="357"/>
    <n v="1082.3800000000001"/>
    <s v="Medium"/>
    <n v="1766.55"/>
    <n v="1766.55"/>
    <n v="0.16400000000000001"/>
    <n v="20"/>
    <n v="289.71420000000001"/>
    <n v="29536.716"/>
    <n v="29247.001800000002"/>
    <n v="21647.600000000002"/>
    <n v="7889.1159999999982"/>
    <n v="7599.4017999999996"/>
    <n v="1.3644337478519557"/>
    <n v="0.16400000000000001"/>
    <n v="1244.7370000000001"/>
    <n v="24"/>
  </r>
  <r>
    <x v="359"/>
    <d v="2024-07-25T00:00:00"/>
    <s v="q3"/>
    <s v="2025"/>
    <s v="Feb"/>
    <d v="2025-02-19T00:00:00"/>
    <d v="2025-03-09T00:00:00"/>
    <d v="2025-03-09T00:00:00"/>
    <x v="0"/>
    <n v="18"/>
    <n v="18"/>
    <x v="0"/>
    <x v="4"/>
    <s v="Delhi"/>
    <s v="Small Business"/>
    <x v="3"/>
    <x v="6"/>
    <x v="3"/>
    <x v="358"/>
    <n v="325.87"/>
    <s v="Low"/>
    <n v="538.79"/>
    <n v="538.79"/>
    <n v="0.17399999999999999"/>
    <n v="16"/>
    <n v="93.749459999999985"/>
    <n v="7120.6486400000003"/>
    <n v="7026.8991800000003"/>
    <n v="5213.92"/>
    <n v="1906.7286400000003"/>
    <n v="1812.9791800000003"/>
    <n v="1.3656996348237027"/>
    <n v="0.17399999999999999"/>
    <n v="374.75049999999999"/>
    <n v="19.2"/>
  </r>
  <r>
    <x v="360"/>
    <d v="2024-07-25T00:00:00"/>
    <s v="q3"/>
    <s v="2024"/>
    <s v="Mar"/>
    <d v="2024-03-31T00:00:00"/>
    <d v="2024-04-17T00:00:00"/>
    <d v="2024-04-17T00:00:00"/>
    <x v="0"/>
    <n v="17"/>
    <n v="17"/>
    <x v="1"/>
    <x v="1"/>
    <s v="Frankfurt"/>
    <s v="Education"/>
    <x v="3"/>
    <x v="14"/>
    <x v="3"/>
    <x v="359"/>
    <n v="1025.51"/>
    <s v="Medium"/>
    <n v="1436.54"/>
    <n v="1436.54"/>
    <n v="0.13900000000000001"/>
    <n v="28"/>
    <n v="199.67906000000002"/>
    <n v="34632.106319999999"/>
    <n v="34432.427259999997"/>
    <n v="28714.28"/>
    <n v="5917.8263200000001"/>
    <n v="5718.1472599999979"/>
    <n v="1.2060934949439792"/>
    <n v="0.13900000000000001"/>
    <n v="1179.3364999999999"/>
    <n v="33.6"/>
  </r>
  <r>
    <x v="361"/>
    <d v="2024-07-28T00:00:00"/>
    <s v="q3"/>
    <s v="2023"/>
    <s v="Aug"/>
    <d v="2023-08-03T00:00:00"/>
    <d v="2023-08-14T00:00:00"/>
    <d v="2023-08-14T00:00:00"/>
    <x v="0"/>
    <n v="11"/>
    <n v="11"/>
    <x v="2"/>
    <x v="6"/>
    <s v="Brasília"/>
    <s v="Corporate"/>
    <x v="3"/>
    <x v="5"/>
    <x v="5"/>
    <x v="360"/>
    <n v="232.73"/>
    <s v="Low"/>
    <n v="334.19"/>
    <n v="334.19"/>
    <n v="0.13400000000000001"/>
    <n v="25"/>
    <n v="44.781460000000003"/>
    <n v="7235.2134999999998"/>
    <n v="7190.4320399999997"/>
    <n v="5818.25"/>
    <n v="1416.9634999999998"/>
    <n v="1372.1820399999997"/>
    <n v="1.2435377476045202"/>
    <n v="0.13400000000000001"/>
    <n v="267.63949999999994"/>
    <n v="30"/>
  </r>
  <r>
    <x v="362"/>
    <d v="2024-07-29T00:00:00"/>
    <s v="q3"/>
    <s v="2024"/>
    <s v="Jan"/>
    <d v="2024-01-10T00:00:00"/>
    <d v="2024-01-23T00:00:00"/>
    <d v="2024-01-23T00:00:00"/>
    <x v="0"/>
    <n v="13"/>
    <n v="13"/>
    <x v="1"/>
    <x v="8"/>
    <s v="Marseille"/>
    <s v="Corporate"/>
    <x v="3"/>
    <x v="3"/>
    <x v="6"/>
    <x v="361"/>
    <n v="720"/>
    <s v="Medium"/>
    <n v="907.59"/>
    <n v="907.59"/>
    <n v="0.154"/>
    <n v="10"/>
    <n v="139.76885999999999"/>
    <n v="7678.2113999999992"/>
    <n v="7538.4425399999991"/>
    <n v="7200"/>
    <n v="478.21139999999923"/>
    <n v="338.4425399999991"/>
    <n v="1.0664182499999999"/>
    <n v="0.154"/>
    <n v="827.99999999999989"/>
    <n v="12"/>
  </r>
  <r>
    <x v="363"/>
    <d v="2024-07-31T00:00:00"/>
    <s v="q3"/>
    <s v="2023"/>
    <s v="Dec"/>
    <d v="2023-12-24T00:00:00"/>
    <d v="2024-01-01T00:00:00"/>
    <d v="2024-01-01T00:00:00"/>
    <x v="0"/>
    <n v="8"/>
    <n v="8"/>
    <x v="2"/>
    <x v="6"/>
    <s v="São Paulo"/>
    <s v="Education"/>
    <x v="3"/>
    <x v="4"/>
    <x v="1"/>
    <x v="362"/>
    <n v="526.49"/>
    <s v="Low"/>
    <n v="496.2"/>
    <n v="496.2"/>
    <n v="0"/>
    <n v="14"/>
    <n v="0"/>
    <n v="6946.8"/>
    <n v="6946.8"/>
    <n v="7370.8600000000006"/>
    <n v="-424.0600000000004"/>
    <n v="-424.0600000000004"/>
    <n v="0.94246804307774124"/>
    <n v="0"/>
    <n v="605.46349999999995"/>
    <n v="16.8"/>
  </r>
  <r>
    <x v="364"/>
    <d v="2024-08-03T00:00:00"/>
    <s v="q3"/>
    <s v="2023"/>
    <s v="May"/>
    <d v="2023-05-07T00:00:00"/>
    <d v="2023-05-07T00:00:00"/>
    <d v="2023-05-05T00:00:00"/>
    <x v="1"/>
    <n v="0"/>
    <n v="-2"/>
    <x v="3"/>
    <x v="9"/>
    <s v="Port Harcourt"/>
    <s v="Non-Profit"/>
    <x v="4"/>
    <x v="3"/>
    <x v="2"/>
    <x v="363"/>
    <n v="1269.6500000000001"/>
    <s v="High"/>
    <n v="2462.77"/>
    <n v="2462.77"/>
    <n v="0.107"/>
    <n v="8"/>
    <n v="263.51639"/>
    <n v="17594.028880000002"/>
    <n v="17330.512490000001"/>
    <n v="10157.200000000001"/>
    <n v="7436.8288800000009"/>
    <n v="7173.3124900000003"/>
    <n v="1.7321731264521718"/>
    <n v="0.107"/>
    <n v="1460.0975000000001"/>
    <n v="9.6"/>
  </r>
  <r>
    <x v="365"/>
    <d v="2024-08-04T00:00:00"/>
    <s v="q3"/>
    <s v="2024"/>
    <s v="Oct"/>
    <d v="2024-10-08T00:00:00"/>
    <d v="2024-10-08T00:00:00"/>
    <d v="2024-10-08T00:00:00"/>
    <x v="1"/>
    <n v="0"/>
    <n v="0"/>
    <x v="1"/>
    <x v="7"/>
    <s v="London"/>
    <s v="Corporate"/>
    <x v="2"/>
    <x v="2"/>
    <x v="3"/>
    <x v="364"/>
    <n v="1108.1099999999999"/>
    <s v="High"/>
    <n v="2503.79"/>
    <n v="2503.79"/>
    <n v="0.184"/>
    <n v="19"/>
    <n v="460.69736"/>
    <n v="38818.760160000005"/>
    <n v="38358.062800000007"/>
    <n v="21054.089999999997"/>
    <n v="17764.670160000009"/>
    <n v="17303.97280000001"/>
    <n v="1.8437633808917893"/>
    <n v="0.184"/>
    <n v="1274.3264999999999"/>
    <n v="22.8"/>
  </r>
  <r>
    <x v="366"/>
    <d v="2024-08-07T00:00:00"/>
    <s v="q3"/>
    <s v="2025"/>
    <s v="Sept"/>
    <d v="2025-09-02T00:00:00"/>
    <d v="2025-09-11T00:00:00"/>
    <d v="2025-09-11T00:00:00"/>
    <x v="0"/>
    <n v="9"/>
    <n v="9"/>
    <x v="2"/>
    <x v="2"/>
    <s v="Toronto"/>
    <s v="Corporate"/>
    <x v="0"/>
    <x v="13"/>
    <x v="6"/>
    <x v="365"/>
    <n v="1207.6300000000001"/>
    <s v="Medium"/>
    <n v="921.68"/>
    <n v="921.68"/>
    <n v="0.19600000000000001"/>
    <n v="17"/>
    <n v="180.64928"/>
    <n v="12597.52224"/>
    <n v="12416.872960000001"/>
    <n v="20529.710000000003"/>
    <n v="-7932.1877600000025"/>
    <n v="-8112.8370400000022"/>
    <n v="0.61362397423051751"/>
    <n v="0.19600000000000001"/>
    <n v="1388.7745"/>
    <n v="20.399999999999999"/>
  </r>
  <r>
    <x v="367"/>
    <d v="2024-08-08T00:00:00"/>
    <s v="q3"/>
    <s v="2025"/>
    <s v="Apr"/>
    <d v="2025-04-16T00:00:00"/>
    <d v="2025-04-26T00:00:00"/>
    <d v="2025-04-26T00:00:00"/>
    <x v="0"/>
    <n v="10"/>
    <n v="10"/>
    <x v="3"/>
    <x v="9"/>
    <s v="Port Harcourt"/>
    <s v="Enterprise"/>
    <x v="4"/>
    <x v="9"/>
    <x v="0"/>
    <x v="366"/>
    <n v="1457.44"/>
    <s v="High"/>
    <n v="1996.81"/>
    <n v="1996.81"/>
    <n v="0.126"/>
    <n v="23"/>
    <n v="251.59806"/>
    <n v="40139.874619999995"/>
    <n v="39888.276559999998"/>
    <n v="33521.120000000003"/>
    <n v="6618.7546199999924"/>
    <n v="6367.1565599999958"/>
    <n v="1.1974502826874518"/>
    <n v="0.126"/>
    <n v="1676.056"/>
    <n v="27.599999999999998"/>
  </r>
  <r>
    <x v="368"/>
    <d v="2024-08-10T00:00:00"/>
    <s v="q3"/>
    <s v="2025"/>
    <s v="Jun"/>
    <d v="2025-06-21T00:00:00"/>
    <d v="2025-06-27T00:00:00"/>
    <d v="2025-06-27T00:00:00"/>
    <x v="1"/>
    <n v="6"/>
    <n v="6"/>
    <x v="3"/>
    <x v="11"/>
    <s v="Durban"/>
    <s v="Enterprise"/>
    <x v="0"/>
    <x v="0"/>
    <x v="1"/>
    <x v="367"/>
    <n v="93.91"/>
    <s v="Low"/>
    <n v="99.04"/>
    <n v="99.04"/>
    <n v="5.7000000000000002E-2"/>
    <n v="6"/>
    <n v="5.6452800000000005"/>
    <n v="560.36831999999993"/>
    <n v="554.72303999999997"/>
    <n v="563.46"/>
    <n v="-3.0916800000001103"/>
    <n v="-8.7369600000000673"/>
    <n v="0.99451304440421662"/>
    <n v="5.7000000000000002E-2"/>
    <n v="107.99649999999998"/>
    <n v="7.1999999999999993"/>
  </r>
  <r>
    <x v="369"/>
    <d v="2024-08-12T00:00:00"/>
    <s v="q3"/>
    <s v="2023"/>
    <s v="May"/>
    <d v="2023-05-27T00:00:00"/>
    <d v="2023-06-19T00:00:00"/>
    <d v="2023-06-19T00:00:00"/>
    <x v="0"/>
    <n v="23"/>
    <n v="23"/>
    <x v="1"/>
    <x v="1"/>
    <s v="Berlin"/>
    <s v="Education"/>
    <x v="1"/>
    <x v="6"/>
    <x v="5"/>
    <x v="368"/>
    <n v="1471.58"/>
    <s v="High"/>
    <n v="2576.65"/>
    <n v="2576.65"/>
    <n v="4.0000000000000001E-3"/>
    <n v="7"/>
    <n v="10.306600000000001"/>
    <n v="17964.4038"/>
    <n v="17954.0972"/>
    <n v="10301.06"/>
    <n v="7663.3438000000006"/>
    <n v="7653.0372000000007"/>
    <n v="1.7439374006170241"/>
    <n v="4.0000000000000001E-3"/>
    <n v="1692.3169999999998"/>
    <n v="8.4"/>
  </r>
  <r>
    <x v="370"/>
    <d v="2024-08-12T00:00:00"/>
    <s v="q3"/>
    <s v="2023"/>
    <s v="Aug"/>
    <d v="2023-08-04T00:00:00"/>
    <d v="2023-08-24T00:00:00"/>
    <d v="2023-08-24T00:00:00"/>
    <x v="0"/>
    <n v="20"/>
    <n v="20"/>
    <x v="2"/>
    <x v="6"/>
    <s v="Brasília"/>
    <s v="Non-Profit"/>
    <x v="3"/>
    <x v="4"/>
    <x v="4"/>
    <x v="369"/>
    <n v="582.88"/>
    <s v="Medium"/>
    <n v="1044.1400000000001"/>
    <n v="1044.1400000000001"/>
    <n v="0.216"/>
    <n v="10"/>
    <n v="225.53424000000001"/>
    <n v="8186.057600000001"/>
    <n v="7960.523360000001"/>
    <n v="5828.8"/>
    <n v="2357.2576000000008"/>
    <n v="2131.7233600000009"/>
    <n v="1.4044155915454297"/>
    <n v="0.2"/>
    <n v="670.3119999999999"/>
    <n v="12"/>
  </r>
  <r>
    <x v="371"/>
    <d v="2024-08-14T00:00:00"/>
    <s v="q3"/>
    <s v="2023"/>
    <s v="May"/>
    <d v="2023-05-20T00:00:00"/>
    <d v="2023-06-07T00:00:00"/>
    <d v="2023-06-07T00:00:00"/>
    <x v="0"/>
    <n v="18"/>
    <n v="18"/>
    <x v="3"/>
    <x v="9"/>
    <s v="Port Harcourt"/>
    <s v="Enterprise"/>
    <x v="0"/>
    <x v="2"/>
    <x v="2"/>
    <x v="370"/>
    <n v="1120.06"/>
    <s v="High"/>
    <n v="2068.21"/>
    <n v="2068.21"/>
    <n v="7.8E-2"/>
    <n v="12"/>
    <n v="161.32038"/>
    <n v="22882.675440000003"/>
    <n v="22721.355060000002"/>
    <n v="13440.72"/>
    <n v="9441.9554400000034"/>
    <n v="9280.6350600000023"/>
    <n v="1.7024888130992986"/>
    <n v="7.8E-2"/>
    <n v="1288.0689999999997"/>
    <n v="14.399999999999999"/>
  </r>
  <r>
    <x v="372"/>
    <d v="2024-08-16T00:00:00"/>
    <s v="q3"/>
    <s v="2023"/>
    <s v="Oct"/>
    <d v="2023-10-11T00:00:00"/>
    <d v="2023-10-13T00:00:00"/>
    <d v="2023-10-13T00:00:00"/>
    <x v="1"/>
    <n v="2"/>
    <n v="2"/>
    <x v="2"/>
    <x v="6"/>
    <s v="Brasília"/>
    <s v="Consumer"/>
    <x v="0"/>
    <x v="3"/>
    <x v="5"/>
    <x v="371"/>
    <n v="715.94"/>
    <s v="Low"/>
    <n v="550.07000000000005"/>
    <n v="550.07000000000005"/>
    <n v="0.14000000000000001"/>
    <n v="16"/>
    <n v="77.009800000000013"/>
    <n v="7568.9632000000001"/>
    <n v="7491.9534000000003"/>
    <n v="11455.04"/>
    <n v="-3886.0768000000007"/>
    <n v="-3963.0866000000005"/>
    <n v="0.66075397379668688"/>
    <n v="0.14000000000000001"/>
    <n v="823.33100000000002"/>
    <n v="19.2"/>
  </r>
  <r>
    <x v="373"/>
    <d v="2024-08-17T00:00:00"/>
    <s v="q3"/>
    <s v="2025"/>
    <s v="Jun"/>
    <d v="2025-06-27T00:00:00"/>
    <d v="2025-07-05T00:00:00"/>
    <d v="2025-07-05T00:00:00"/>
    <x v="0"/>
    <n v="8"/>
    <n v="8"/>
    <x v="1"/>
    <x v="1"/>
    <s v="Munich"/>
    <s v="Small Business"/>
    <x v="3"/>
    <x v="12"/>
    <x v="3"/>
    <x v="372"/>
    <n v="314.93"/>
    <s v="Medium"/>
    <n v="687.95"/>
    <n v="687.95"/>
    <n v="0.20499999999999999"/>
    <n v="8"/>
    <n v="141.02975000000001"/>
    <n v="4375.3620000000001"/>
    <n v="4234.3322500000004"/>
    <n v="2519.44"/>
    <n v="1855.922"/>
    <n v="1714.8922500000003"/>
    <n v="1.73664068205633"/>
    <n v="0.2"/>
    <n v="362.16949999999997"/>
    <n v="9.6"/>
  </r>
  <r>
    <x v="374"/>
    <d v="2024-08-18T00:00:00"/>
    <s v="q3"/>
    <s v="2023"/>
    <s v="Apr"/>
    <d v="2023-04-19T00:00:00"/>
    <d v="2023-05-07T00:00:00"/>
    <d v="2023-05-07T00:00:00"/>
    <x v="0"/>
    <n v="18"/>
    <n v="18"/>
    <x v="1"/>
    <x v="7"/>
    <s v="London"/>
    <s v="Non-Profit"/>
    <x v="3"/>
    <x v="14"/>
    <x v="4"/>
    <x v="373"/>
    <n v="516.96"/>
    <s v="Medium"/>
    <n v="745.38"/>
    <n v="745.38"/>
    <n v="0.19700000000000001"/>
    <n v="4"/>
    <n v="146.83986000000002"/>
    <n v="2394.1605599999998"/>
    <n v="2247.3206999999998"/>
    <n v="2067.84"/>
    <n v="326.32055999999966"/>
    <n v="179.48069999999962"/>
    <n v="1.1578074512534817"/>
    <n v="0.19700000000000001"/>
    <n v="594.50400000000002"/>
    <n v="4.8"/>
  </r>
  <r>
    <x v="375"/>
    <d v="2024-08-19T00:00:00"/>
    <s v="q3"/>
    <s v="2024"/>
    <s v="Apr"/>
    <d v="2024-04-29T00:00:00"/>
    <d v="2024-05-19T00:00:00"/>
    <d v="2024-05-19T00:00:00"/>
    <x v="0"/>
    <n v="20"/>
    <n v="20"/>
    <x v="1"/>
    <x v="1"/>
    <s v="Frankfurt"/>
    <s v="Enterprise"/>
    <x v="4"/>
    <x v="4"/>
    <x v="0"/>
    <x v="374"/>
    <n v="668.97"/>
    <s v="Medium"/>
    <n v="1667.44"/>
    <n v="1667.44"/>
    <n v="3.4000000000000002E-2"/>
    <n v="15"/>
    <n v="56.692960000000006"/>
    <n v="24161.205600000001"/>
    <n v="24104.512640000001"/>
    <n v="10034.550000000001"/>
    <n v="14126.6556"/>
    <n v="14069.96264"/>
    <n v="2.4078016054531592"/>
    <n v="3.4000000000000002E-2"/>
    <n v="769.31549999999993"/>
    <n v="18"/>
  </r>
  <r>
    <x v="376"/>
    <d v="2024-08-19T00:00:00"/>
    <s v="q3"/>
    <s v="2023"/>
    <s v="Oct"/>
    <d v="2023-10-05T00:00:00"/>
    <d v="2023-10-06T00:00:00"/>
    <d v="2023-10-06T00:00:00"/>
    <x v="1"/>
    <n v="1"/>
    <n v="1"/>
    <x v="0"/>
    <x v="4"/>
    <s v="Bengaluru"/>
    <s v="Non-Profit"/>
    <x v="2"/>
    <x v="7"/>
    <x v="2"/>
    <x v="375"/>
    <n v="1470.26"/>
    <s v="High"/>
    <n v="2562.5500000000002"/>
    <n v="2562.5500000000002"/>
    <n v="0.17299999999999999"/>
    <n v="9"/>
    <n v="443.32114999999999"/>
    <n v="19073.059649999999"/>
    <n v="18629.738499999999"/>
    <n v="13232.34"/>
    <n v="5840.7196499999991"/>
    <n v="5397.3984999999993"/>
    <n v="1.441397337885816"/>
    <n v="0.17299999999999999"/>
    <n v="1690.7989999999998"/>
    <n v="10.799999999999999"/>
  </r>
  <r>
    <x v="377"/>
    <d v="2024-08-22T00:00:00"/>
    <s v="q3"/>
    <s v="2024"/>
    <s v="Oct"/>
    <d v="2024-10-27T00:00:00"/>
    <d v="2024-11-20T00:00:00"/>
    <d v="2024-11-20T00:00:00"/>
    <x v="0"/>
    <n v="24"/>
    <n v="24"/>
    <x v="0"/>
    <x v="0"/>
    <s v="Nagoya"/>
    <s v="Non-Profit"/>
    <x v="2"/>
    <x v="14"/>
    <x v="3"/>
    <x v="376"/>
    <n v="317.25"/>
    <s v="Medium"/>
    <n v="758.92"/>
    <n v="758.92"/>
    <n v="5.2999999999999999E-2"/>
    <n v="9"/>
    <n v="40.222759999999994"/>
    <n v="6468.2751599999992"/>
    <n v="6428.0523999999996"/>
    <n v="2855.25"/>
    <n v="3613.0251599999992"/>
    <n v="3572.8023999999996"/>
    <n v="2.2653971315996846"/>
    <n v="5.2999999999999999E-2"/>
    <n v="364.83749999999998"/>
    <n v="10.799999999999999"/>
  </r>
  <r>
    <x v="378"/>
    <d v="2024-08-23T00:00:00"/>
    <s v="q3"/>
    <s v="2024"/>
    <s v="Jul"/>
    <d v="2024-07-29T00:00:00"/>
    <d v="2024-07-31T00:00:00"/>
    <d v="2024-07-31T00:00:00"/>
    <x v="1"/>
    <n v="2"/>
    <n v="2"/>
    <x v="2"/>
    <x v="10"/>
    <s v="New York"/>
    <s v="Education"/>
    <x v="4"/>
    <x v="7"/>
    <x v="6"/>
    <x v="377"/>
    <n v="798.97"/>
    <s v="Medium"/>
    <n v="1814.06"/>
    <n v="1814.06"/>
    <n v="0.122"/>
    <n v="16"/>
    <n v="221.31531999999999"/>
    <n v="25483.91488"/>
    <n v="25262.599559999999"/>
    <n v="12783.52"/>
    <n v="12700.39488"/>
    <n v="12479.079559999998"/>
    <n v="1.9934974780029286"/>
    <n v="0.122"/>
    <n v="918.81549999999993"/>
    <n v="19.2"/>
  </r>
  <r>
    <x v="379"/>
    <d v="2024-08-27T00:00:00"/>
    <s v="q3"/>
    <s v="2023"/>
    <s v="Mar"/>
    <d v="2023-03-04T00:00:00"/>
    <d v="2023-03-24T00:00:00"/>
    <d v="2023-03-24T00:00:00"/>
    <x v="0"/>
    <n v="20"/>
    <n v="20"/>
    <x v="2"/>
    <x v="2"/>
    <s v="Montreal"/>
    <s v="Consumer"/>
    <x v="0"/>
    <x v="7"/>
    <x v="0"/>
    <x v="378"/>
    <n v="481.71"/>
    <s v="Medium"/>
    <n v="912.45"/>
    <n v="912.45"/>
    <n v="0.20300000000000001"/>
    <n v="24"/>
    <n v="185.22735000000003"/>
    <n v="17453.3436"/>
    <n v="17268.116249999999"/>
    <n v="11561.039999999999"/>
    <n v="5892.3036000000011"/>
    <n v="5707.0762500000001"/>
    <n v="1.5096689917170083"/>
    <n v="0.2"/>
    <n v="553.96649999999988"/>
    <n v="28.799999999999997"/>
  </r>
  <r>
    <x v="380"/>
    <d v="2024-08-27T00:00:00"/>
    <s v="q3"/>
    <s v="2024"/>
    <s v="Mar"/>
    <d v="2024-03-15T00:00:00"/>
    <d v="2024-04-09T00:00:00"/>
    <d v="2024-04-09T00:00:00"/>
    <x v="0"/>
    <n v="25"/>
    <n v="25"/>
    <x v="2"/>
    <x v="2"/>
    <s v="Vancouver"/>
    <s v="Consumer"/>
    <x v="2"/>
    <x v="9"/>
    <x v="3"/>
    <x v="379"/>
    <n v="648.64"/>
    <s v="Medium"/>
    <n v="815.19"/>
    <n v="815.19"/>
    <n v="0.22500000000000001"/>
    <n v="28"/>
    <n v="183.41775000000001"/>
    <n v="17689.623"/>
    <n v="17506.205249999999"/>
    <n v="18161.919999999998"/>
    <n v="-472.29699999999866"/>
    <n v="-655.71474999999919"/>
    <n v="0.97399520535273809"/>
    <n v="0.2"/>
    <n v="745.93599999999992"/>
    <n v="33.6"/>
  </r>
  <r>
    <x v="381"/>
    <d v="2024-08-28T00:00:00"/>
    <s v="q3"/>
    <s v="2024"/>
    <s v="Sept"/>
    <d v="2024-09-02T00:00:00"/>
    <d v="2024-09-08T00:00:00"/>
    <d v="2024-09-08T00:00:00"/>
    <x v="1"/>
    <n v="6"/>
    <n v="6"/>
    <x v="2"/>
    <x v="10"/>
    <s v="Austin"/>
    <s v="Consumer"/>
    <x v="3"/>
    <x v="14"/>
    <x v="2"/>
    <x v="380"/>
    <n v="462.94"/>
    <s v="Medium"/>
    <n v="1015.7"/>
    <n v="1015.7"/>
    <n v="0.14299999999999999"/>
    <n v="14"/>
    <n v="145.24510000000001"/>
    <n v="12186.368600000002"/>
    <n v="12041.123500000002"/>
    <n v="6481.16"/>
    <n v="5705.2086000000018"/>
    <n v="5559.9635000000017"/>
    <n v="1.8802758456819462"/>
    <n v="0.14299999999999999"/>
    <n v="532.38099999999997"/>
    <n v="16.8"/>
  </r>
  <r>
    <x v="382"/>
    <d v="2024-08-30T00:00:00"/>
    <s v="q3"/>
    <s v="2025"/>
    <s v="Sept"/>
    <d v="2025-09-12T00:00:00"/>
    <d v="2025-09-30T00:00:00"/>
    <d v="2025-09-30T00:00:00"/>
    <x v="0"/>
    <n v="18"/>
    <n v="18"/>
    <x v="0"/>
    <x v="0"/>
    <s v="Nagoya"/>
    <s v="Non-Profit"/>
    <x v="4"/>
    <x v="9"/>
    <x v="3"/>
    <x v="381"/>
    <n v="1212.99"/>
    <s v="Medium"/>
    <n v="1653.64"/>
    <n v="1653.64"/>
    <n v="0.107"/>
    <n v="8"/>
    <n v="176.93948"/>
    <n v="11813.604160000001"/>
    <n v="11636.664680000002"/>
    <n v="9703.92"/>
    <n v="2109.6841600000007"/>
    <n v="1932.7446800000016"/>
    <n v="1.2174053537127265"/>
    <n v="0.107"/>
    <n v="1394.9385"/>
    <n v="9.6"/>
  </r>
  <r>
    <x v="383"/>
    <d v="2024-08-31T00:00:00"/>
    <s v="q3"/>
    <s v="2024"/>
    <s v="Nov"/>
    <d v="2024-11-08T00:00:00"/>
    <d v="2024-11-08T00:00:00"/>
    <d v="2024-11-08T00:00:00"/>
    <x v="1"/>
    <n v="0"/>
    <n v="0"/>
    <x v="3"/>
    <x v="5"/>
    <s v="Nakuru"/>
    <s v="Enterprise"/>
    <x v="4"/>
    <x v="13"/>
    <x v="4"/>
    <x v="382"/>
    <n v="803.28"/>
    <s v="Medium"/>
    <n v="1009"/>
    <n v="1009"/>
    <n v="0.11"/>
    <n v="4"/>
    <n v="110.99"/>
    <n v="3592.04"/>
    <n v="3481.05"/>
    <n v="3213.12"/>
    <n v="378.92000000000007"/>
    <n v="267.93000000000029"/>
    <n v="1.117928991136341"/>
    <n v="0.11"/>
    <n v="923.77199999999993"/>
    <n v="4.8"/>
  </r>
  <r>
    <x v="384"/>
    <d v="2024-09-02T00:00:00"/>
    <s v="q3"/>
    <s v="2025"/>
    <s v="Apr"/>
    <d v="2025-04-22T00:00:00"/>
    <d v="2025-05-02T00:00:00"/>
    <d v="2025-05-02T00:00:00"/>
    <x v="0"/>
    <n v="10"/>
    <n v="10"/>
    <x v="1"/>
    <x v="1"/>
    <s v="Berlin"/>
    <s v="Corporate"/>
    <x v="4"/>
    <x v="4"/>
    <x v="3"/>
    <x v="383"/>
    <n v="20.149999999999999"/>
    <s v="Low"/>
    <n v="39.74"/>
    <n v="39.74"/>
    <n v="0.151"/>
    <n v="18"/>
    <n v="6.0007400000000004"/>
    <n v="607.30668000000003"/>
    <n v="601.30594000000008"/>
    <n v="362.7"/>
    <n v="244.60668000000004"/>
    <n v="238.60594000000009"/>
    <n v="1.6744049627791564"/>
    <n v="0.151"/>
    <n v="23.172499999999996"/>
    <n v="21.599999999999998"/>
  </r>
  <r>
    <x v="385"/>
    <d v="2024-09-03T00:00:00"/>
    <s v="q3"/>
    <s v="2024"/>
    <s v="Mar"/>
    <d v="2024-03-06T00:00:00"/>
    <d v="2024-03-26T00:00:00"/>
    <d v="2024-03-26T00:00:00"/>
    <x v="0"/>
    <n v="20"/>
    <n v="20"/>
    <x v="3"/>
    <x v="9"/>
    <s v="Port Harcourt"/>
    <s v="Consumer"/>
    <x v="4"/>
    <x v="7"/>
    <x v="1"/>
    <x v="384"/>
    <n v="65.64"/>
    <s v="Low"/>
    <n v="151.88"/>
    <n v="151.88"/>
    <n v="0.16700000000000001"/>
    <n v="23"/>
    <n v="25.363960000000002"/>
    <n v="2909.8689199999999"/>
    <n v="2884.5049599999998"/>
    <n v="1509.72"/>
    <n v="1400.1489199999999"/>
    <n v="1374.7849599999997"/>
    <n v="1.9274229128580134"/>
    <n v="0.16700000000000001"/>
    <n v="75.48599999999999"/>
    <n v="27.599999999999998"/>
  </r>
  <r>
    <x v="386"/>
    <d v="2024-09-03T00:00:00"/>
    <s v="q3"/>
    <s v="2024"/>
    <s v="Feb"/>
    <d v="2024-02-16T00:00:00"/>
    <d v="2024-03-04T00:00:00"/>
    <d v="2024-03-04T00:00:00"/>
    <x v="0"/>
    <n v="17"/>
    <n v="17"/>
    <x v="2"/>
    <x v="2"/>
    <s v="Montreal"/>
    <s v="Non-Profit"/>
    <x v="1"/>
    <x v="10"/>
    <x v="0"/>
    <x v="385"/>
    <n v="1350.98"/>
    <s v="High"/>
    <n v="2210.4"/>
    <n v="2210.4"/>
    <n v="0.26300000000000001"/>
    <n v="6"/>
    <n v="581.3352000000001"/>
    <n v="9774.3888000000006"/>
    <n v="9193.0536000000011"/>
    <n v="8105.88"/>
    <n v="1668.5088000000005"/>
    <n v="1087.173600000001"/>
    <n v="1.2058393166442138"/>
    <n v="0.2"/>
    <n v="1553.627"/>
    <n v="7.1999999999999993"/>
  </r>
  <r>
    <x v="387"/>
    <d v="2024-09-05T00:00:00"/>
    <s v="q3"/>
    <s v="2023"/>
    <s v="Apr"/>
    <d v="2023-04-19T00:00:00"/>
    <d v="2023-04-28T00:00:00"/>
    <d v="2023-04-28T00:00:00"/>
    <x v="0"/>
    <n v="9"/>
    <n v="9"/>
    <x v="2"/>
    <x v="6"/>
    <s v="Rio de Janeiro"/>
    <s v="Corporate"/>
    <x v="0"/>
    <x v="13"/>
    <x v="1"/>
    <x v="386"/>
    <n v="1013.54"/>
    <s v="Medium"/>
    <n v="927.93"/>
    <n v="927.93"/>
    <n v="0.17499999999999999"/>
    <n v="16"/>
    <n v="162.38774999999998"/>
    <n v="12248.675999999999"/>
    <n v="12086.28825"/>
    <n v="16216.64"/>
    <n v="-3967.9639999999999"/>
    <n v="-4130.3517499999998"/>
    <n v="0.75531528109398738"/>
    <n v="0.17499999999999999"/>
    <n v="1165.5709999999999"/>
    <n v="19.2"/>
  </r>
  <r>
    <x v="388"/>
    <d v="2024-09-06T00:00:00"/>
    <s v="q3"/>
    <s v="2025"/>
    <s v="Aug"/>
    <d v="2025-08-02T00:00:00"/>
    <d v="2025-08-08T00:00:00"/>
    <d v="2025-08-08T00:00:00"/>
    <x v="1"/>
    <n v="6"/>
    <n v="6"/>
    <x v="0"/>
    <x v="0"/>
    <s v="Osaka"/>
    <s v="Consumer"/>
    <x v="3"/>
    <x v="0"/>
    <x v="0"/>
    <x v="387"/>
    <n v="1225.94"/>
    <s v="Medium"/>
    <n v="1793.08"/>
    <n v="1793.08"/>
    <n v="0.13600000000000001"/>
    <n v="22"/>
    <n v="243.85888"/>
    <n v="34082.864639999993"/>
    <n v="33839.005759999993"/>
    <n v="26970.68"/>
    <n v="7112.1846399999922"/>
    <n v="6868.3257599999924"/>
    <n v="1.2637006052498487"/>
    <n v="0.13600000000000001"/>
    <n v="1409.8309999999999"/>
    <n v="26.4"/>
  </r>
  <r>
    <x v="389"/>
    <d v="2024-09-06T00:00:00"/>
    <s v="q3"/>
    <s v="2024"/>
    <s v="Dec"/>
    <d v="2024-12-04T00:00:00"/>
    <d v="2024-12-12T00:00:00"/>
    <d v="2024-12-12T00:00:00"/>
    <x v="0"/>
    <n v="8"/>
    <n v="8"/>
    <x v="1"/>
    <x v="1"/>
    <s v="Frankfurt"/>
    <s v="Enterprise"/>
    <x v="4"/>
    <x v="11"/>
    <x v="6"/>
    <x v="388"/>
    <n v="72.06"/>
    <s v="Low"/>
    <n v="122.74"/>
    <n v="122.74"/>
    <n v="0.23799999999999999"/>
    <n v="8"/>
    <n v="29.212119999999999"/>
    <n v="748.22303999999997"/>
    <n v="719.01091999999994"/>
    <n v="576.48"/>
    <n v="171.74303999999995"/>
    <n v="142.53091999999992"/>
    <n v="1.2979167360532888"/>
    <n v="0.2"/>
    <n v="82.869"/>
    <n v="9.6"/>
  </r>
  <r>
    <x v="390"/>
    <d v="2024-09-07T00:00:00"/>
    <s v="q3"/>
    <s v="2023"/>
    <s v="Sept"/>
    <d v="2023-09-19T00:00:00"/>
    <d v="2023-10-08T00:00:00"/>
    <d v="2023-10-08T00:00:00"/>
    <x v="0"/>
    <n v="19"/>
    <n v="19"/>
    <x v="0"/>
    <x v="4"/>
    <s v="Bengaluru"/>
    <s v="Education"/>
    <x v="3"/>
    <x v="5"/>
    <x v="6"/>
    <x v="389"/>
    <n v="385.32"/>
    <s v="Medium"/>
    <n v="606.76"/>
    <n v="606.76"/>
    <n v="8.5999999999999993E-2"/>
    <n v="8"/>
    <n v="52.181359999999998"/>
    <n v="4436.6291200000005"/>
    <n v="4384.4477600000009"/>
    <n v="3082.56"/>
    <n v="1354.0691200000006"/>
    <n v="1301.887760000001"/>
    <n v="1.4392677255268351"/>
    <n v="8.5999999999999993E-2"/>
    <n v="443.11799999999994"/>
    <n v="9.6"/>
  </r>
  <r>
    <x v="391"/>
    <d v="2024-09-07T00:00:00"/>
    <s v="q3"/>
    <s v="2025"/>
    <s v="May"/>
    <d v="2025-05-16T00:00:00"/>
    <d v="2025-05-27T00:00:00"/>
    <d v="2025-05-27T00:00:00"/>
    <x v="0"/>
    <n v="11"/>
    <n v="11"/>
    <x v="0"/>
    <x v="3"/>
    <s v="Beijing"/>
    <s v="Enterprise"/>
    <x v="2"/>
    <x v="9"/>
    <x v="1"/>
    <x v="390"/>
    <n v="918.12"/>
    <s v="Medium"/>
    <n v="1337.69"/>
    <n v="1337.69"/>
    <n v="9.5000000000000001E-2"/>
    <n v="8"/>
    <n v="127.08055"/>
    <n v="9684.8756000000012"/>
    <n v="9557.7950500000006"/>
    <n v="7344.96"/>
    <n v="2339.9156000000012"/>
    <n v="2212.8350500000006"/>
    <n v="1.31857431490437"/>
    <n v="9.5000000000000001E-2"/>
    <n v="1055.838"/>
    <n v="9.6"/>
  </r>
  <r>
    <x v="392"/>
    <d v="2024-09-09T00:00:00"/>
    <s v="q3"/>
    <s v="2025"/>
    <s v="Jul"/>
    <d v="2025-07-17T00:00:00"/>
    <d v="2025-07-23T00:00:00"/>
    <d v="2025-07-23T00:00:00"/>
    <x v="1"/>
    <n v="6"/>
    <n v="6"/>
    <x v="2"/>
    <x v="2"/>
    <s v="Vancouver"/>
    <s v="Consumer"/>
    <x v="2"/>
    <x v="14"/>
    <x v="2"/>
    <x v="391"/>
    <n v="1364.89"/>
    <s v="High"/>
    <n v="2757.54"/>
    <n v="2757.54"/>
    <n v="0.17199999999999999"/>
    <n v="61"/>
    <n v="474.29687999999993"/>
    <n v="139277.83032000001"/>
    <n v="138803.53344"/>
    <n v="83258.290000000008"/>
    <n v="56019.54032"/>
    <n v="55545.243439999991"/>
    <n v="1.672840390068064"/>
    <n v="0.17199999999999999"/>
    <n v="1569.6234999999999"/>
    <n v="73.2"/>
  </r>
  <r>
    <x v="393"/>
    <d v="2024-09-09T00:00:00"/>
    <s v="q3"/>
    <s v="2023"/>
    <s v="Nov"/>
    <d v="2023-11-28T00:00:00"/>
    <d v="2023-12-07T00:00:00"/>
    <d v="2023-12-07T00:00:00"/>
    <x v="0"/>
    <n v="9"/>
    <n v="9"/>
    <x v="0"/>
    <x v="4"/>
    <s v="Delhi"/>
    <s v="Enterprise"/>
    <x v="4"/>
    <x v="1"/>
    <x v="1"/>
    <x v="392"/>
    <n v="699.33"/>
    <s v="Medium"/>
    <n v="873.75"/>
    <n v="873.75"/>
    <n v="0.23499999999999999"/>
    <n v="10"/>
    <n v="205.33124999999998"/>
    <n v="6684.1875"/>
    <n v="6478.8562499999998"/>
    <n v="6993.3"/>
    <n v="-309.11250000000018"/>
    <n v="-514.44375000000036"/>
    <n v="0.95579876453176604"/>
    <n v="0.2"/>
    <n v="804.22950000000003"/>
    <n v="12"/>
  </r>
  <r>
    <x v="394"/>
    <d v="2024-09-09T00:00:00"/>
    <s v="q3"/>
    <s v="2024"/>
    <s v="Mar"/>
    <d v="2024-03-30T00:00:00"/>
    <d v="2024-04-24T00:00:00"/>
    <d v="2024-04-24T00:00:00"/>
    <x v="0"/>
    <n v="25"/>
    <n v="25"/>
    <x v="2"/>
    <x v="10"/>
    <s v="Austin"/>
    <s v="Non-Profit"/>
    <x v="2"/>
    <x v="12"/>
    <x v="0"/>
    <x v="393"/>
    <n v="160.82"/>
    <s v="Low"/>
    <n v="258.52"/>
    <n v="258.52"/>
    <n v="0.13"/>
    <n v="17"/>
    <n v="33.607599999999998"/>
    <n v="3823.5108"/>
    <n v="3789.9032000000002"/>
    <n v="2733.94"/>
    <n v="1089.5708"/>
    <n v="1055.9632000000001"/>
    <n v="1.3985350080835717"/>
    <n v="0.13"/>
    <n v="184.94299999999998"/>
    <n v="20.399999999999999"/>
  </r>
  <r>
    <x v="395"/>
    <d v="2024-09-10T00:00:00"/>
    <s v="q3"/>
    <s v="2024"/>
    <s v="Sept"/>
    <d v="2024-09-13T00:00:00"/>
    <d v="2024-10-02T00:00:00"/>
    <d v="2024-10-02T00:00:00"/>
    <x v="0"/>
    <n v="19"/>
    <n v="19"/>
    <x v="3"/>
    <x v="5"/>
    <s v="Mombasa"/>
    <s v="Small Business"/>
    <x v="1"/>
    <x v="13"/>
    <x v="1"/>
    <x v="394"/>
    <n v="1338.99"/>
    <s v="Medium"/>
    <n v="1765.76"/>
    <n v="1765.76"/>
    <n v="0.126"/>
    <n v="24"/>
    <n v="222.48576"/>
    <n v="37038.581760000001"/>
    <n v="36816.095999999998"/>
    <n v="32135.760000000002"/>
    <n v="4902.8217599999989"/>
    <n v="4680.3359999999957"/>
    <n v="1.152565919088268"/>
    <n v="0.126"/>
    <n v="1539.8384999999998"/>
    <n v="28.799999999999997"/>
  </r>
  <r>
    <x v="396"/>
    <d v="2024-09-13T00:00:00"/>
    <s v="q3"/>
    <s v="2024"/>
    <s v="Jan"/>
    <d v="2024-01-11T00:00:00"/>
    <d v="2024-02-02T00:00:00"/>
    <d v="2024-02-02T00:00:00"/>
    <x v="0"/>
    <n v="22"/>
    <n v="22"/>
    <x v="0"/>
    <x v="0"/>
    <s v="Nagoya"/>
    <s v="Small Business"/>
    <x v="2"/>
    <x v="10"/>
    <x v="6"/>
    <x v="395"/>
    <n v="1237.68"/>
    <s v="Medium"/>
    <n v="1432.8"/>
    <n v="1432.8"/>
    <n v="6.8000000000000005E-2"/>
    <n v="13"/>
    <n v="97.430400000000006"/>
    <n v="17359.804799999998"/>
    <n v="17262.374399999997"/>
    <n v="16089.84"/>
    <n v="1269.9647999999979"/>
    <n v="1172.5343999999968"/>
    <n v="1.0789296102385106"/>
    <n v="6.8000000000000005E-2"/>
    <n v="1423.3319999999999"/>
    <n v="15.6"/>
  </r>
  <r>
    <x v="397"/>
    <d v="2024-09-14T00:00:00"/>
    <s v="q3"/>
    <s v="2023"/>
    <s v="Mar"/>
    <d v="2023-03-14T00:00:00"/>
    <d v="2023-03-30T00:00:00"/>
    <d v="2023-03-30T00:00:00"/>
    <x v="0"/>
    <n v="16"/>
    <n v="16"/>
    <x v="3"/>
    <x v="11"/>
    <s v="Cape Town"/>
    <s v="Consumer"/>
    <x v="0"/>
    <x v="8"/>
    <x v="2"/>
    <x v="396"/>
    <n v="1309.77"/>
    <s v="Medium"/>
    <n v="1589.07"/>
    <n v="1589.07"/>
    <n v="0.10199999999999999"/>
    <n v="10"/>
    <n v="162.08514"/>
    <n v="14269.848599999999"/>
    <n v="14107.76346"/>
    <n v="13097.7"/>
    <n v="1172.1485999999986"/>
    <n v="1010.0634599999994"/>
    <n v="1.0894927048260381"/>
    <n v="0.10199999999999999"/>
    <n v="1506.2354999999998"/>
    <n v="12"/>
  </r>
  <r>
    <x v="398"/>
    <d v="2024-09-19T00:00:00"/>
    <s v="q3"/>
    <s v="2024"/>
    <s v="Sept"/>
    <d v="2024-09-05T00:00:00"/>
    <d v="2024-09-25T00:00:00"/>
    <d v="2024-09-25T00:00:00"/>
    <x v="0"/>
    <n v="20"/>
    <n v="20"/>
    <x v="0"/>
    <x v="0"/>
    <s v="Osaka"/>
    <s v="Enterprise"/>
    <x v="0"/>
    <x v="10"/>
    <x v="3"/>
    <x v="397"/>
    <n v="195.54"/>
    <s v="Low"/>
    <n v="405.97"/>
    <n v="405.97"/>
    <n v="0.187"/>
    <n v="16"/>
    <n v="75.916390000000007"/>
    <n v="5280.8577599999999"/>
    <n v="5204.9413699999996"/>
    <n v="3128.64"/>
    <n v="2152.21776"/>
    <n v="2076.3013699999997"/>
    <n v="1.6879084074869593"/>
    <n v="0.187"/>
    <n v="224.87099999999998"/>
    <n v="19.2"/>
  </r>
  <r>
    <x v="399"/>
    <d v="2024-09-22T00:00:00"/>
    <s v="q3"/>
    <s v="2024"/>
    <s v="Sept"/>
    <d v="2024-09-03T00:00:00"/>
    <d v="2024-09-08T00:00:00"/>
    <d v="2024-09-08T00:00:00"/>
    <x v="1"/>
    <n v="5"/>
    <n v="5"/>
    <x v="3"/>
    <x v="9"/>
    <s v="Lagos"/>
    <s v="Small Business"/>
    <x v="3"/>
    <x v="8"/>
    <x v="6"/>
    <x v="398"/>
    <n v="197.63"/>
    <s v="Low"/>
    <n v="325.79000000000002"/>
    <n v="325.79000000000002"/>
    <n v="0.11600000000000001"/>
    <n v="10"/>
    <n v="37.791640000000001"/>
    <n v="2879.9836"/>
    <n v="2842.1919600000001"/>
    <n v="1976.3"/>
    <n v="903.68360000000007"/>
    <n v="865.89196000000015"/>
    <n v="1.4572603349693873"/>
    <n v="0.11600000000000001"/>
    <n v="227.27449999999999"/>
    <n v="12"/>
  </r>
  <r>
    <x v="400"/>
    <d v="2024-09-23T00:00:00"/>
    <s v="q3"/>
    <s v="2025"/>
    <s v="Apr"/>
    <d v="2025-04-24T00:00:00"/>
    <d v="2025-05-06T00:00:00"/>
    <d v="2025-05-06T00:00:00"/>
    <x v="0"/>
    <n v="12"/>
    <n v="12"/>
    <x v="2"/>
    <x v="6"/>
    <s v="Brasília"/>
    <s v="Consumer"/>
    <x v="2"/>
    <x v="4"/>
    <x v="1"/>
    <x v="399"/>
    <n v="394.13"/>
    <s v="Medium"/>
    <n v="932.29"/>
    <n v="932.29"/>
    <n v="0.109"/>
    <n v="7"/>
    <n v="101.61960999999999"/>
    <n v="5814.6927299999998"/>
    <n v="5713.07312"/>
    <n v="2758.91"/>
    <n v="3055.7827299999999"/>
    <n v="2954.1631200000002"/>
    <n v="2.1076050795422829"/>
    <n v="0.109"/>
    <n v="453.24949999999995"/>
    <n v="8.4"/>
  </r>
  <r>
    <x v="401"/>
    <d v="2024-09-25T00:00:00"/>
    <s v="q3"/>
    <s v="2023"/>
    <s v="May"/>
    <d v="2023-05-23T00:00:00"/>
    <d v="2023-06-10T00:00:00"/>
    <d v="2023-06-10T00:00:00"/>
    <x v="0"/>
    <n v="18"/>
    <n v="18"/>
    <x v="0"/>
    <x v="3"/>
    <s v="Shanghai"/>
    <s v="Corporate"/>
    <x v="0"/>
    <x v="2"/>
    <x v="2"/>
    <x v="400"/>
    <n v="54.62"/>
    <s v="Low"/>
    <n v="48.94"/>
    <n v="48.94"/>
    <n v="0.14799999999999999"/>
    <n v="16"/>
    <n v="7.2431199999999993"/>
    <n v="667.15008"/>
    <n v="659.90696000000003"/>
    <n v="873.92"/>
    <n v="-206.76991999999996"/>
    <n v="-214.01303999999993"/>
    <n v="0.76339948736726482"/>
    <n v="0.14799999999999999"/>
    <n v="62.812999999999995"/>
    <n v="19.2"/>
  </r>
  <r>
    <x v="402"/>
    <d v="2024-10-02T00:00:00"/>
    <s v="q4"/>
    <s v="2023"/>
    <s v="Mar"/>
    <d v="2023-03-07T00:00:00"/>
    <d v="2023-04-01T00:00:00"/>
    <d v="2023-04-01T00:00:00"/>
    <x v="0"/>
    <n v="25"/>
    <n v="25"/>
    <x v="3"/>
    <x v="5"/>
    <s v="Nairobi"/>
    <s v="Consumer"/>
    <x v="4"/>
    <x v="10"/>
    <x v="6"/>
    <x v="401"/>
    <n v="1024.0999999999999"/>
    <s v="Medium"/>
    <n v="918.19"/>
    <n v="918.19"/>
    <n v="0.189"/>
    <n v="10"/>
    <n v="173.53791000000001"/>
    <n v="7446.5209000000004"/>
    <n v="7272.9829900000004"/>
    <n v="10241"/>
    <n v="-2794.4790999999996"/>
    <n v="-2968.0170099999996"/>
    <n v="0.72712829801777179"/>
    <n v="0.189"/>
    <n v="1177.7149999999997"/>
    <n v="12"/>
  </r>
  <r>
    <x v="403"/>
    <d v="2024-10-03T00:00:00"/>
    <s v="q4"/>
    <s v="2025"/>
    <s v="Aug"/>
    <d v="2025-08-10T00:00:00"/>
    <d v="2025-08-30T00:00:00"/>
    <d v="2025-08-30T00:00:00"/>
    <x v="0"/>
    <n v="20"/>
    <n v="20"/>
    <x v="2"/>
    <x v="10"/>
    <s v="San Francisco"/>
    <s v="Corporate"/>
    <x v="4"/>
    <x v="8"/>
    <x v="6"/>
    <x v="402"/>
    <n v="933.29"/>
    <s v="Medium"/>
    <n v="1456.81"/>
    <n v="1456.81"/>
    <n v="0.123"/>
    <n v="13"/>
    <n v="179.18762999999998"/>
    <n v="16609.090809999998"/>
    <n v="16429.903179999998"/>
    <n v="12132.77"/>
    <n v="4476.3208099999974"/>
    <n v="4297.1331799999971"/>
    <n v="1.3689446688596254"/>
    <n v="0.123"/>
    <n v="1073.2834999999998"/>
    <n v="15.6"/>
  </r>
  <r>
    <x v="404"/>
    <d v="2024-10-04T00:00:00"/>
    <s v="q4"/>
    <s v="2023"/>
    <s v="Oct"/>
    <d v="2023-10-04T00:00:00"/>
    <d v="2023-10-29T00:00:00"/>
    <d v="2023-10-29T00:00:00"/>
    <x v="0"/>
    <n v="25"/>
    <n v="25"/>
    <x v="2"/>
    <x v="10"/>
    <s v="San Francisco"/>
    <s v="Small Business"/>
    <x v="0"/>
    <x v="6"/>
    <x v="5"/>
    <x v="403"/>
    <n v="1239.8399999999999"/>
    <s v="Medium"/>
    <n v="1482.75"/>
    <n v="1482.75"/>
    <n v="6.7000000000000004E-2"/>
    <n v="4"/>
    <n v="99.344250000000002"/>
    <n v="5533.6230000000005"/>
    <n v="5434.2787500000004"/>
    <n v="4959.3599999999997"/>
    <n v="574.26300000000083"/>
    <n v="474.91875000000073"/>
    <n v="1.1157937717770037"/>
    <n v="6.7000000000000004E-2"/>
    <n v="1425.8159999999998"/>
    <n v="4.8"/>
  </r>
  <r>
    <x v="405"/>
    <d v="2024-10-08T00:00:00"/>
    <s v="q4"/>
    <s v="2023"/>
    <s v="Jul"/>
    <d v="2023-07-30T00:00:00"/>
    <d v="2023-08-07T00:00:00"/>
    <d v="2023-08-07T00:00:00"/>
    <x v="0"/>
    <n v="8"/>
    <n v="8"/>
    <x v="0"/>
    <x v="0"/>
    <s v="Nagoya"/>
    <s v="Education"/>
    <x v="4"/>
    <x v="3"/>
    <x v="4"/>
    <x v="404"/>
    <n v="1352.44"/>
    <s v="High"/>
    <n v="2698.01"/>
    <n v="2698.01"/>
    <n v="0.13100000000000001"/>
    <n v="13"/>
    <n v="353.43931000000003"/>
    <n v="30479.418970000002"/>
    <n v="30125.979660000001"/>
    <n v="17581.72"/>
    <n v="12897.698970000001"/>
    <n v="12544.25966"/>
    <n v="1.7335857339327438"/>
    <n v="0.13100000000000001"/>
    <n v="1555.306"/>
    <n v="15.6"/>
  </r>
  <r>
    <x v="406"/>
    <d v="2024-10-09T00:00:00"/>
    <s v="q4"/>
    <s v="2023"/>
    <s v="Dec"/>
    <d v="2023-12-19T00:00:00"/>
    <d v="2023-12-20T00:00:00"/>
    <d v="2023-12-20T00:00:00"/>
    <x v="1"/>
    <n v="1"/>
    <n v="1"/>
    <x v="2"/>
    <x v="6"/>
    <s v="Rio de Janeiro"/>
    <s v="Consumer"/>
    <x v="0"/>
    <x v="5"/>
    <x v="1"/>
    <x v="405"/>
    <n v="1080.43"/>
    <s v="High"/>
    <n v="2529.15"/>
    <n v="2529.15"/>
    <n v="0.14699999999999999"/>
    <n v="10"/>
    <n v="371.78505000000001"/>
    <n v="21573.6495"/>
    <n v="21201.864450000001"/>
    <n v="10804.300000000001"/>
    <n v="10769.349499999998"/>
    <n v="10397.56445"/>
    <n v="1.9967651305498735"/>
    <n v="0.14699999999999999"/>
    <n v="1242.4945"/>
    <n v="12"/>
  </r>
  <r>
    <x v="407"/>
    <d v="2024-10-10T00:00:00"/>
    <s v="q4"/>
    <s v="2023"/>
    <s v="Apr"/>
    <d v="2023-04-19T00:00:00"/>
    <d v="2023-05-07T00:00:00"/>
    <d v="2023-05-07T00:00:00"/>
    <x v="0"/>
    <n v="18"/>
    <n v="18"/>
    <x v="1"/>
    <x v="7"/>
    <s v="Birmingham"/>
    <s v="Enterprise"/>
    <x v="1"/>
    <x v="0"/>
    <x v="0"/>
    <x v="406"/>
    <n v="1089.1500000000001"/>
    <s v="Medium"/>
    <n v="1088.2"/>
    <n v="1088.2"/>
    <n v="5.0999999999999997E-2"/>
    <n v="15"/>
    <n v="55.498199999999997"/>
    <n v="15490.527"/>
    <n v="15435.0288"/>
    <n v="16337.250000000002"/>
    <n v="-846.72300000000178"/>
    <n v="-902.22120000000177"/>
    <n v="0.94817224441077896"/>
    <n v="5.0999999999999997E-2"/>
    <n v="1252.5225"/>
    <n v="18"/>
  </r>
  <r>
    <x v="408"/>
    <d v="2024-10-11T00:00:00"/>
    <s v="q4"/>
    <s v="2025"/>
    <s v="Jul"/>
    <d v="2025-07-16T00:00:00"/>
    <d v="2025-07-17T00:00:00"/>
    <d v="2025-07-17T00:00:00"/>
    <x v="1"/>
    <n v="1"/>
    <n v="1"/>
    <x v="3"/>
    <x v="11"/>
    <s v="Durban"/>
    <s v="Small Business"/>
    <x v="0"/>
    <x v="11"/>
    <x v="4"/>
    <x v="407"/>
    <n v="1198.9000000000001"/>
    <s v="High"/>
    <n v="2941.2"/>
    <n v="2941.2"/>
    <n v="5.0999999999999997E-2"/>
    <n v="24"/>
    <n v="150.00119999999998"/>
    <n v="66988.771199999988"/>
    <n v="66838.76999999999"/>
    <n v="28773.600000000002"/>
    <n v="38215.171199999982"/>
    <n v="38065.169999999984"/>
    <n v="2.3281331220285257"/>
    <n v="5.0999999999999997E-2"/>
    <n v="1378.7349999999999"/>
    <n v="28.799999999999997"/>
  </r>
  <r>
    <x v="409"/>
    <d v="2024-10-13T00:00:00"/>
    <s v="q4"/>
    <s v="2023"/>
    <s v="Aug"/>
    <d v="2023-08-26T00:00:00"/>
    <d v="2023-09-10T00:00:00"/>
    <d v="2023-09-10T00:00:00"/>
    <x v="0"/>
    <n v="15"/>
    <n v="15"/>
    <x v="3"/>
    <x v="11"/>
    <s v="Cape Town"/>
    <s v="Non-Profit"/>
    <x v="3"/>
    <x v="0"/>
    <x v="2"/>
    <x v="408"/>
    <n v="241.14"/>
    <s v="Low"/>
    <n v="496.52"/>
    <n v="496.52"/>
    <n v="9.2999999999999999E-2"/>
    <n v="10"/>
    <n v="46.176359999999995"/>
    <n v="4503.4363999999996"/>
    <n v="4457.2600399999992"/>
    <n v="2411.3999999999996"/>
    <n v="2092.0364"/>
    <n v="2045.8600399999996"/>
    <n v="1.8675609189682343"/>
    <n v="9.2999999999999999E-2"/>
    <n v="277.31099999999998"/>
    <n v="12"/>
  </r>
  <r>
    <x v="410"/>
    <d v="2024-10-14T00:00:00"/>
    <s v="q4"/>
    <s v="2023"/>
    <s v="Sept"/>
    <d v="2023-09-25T00:00:00"/>
    <d v="2023-10-02T00:00:00"/>
    <d v="2023-10-02T00:00:00"/>
    <x v="0"/>
    <n v="7"/>
    <n v="7"/>
    <x v="2"/>
    <x v="10"/>
    <s v="New York"/>
    <s v="Education"/>
    <x v="4"/>
    <x v="7"/>
    <x v="5"/>
    <x v="409"/>
    <n v="145.58000000000001"/>
    <s v="Low"/>
    <n v="228.15"/>
    <n v="228.15"/>
    <n v="0.20399999999999999"/>
    <n v="5"/>
    <n v="46.5426"/>
    <n v="908.03700000000003"/>
    <n v="861.49440000000004"/>
    <n v="727.90000000000009"/>
    <n v="180.13699999999994"/>
    <n v="133.59439999999995"/>
    <n v="1.2474749278747079"/>
    <n v="0.2"/>
    <n v="167.417"/>
    <n v="6"/>
  </r>
  <r>
    <x v="411"/>
    <d v="2024-10-16T00:00:00"/>
    <s v="q4"/>
    <s v="2025"/>
    <s v="Aug"/>
    <d v="2025-08-25T00:00:00"/>
    <d v="2025-09-24T00:00:00"/>
    <d v="2025-09-24T00:00:00"/>
    <x v="0"/>
    <n v="30"/>
    <n v="30"/>
    <x v="3"/>
    <x v="5"/>
    <s v="Nairobi"/>
    <s v="Consumer"/>
    <x v="3"/>
    <x v="11"/>
    <x v="2"/>
    <x v="410"/>
    <n v="589.14"/>
    <s v="Medium"/>
    <n v="1300.58"/>
    <n v="1300.58"/>
    <n v="5.5E-2"/>
    <n v="11"/>
    <n v="71.531899999999993"/>
    <n v="13519.529099999998"/>
    <n v="13447.997199999998"/>
    <n v="6480.54"/>
    <n v="7038.989099999998"/>
    <n v="6967.457199999998"/>
    <n v="2.0861732355637028"/>
    <n v="5.5E-2"/>
    <n v="677.51099999999997"/>
    <n v="13.2"/>
  </r>
  <r>
    <x v="412"/>
    <d v="2024-10-17T00:00:00"/>
    <s v="q4"/>
    <s v="2024"/>
    <s v="Sept"/>
    <d v="2024-09-19T00:00:00"/>
    <d v="2024-10-14T00:00:00"/>
    <d v="2024-10-14T00:00:00"/>
    <x v="0"/>
    <n v="25"/>
    <n v="25"/>
    <x v="2"/>
    <x v="6"/>
    <s v="Rio de Janeiro"/>
    <s v="Small Business"/>
    <x v="1"/>
    <x v="8"/>
    <x v="6"/>
    <x v="411"/>
    <n v="386.96"/>
    <s v="Medium"/>
    <n v="937.46"/>
    <n v="937.46"/>
    <n v="0.26600000000000001"/>
    <n v="41"/>
    <n v="249.36436000000003"/>
    <n v="28211.92124"/>
    <n v="27962.55688"/>
    <n v="15865.359999999999"/>
    <n v="12346.561240000001"/>
    <n v="12097.196880000001"/>
    <n v="1.7782087037419889"/>
    <n v="0.2"/>
    <n v="445.00399999999996"/>
    <n v="49.199999999999996"/>
  </r>
  <r>
    <x v="413"/>
    <d v="2024-10-19T00:00:00"/>
    <s v="q4"/>
    <s v="2024"/>
    <s v="Oct"/>
    <d v="2024-10-11T00:00:00"/>
    <d v="2024-11-09T00:00:00"/>
    <d v="2024-11-09T00:00:00"/>
    <x v="0"/>
    <n v="29"/>
    <n v="29"/>
    <x v="0"/>
    <x v="3"/>
    <s v="Shanghai"/>
    <s v="Non-Profit"/>
    <x v="2"/>
    <x v="9"/>
    <x v="6"/>
    <x v="412"/>
    <n v="391.64"/>
    <s v="Low"/>
    <n v="504.76"/>
    <n v="504.76"/>
    <n v="4.0000000000000001E-3"/>
    <n v="13"/>
    <n v="2.0190399999999999"/>
    <n v="6535.6324800000002"/>
    <n v="6533.6134400000001"/>
    <n v="5091.32"/>
    <n v="1444.3124800000005"/>
    <n v="1442.2934400000004"/>
    <n v="1.2836813400061282"/>
    <n v="4.0000000000000001E-3"/>
    <n v="450.38599999999997"/>
    <n v="15.6"/>
  </r>
  <r>
    <x v="414"/>
    <d v="2024-10-22T00:00:00"/>
    <s v="q4"/>
    <s v="2023"/>
    <s v="Jan"/>
    <d v="2023-01-22T00:00:00"/>
    <d v="2023-01-22T00:00:00"/>
    <d v="2023-01-21T00:00:00"/>
    <x v="1"/>
    <n v="0"/>
    <n v="-1"/>
    <x v="1"/>
    <x v="1"/>
    <s v="Munich"/>
    <s v="Corporate"/>
    <x v="3"/>
    <x v="9"/>
    <x v="3"/>
    <x v="413"/>
    <n v="150.86000000000001"/>
    <s v="Low"/>
    <n v="346.96"/>
    <n v="346.96"/>
    <n v="0.19600000000000001"/>
    <n v="8"/>
    <n v="68.004159999999999"/>
    <n v="2231.6467200000002"/>
    <n v="2163.6425600000002"/>
    <n v="1206.8800000000001"/>
    <n v="1024.7667200000001"/>
    <n v="956.76256000000012"/>
    <n v="1.8491040699986743"/>
    <n v="0.19600000000000001"/>
    <n v="173.489"/>
    <n v="9.6"/>
  </r>
  <r>
    <x v="415"/>
    <d v="2024-10-23T00:00:00"/>
    <s v="q4"/>
    <s v="2024"/>
    <s v="Feb"/>
    <d v="2024-02-29T00:00:00"/>
    <d v="2024-03-30T00:00:00"/>
    <d v="2024-03-30T00:00:00"/>
    <x v="0"/>
    <n v="30"/>
    <n v="30"/>
    <x v="0"/>
    <x v="0"/>
    <s v="Nagoya"/>
    <s v="Small Business"/>
    <x v="3"/>
    <x v="7"/>
    <x v="4"/>
    <x v="414"/>
    <n v="231.11"/>
    <s v="Low"/>
    <n v="318.17"/>
    <n v="318.17"/>
    <n v="0.20100000000000001"/>
    <n v="60"/>
    <n v="63.95217000000001"/>
    <n v="15253.069799999999"/>
    <n v="15189.117629999999"/>
    <n v="13866.6"/>
    <n v="1386.4697999999989"/>
    <n v="1322.5176299999985"/>
    <n v="1.0999862835879017"/>
    <n v="0.2"/>
    <n v="265.7765"/>
    <n v="72"/>
  </r>
  <r>
    <x v="416"/>
    <d v="2024-10-23T00:00:00"/>
    <s v="q4"/>
    <s v="2023"/>
    <s v="Dec"/>
    <d v="2023-12-20T00:00:00"/>
    <d v="2024-01-14T00:00:00"/>
    <d v="2024-01-14T00:00:00"/>
    <x v="0"/>
    <n v="25"/>
    <n v="25"/>
    <x v="0"/>
    <x v="4"/>
    <s v="Mumbai"/>
    <s v="Non-Profit"/>
    <x v="4"/>
    <x v="1"/>
    <x v="3"/>
    <x v="415"/>
    <n v="1085.6099999999999"/>
    <s v="Medium"/>
    <n v="1246.4100000000001"/>
    <n v="1246.4100000000001"/>
    <n v="0.113"/>
    <n v="7"/>
    <n v="140.84433000000001"/>
    <n v="7738.9596900000006"/>
    <n v="7598.1153600000007"/>
    <n v="7599.2699999999995"/>
    <n v="139.68969000000106"/>
    <n v="-1.1546399999988353"/>
    <n v="1.0183819880067428"/>
    <n v="0.113"/>
    <n v="1248.4514999999999"/>
    <n v="8.4"/>
  </r>
  <r>
    <x v="417"/>
    <d v="2024-10-24T00:00:00"/>
    <s v="q4"/>
    <s v="2023"/>
    <s v="Nov"/>
    <d v="2023-11-10T00:00:00"/>
    <d v="2023-11-28T00:00:00"/>
    <d v="2023-11-28T00:00:00"/>
    <x v="0"/>
    <n v="18"/>
    <n v="18"/>
    <x v="2"/>
    <x v="6"/>
    <s v="Brasília"/>
    <s v="Education"/>
    <x v="4"/>
    <x v="1"/>
    <x v="5"/>
    <x v="416"/>
    <n v="388.51"/>
    <s v="Medium"/>
    <n v="776.46"/>
    <n v="776.46"/>
    <n v="0.157"/>
    <n v="12"/>
    <n v="121.90422000000001"/>
    <n v="7854.6693599999999"/>
    <n v="7732.7651399999995"/>
    <n v="4662.12"/>
    <n v="3192.54936"/>
    <n v="3070.6451399999996"/>
    <n v="1.6847848961416694"/>
    <n v="0.157"/>
    <n v="446.78649999999993"/>
    <n v="14.399999999999999"/>
  </r>
  <r>
    <x v="418"/>
    <d v="2024-10-25T00:00:00"/>
    <s v="q4"/>
    <s v="2024"/>
    <s v="Sept"/>
    <d v="2024-09-09T00:00:00"/>
    <d v="2024-10-01T00:00:00"/>
    <d v="2024-10-01T00:00:00"/>
    <x v="0"/>
    <n v="22"/>
    <n v="22"/>
    <x v="0"/>
    <x v="3"/>
    <s v="Shenzhen"/>
    <s v="Consumer"/>
    <x v="3"/>
    <x v="1"/>
    <x v="6"/>
    <x v="417"/>
    <n v="1166.18"/>
    <s v="Medium"/>
    <n v="1335.02"/>
    <n v="1335.02"/>
    <n v="0.128"/>
    <n v="6"/>
    <n v="170.88256000000001"/>
    <n v="6984.8246399999998"/>
    <n v="6813.9420799999998"/>
    <n v="6997.08"/>
    <n v="-12.25536000000011"/>
    <n v="-183.13792000000012"/>
    <n v="0.9982485036615274"/>
    <n v="0.128"/>
    <n v="1341.107"/>
    <n v="7.1999999999999993"/>
  </r>
  <r>
    <x v="419"/>
    <d v="2024-10-25T00:00:00"/>
    <s v="q4"/>
    <s v="2025"/>
    <s v="Jan"/>
    <d v="2025-01-29T00:00:00"/>
    <d v="2025-02-06T00:00:00"/>
    <d v="2025-02-06T00:00:00"/>
    <x v="0"/>
    <n v="8"/>
    <n v="8"/>
    <x v="3"/>
    <x v="5"/>
    <s v="Kisumu"/>
    <s v="Education"/>
    <x v="1"/>
    <x v="11"/>
    <x v="1"/>
    <x v="418"/>
    <n v="1445.27"/>
    <s v="High"/>
    <n v="2691.45"/>
    <n v="2691.45"/>
    <n v="0"/>
    <n v="9"/>
    <n v="0"/>
    <n v="24223.05"/>
    <n v="24223.05"/>
    <n v="13007.43"/>
    <n v="11215.619999999999"/>
    <n v="11215.619999999999"/>
    <n v="1.8622471925660948"/>
    <n v="0"/>
    <n v="1662.0604999999998"/>
    <n v="10.799999999999999"/>
  </r>
  <r>
    <x v="420"/>
    <d v="2024-10-27T00:00:00"/>
    <s v="q4"/>
    <s v="2025"/>
    <s v="Jul"/>
    <d v="2025-07-14T00:00:00"/>
    <d v="2025-08-04T00:00:00"/>
    <d v="2025-08-04T00:00:00"/>
    <x v="0"/>
    <n v="21"/>
    <n v="21"/>
    <x v="2"/>
    <x v="2"/>
    <s v="Montreal"/>
    <s v="Consumer"/>
    <x v="2"/>
    <x v="14"/>
    <x v="3"/>
    <x v="419"/>
    <n v="90.3"/>
    <s v="Low"/>
    <n v="131.76"/>
    <n v="131.76"/>
    <n v="0.10199999999999999"/>
    <n v="15"/>
    <n v="13.439519999999998"/>
    <n v="1774.8072"/>
    <n v="1761.3676800000001"/>
    <n v="1354.5"/>
    <n v="420.30719999999997"/>
    <n v="406.86768000000006"/>
    <n v="1.310304318936877"/>
    <n v="0.10199999999999999"/>
    <n v="103.84499999999998"/>
    <n v="18"/>
  </r>
  <r>
    <x v="421"/>
    <d v="2024-10-29T00:00:00"/>
    <s v="q4"/>
    <s v="2024"/>
    <s v="Oct"/>
    <d v="2024-10-02T00:00:00"/>
    <d v="2024-10-23T00:00:00"/>
    <d v="2024-10-23T00:00:00"/>
    <x v="0"/>
    <n v="21"/>
    <n v="21"/>
    <x v="3"/>
    <x v="11"/>
    <s v="Durban"/>
    <s v="Corporate"/>
    <x v="4"/>
    <x v="3"/>
    <x v="2"/>
    <x v="420"/>
    <n v="1095.6099999999999"/>
    <s v="High"/>
    <n v="2366.5100000000002"/>
    <n v="2366.5100000000002"/>
    <n v="0.152"/>
    <n v="9"/>
    <n v="359.70952"/>
    <n v="18061.204320000004"/>
    <n v="17701.494800000004"/>
    <n v="9860.49"/>
    <n v="8200.7143200000046"/>
    <n v="7841.0048000000043"/>
    <n v="1.8316741176148452"/>
    <n v="0.152"/>
    <n v="1259.9514999999999"/>
    <n v="10.799999999999999"/>
  </r>
  <r>
    <x v="422"/>
    <d v="2024-10-30T00:00:00"/>
    <s v="q4"/>
    <s v="2025"/>
    <s v="Jul"/>
    <d v="2025-07-21T00:00:00"/>
    <d v="2025-08-07T00:00:00"/>
    <d v="2025-08-07T00:00:00"/>
    <x v="0"/>
    <n v="17"/>
    <n v="17"/>
    <x v="3"/>
    <x v="9"/>
    <s v="Lagos"/>
    <s v="Enterprise"/>
    <x v="3"/>
    <x v="13"/>
    <x v="5"/>
    <x v="421"/>
    <n v="1204.95"/>
    <s v="High"/>
    <n v="2065.73"/>
    <n v="2065.73"/>
    <n v="0.13600000000000001"/>
    <n v="10"/>
    <n v="280.93928"/>
    <n v="17847.907199999998"/>
    <n v="17566.967919999999"/>
    <n v="12049.5"/>
    <n v="5798.4071999999978"/>
    <n v="5517.4679199999991"/>
    <n v="1.4812155857089504"/>
    <n v="0.13600000000000001"/>
    <n v="1385.6924999999999"/>
    <n v="12"/>
  </r>
  <r>
    <x v="423"/>
    <d v="2024-11-01T00:00:00"/>
    <s v="q4"/>
    <s v="2024"/>
    <s v="Sept"/>
    <d v="2024-09-10T00:00:00"/>
    <d v="2024-10-07T00:00:00"/>
    <d v="2024-10-07T00:00:00"/>
    <x v="0"/>
    <n v="27"/>
    <n v="27"/>
    <x v="3"/>
    <x v="5"/>
    <s v="Kisumu"/>
    <s v="Consumer"/>
    <x v="1"/>
    <x v="1"/>
    <x v="6"/>
    <x v="422"/>
    <n v="1248.3900000000001"/>
    <s v="Medium"/>
    <n v="1805.11"/>
    <n v="1805.11"/>
    <n v="0.20300000000000001"/>
    <n v="11"/>
    <n v="366.43733000000003"/>
    <n v="15825.399369999997"/>
    <n v="15458.962039999997"/>
    <n v="13732.29"/>
    <n v="2093.1093699999965"/>
    <n v="1726.6720399999958"/>
    <n v="1.1524224561234868"/>
    <n v="0.2"/>
    <n v="1435.6485"/>
    <n v="13.2"/>
  </r>
  <r>
    <x v="424"/>
    <d v="2024-11-02T00:00:00"/>
    <s v="q4"/>
    <s v="2023"/>
    <s v="Jul"/>
    <d v="2023-07-02T00:00:00"/>
    <d v="2023-08-01T00:00:00"/>
    <d v="2023-08-01T00:00:00"/>
    <x v="0"/>
    <n v="30"/>
    <n v="30"/>
    <x v="1"/>
    <x v="7"/>
    <s v="Birmingham"/>
    <s v="Small Business"/>
    <x v="1"/>
    <x v="11"/>
    <x v="2"/>
    <x v="423"/>
    <n v="137.46"/>
    <s v="Low"/>
    <n v="188.3"/>
    <n v="188.3"/>
    <n v="3.7999999999999999E-2"/>
    <n v="37"/>
    <n v="7.1554000000000002"/>
    <n v="6702.3501999999999"/>
    <n v="6695.1948000000002"/>
    <n v="5086.0200000000004"/>
    <n v="1616.3301999999994"/>
    <n v="1609.1747999999998"/>
    <n v="1.3177986323294049"/>
    <n v="3.7999999999999999E-2"/>
    <n v="158.07900000000001"/>
    <n v="44.4"/>
  </r>
  <r>
    <x v="425"/>
    <d v="2024-11-02T00:00:00"/>
    <s v="q4"/>
    <s v="2025"/>
    <s v="Jan"/>
    <d v="2025-01-21T00:00:00"/>
    <d v="2025-02-14T00:00:00"/>
    <d v="2025-02-14T00:00:00"/>
    <x v="0"/>
    <n v="24"/>
    <n v="24"/>
    <x v="3"/>
    <x v="5"/>
    <s v="Nairobi"/>
    <s v="Small Business"/>
    <x v="1"/>
    <x v="5"/>
    <x v="5"/>
    <x v="424"/>
    <n v="1030.44"/>
    <s v="High"/>
    <n v="2562.84"/>
    <n v="2562.84"/>
    <n v="0.14799999999999999"/>
    <n v="13"/>
    <n v="379.30032"/>
    <n v="28386.015839999996"/>
    <n v="28006.715519999998"/>
    <n v="13395.720000000001"/>
    <n v="14990.295839999995"/>
    <n v="14610.995519999997"/>
    <n v="2.1190362175381385"/>
    <n v="0.14799999999999999"/>
    <n v="1185.0059999999999"/>
    <n v="15.6"/>
  </r>
  <r>
    <x v="426"/>
    <d v="2024-11-04T00:00:00"/>
    <s v="q4"/>
    <s v="2025"/>
    <s v="Feb"/>
    <d v="2025-02-04T00:00:00"/>
    <d v="2025-02-25T00:00:00"/>
    <d v="2025-02-25T00:00:00"/>
    <x v="0"/>
    <n v="21"/>
    <n v="21"/>
    <x v="1"/>
    <x v="7"/>
    <s v="Birmingham"/>
    <s v="Corporate"/>
    <x v="4"/>
    <x v="10"/>
    <x v="3"/>
    <x v="425"/>
    <n v="1016.32"/>
    <s v="High"/>
    <n v="2253.42"/>
    <n v="2253.42"/>
    <n v="5.5E-2"/>
    <n v="12"/>
    <n v="123.93810000000001"/>
    <n v="25553.782800000001"/>
    <n v="25429.844700000001"/>
    <n v="12195.84"/>
    <n v="13357.942800000001"/>
    <n v="13234.004700000001"/>
    <n v="2.0952868191120908"/>
    <n v="5.5E-2"/>
    <n v="1168.768"/>
    <n v="14.399999999999999"/>
  </r>
  <r>
    <x v="427"/>
    <d v="2024-11-04T00:00:00"/>
    <s v="q4"/>
    <s v="2023"/>
    <s v="Apr"/>
    <d v="2023-04-19T00:00:00"/>
    <d v="2023-04-28T00:00:00"/>
    <d v="2023-04-28T00:00:00"/>
    <x v="0"/>
    <n v="9"/>
    <n v="9"/>
    <x v="1"/>
    <x v="1"/>
    <s v="Berlin"/>
    <s v="Education"/>
    <x v="2"/>
    <x v="2"/>
    <x v="3"/>
    <x v="426"/>
    <n v="1178.42"/>
    <s v="High"/>
    <n v="2446.56"/>
    <n v="2446.56"/>
    <n v="2.9000000000000001E-2"/>
    <n v="11"/>
    <n v="70.950240000000008"/>
    <n v="26131.70736"/>
    <n v="26060.757120000002"/>
    <n v="12962.62"/>
    <n v="13169.08736"/>
    <n v="13098.137120000001"/>
    <n v="2.0159279034639601"/>
    <n v="2.9000000000000001E-2"/>
    <n v="1355.183"/>
    <n v="13.2"/>
  </r>
  <r>
    <x v="428"/>
    <d v="2024-11-05T00:00:00"/>
    <s v="q4"/>
    <s v="2023"/>
    <s v="Jan"/>
    <d v="2023-01-20T00:00:00"/>
    <d v="2023-02-03T00:00:00"/>
    <d v="2023-02-03T00:00:00"/>
    <x v="0"/>
    <n v="14"/>
    <n v="14"/>
    <x v="3"/>
    <x v="5"/>
    <s v="Kisumu"/>
    <s v="Corporate"/>
    <x v="1"/>
    <x v="13"/>
    <x v="4"/>
    <x v="427"/>
    <n v="884.36"/>
    <s v="Medium"/>
    <n v="1545.34"/>
    <n v="1545.34"/>
    <n v="0.24299999999999999"/>
    <n v="41"/>
    <n v="375.51761999999997"/>
    <n v="47962.717579999997"/>
    <n v="47587.199959999998"/>
    <n v="36258.76"/>
    <n v="11703.957579999995"/>
    <n v="11328.439959999996"/>
    <n v="1.3227897914876292"/>
    <n v="0.2"/>
    <n v="1017.0139999999999"/>
    <n v="49.199999999999996"/>
  </r>
  <r>
    <x v="429"/>
    <d v="2024-11-06T00:00:00"/>
    <s v="q4"/>
    <s v="2023"/>
    <s v="Aug"/>
    <d v="2023-08-15T00:00:00"/>
    <d v="2023-09-07T00:00:00"/>
    <d v="2023-09-07T00:00:00"/>
    <x v="0"/>
    <n v="23"/>
    <n v="23"/>
    <x v="2"/>
    <x v="10"/>
    <s v="New York"/>
    <s v="Enterprise"/>
    <x v="2"/>
    <x v="8"/>
    <x v="1"/>
    <x v="428"/>
    <n v="590.33000000000004"/>
    <s v="Medium"/>
    <n v="973.04"/>
    <n v="973.04"/>
    <n v="0"/>
    <n v="26"/>
    <n v="0"/>
    <n v="25299.040000000001"/>
    <n v="25299.040000000001"/>
    <n v="15348.580000000002"/>
    <n v="9950.4599999999991"/>
    <n v="9950.4599999999991"/>
    <n v="1.6482984093642539"/>
    <n v="0"/>
    <n v="678.87950000000001"/>
    <n v="31.2"/>
  </r>
  <r>
    <x v="430"/>
    <d v="2024-11-07T00:00:00"/>
    <s v="q4"/>
    <s v="2024"/>
    <s v="Jan"/>
    <d v="2024-01-12T00:00:00"/>
    <d v="2024-01-29T00:00:00"/>
    <d v="2024-01-29T00:00:00"/>
    <x v="0"/>
    <n v="17"/>
    <n v="17"/>
    <x v="2"/>
    <x v="10"/>
    <s v="Chicago"/>
    <s v="Education"/>
    <x v="0"/>
    <x v="3"/>
    <x v="6"/>
    <x v="429"/>
    <n v="493.76"/>
    <s v="Medium"/>
    <n v="625.04"/>
    <n v="625.04"/>
    <n v="0.25800000000000001"/>
    <n v="10"/>
    <n v="161.26032000000001"/>
    <n v="4637.7968000000001"/>
    <n v="4476.5364799999998"/>
    <n v="4937.6000000000004"/>
    <n v="-299.80320000000029"/>
    <n v="-461.06352000000061"/>
    <n v="0.93928159429682434"/>
    <n v="0.2"/>
    <n v="567.82399999999996"/>
    <n v="12"/>
  </r>
  <r>
    <x v="431"/>
    <d v="2024-11-08T00:00:00"/>
    <s v="q4"/>
    <s v="2023"/>
    <s v="Jan"/>
    <d v="2023-01-13T00:00:00"/>
    <d v="2023-01-19T00:00:00"/>
    <d v="2023-01-19T00:00:00"/>
    <x v="1"/>
    <n v="6"/>
    <n v="6"/>
    <x v="2"/>
    <x v="10"/>
    <s v="Chicago"/>
    <s v="Corporate"/>
    <x v="3"/>
    <x v="14"/>
    <x v="1"/>
    <x v="430"/>
    <n v="833.57"/>
    <s v="Medium"/>
    <n v="881.57"/>
    <n v="881.57"/>
    <n v="5.7000000000000002E-2"/>
    <n v="18"/>
    <n v="50.249490000000002"/>
    <n v="14963.769179999999"/>
    <n v="14913.519689999999"/>
    <n v="15004.26"/>
    <n v="-40.490820000000895"/>
    <n v="-90.740310000001045"/>
    <n v="0.99730137840853195"/>
    <n v="5.7000000000000002E-2"/>
    <n v="958.60550000000001"/>
    <n v="21.599999999999998"/>
  </r>
  <r>
    <x v="432"/>
    <d v="2024-11-11T00:00:00"/>
    <s v="q4"/>
    <s v="2023"/>
    <s v="Apr"/>
    <d v="2023-04-14T00:00:00"/>
    <d v="2023-05-13T00:00:00"/>
    <d v="2023-05-13T00:00:00"/>
    <x v="0"/>
    <n v="29"/>
    <n v="29"/>
    <x v="1"/>
    <x v="1"/>
    <s v="Frankfurt"/>
    <s v="Consumer"/>
    <x v="3"/>
    <x v="5"/>
    <x v="6"/>
    <x v="431"/>
    <n v="1320.33"/>
    <s v="High"/>
    <n v="2645.23"/>
    <n v="2645.23"/>
    <n v="0.155"/>
    <n v="25"/>
    <n v="410.01065"/>
    <n v="55880.483749999999"/>
    <n v="55470.473100000003"/>
    <n v="33008.25"/>
    <n v="22872.233749999999"/>
    <n v="22462.223100000003"/>
    <n v="1.692924761233934"/>
    <n v="0.155"/>
    <n v="1518.3794999999998"/>
    <n v="30"/>
  </r>
  <r>
    <x v="433"/>
    <d v="2024-11-12T00:00:00"/>
    <s v="q4"/>
    <s v="2023"/>
    <s v="Jan"/>
    <d v="2023-01-30T00:00:00"/>
    <d v="2023-02-21T00:00:00"/>
    <d v="2023-02-21T00:00:00"/>
    <x v="0"/>
    <n v="22"/>
    <n v="22"/>
    <x v="1"/>
    <x v="1"/>
    <s v="Munich"/>
    <s v="Small Business"/>
    <x v="4"/>
    <x v="12"/>
    <x v="4"/>
    <x v="432"/>
    <n v="1142.8800000000001"/>
    <s v="Medium"/>
    <n v="1465.29"/>
    <n v="1465.29"/>
    <n v="0.186"/>
    <n v="7"/>
    <n v="272.54393999999996"/>
    <n v="8349.2224200000001"/>
    <n v="8076.6784800000005"/>
    <n v="8000.1600000000008"/>
    <n v="349.06241999999929"/>
    <n v="76.518479999999727"/>
    <n v="1.0436319298614027"/>
    <n v="0.186"/>
    <n v="1314.3120000000001"/>
    <n v="8.4"/>
  </r>
  <r>
    <x v="434"/>
    <d v="2024-11-17T00:00:00"/>
    <s v="q4"/>
    <s v="2024"/>
    <s v="Feb"/>
    <d v="2024-02-11T00:00:00"/>
    <d v="2024-03-03T00:00:00"/>
    <d v="2024-03-03T00:00:00"/>
    <x v="0"/>
    <n v="21"/>
    <n v="21"/>
    <x v="3"/>
    <x v="5"/>
    <s v="Kisumu"/>
    <s v="Enterprise"/>
    <x v="2"/>
    <x v="11"/>
    <x v="1"/>
    <x v="433"/>
    <n v="516.86"/>
    <s v="Medium"/>
    <n v="852.54"/>
    <n v="852.54"/>
    <n v="5.0999999999999997E-2"/>
    <n v="14"/>
    <n v="43.479539999999993"/>
    <n v="11326.846439999999"/>
    <n v="11283.366899999999"/>
    <n v="7236.04"/>
    <n v="4090.8064399999994"/>
    <n v="4047.3268999999991"/>
    <n v="1.5653377316874975"/>
    <n v="5.0999999999999997E-2"/>
    <n v="594.38900000000001"/>
    <n v="16.8"/>
  </r>
  <r>
    <x v="435"/>
    <d v="2024-11-20T00:00:00"/>
    <s v="q4"/>
    <s v="2024"/>
    <s v="Oct"/>
    <d v="2024-10-23T00:00:00"/>
    <d v="2024-11-14T00:00:00"/>
    <d v="2024-11-14T00:00:00"/>
    <x v="0"/>
    <n v="22"/>
    <n v="22"/>
    <x v="0"/>
    <x v="0"/>
    <s v="Osaka"/>
    <s v="Non-Profit"/>
    <x v="3"/>
    <x v="11"/>
    <x v="1"/>
    <x v="434"/>
    <n v="1406.4"/>
    <s v="Medium"/>
    <n v="1564.76"/>
    <n v="1564.76"/>
    <n v="0.185"/>
    <n v="17"/>
    <n v="289.48059999999998"/>
    <n v="21679.749799999998"/>
    <n v="21390.269199999999"/>
    <n v="23908.800000000003"/>
    <n v="-2229.0502000000051"/>
    <n v="-2518.5308000000041"/>
    <n v="0.90676862912400436"/>
    <n v="0.185"/>
    <n v="1617.36"/>
    <n v="20.399999999999999"/>
  </r>
  <r>
    <x v="436"/>
    <d v="2024-11-21T00:00:00"/>
    <s v="q4"/>
    <s v="2024"/>
    <s v="Sept"/>
    <d v="2024-09-22T00:00:00"/>
    <d v="2024-10-01T00:00:00"/>
    <d v="2024-10-01T00:00:00"/>
    <x v="0"/>
    <n v="9"/>
    <n v="9"/>
    <x v="2"/>
    <x v="6"/>
    <s v="São Paulo"/>
    <s v="Non-Profit"/>
    <x v="2"/>
    <x v="8"/>
    <x v="3"/>
    <x v="435"/>
    <n v="1378.8"/>
    <s v="High"/>
    <n v="1952.04"/>
    <n v="1952.04"/>
    <n v="0.159"/>
    <n v="19"/>
    <n v="310.37436000000002"/>
    <n v="31191.64716"/>
    <n v="30881.272799999999"/>
    <n v="26197.200000000001"/>
    <n v="4994.4471599999997"/>
    <n v="4684.0727999999981"/>
    <n v="1.1906481288076589"/>
    <n v="0.159"/>
    <n v="1585.62"/>
    <n v="22.8"/>
  </r>
  <r>
    <x v="437"/>
    <d v="2024-11-22T00:00:00"/>
    <s v="q4"/>
    <s v="2023"/>
    <s v="May"/>
    <d v="2023-05-04T00:00:00"/>
    <d v="2023-05-26T00:00:00"/>
    <d v="2023-05-26T00:00:00"/>
    <x v="0"/>
    <n v="22"/>
    <n v="22"/>
    <x v="2"/>
    <x v="10"/>
    <s v="San Francisco"/>
    <s v="Enterprise"/>
    <x v="2"/>
    <x v="5"/>
    <x v="4"/>
    <x v="436"/>
    <n v="249.71"/>
    <s v="Low"/>
    <n v="361.33"/>
    <n v="361.33"/>
    <n v="9.4E-2"/>
    <n v="12"/>
    <n v="33.965019999999996"/>
    <n v="3928.3797600000003"/>
    <n v="3894.4147400000002"/>
    <n v="2996.52"/>
    <n v="931.85976000000028"/>
    <n v="897.89474000000018"/>
    <n v="1.3109806575627729"/>
    <n v="9.4E-2"/>
    <n v="287.16649999999998"/>
    <n v="14.399999999999999"/>
  </r>
  <r>
    <x v="438"/>
    <d v="2024-11-25T00:00:00"/>
    <s v="q4"/>
    <s v="2023"/>
    <s v="Oct"/>
    <d v="2023-10-15T00:00:00"/>
    <d v="2023-11-13T00:00:00"/>
    <d v="2023-11-13T00:00:00"/>
    <x v="0"/>
    <n v="29"/>
    <n v="29"/>
    <x v="0"/>
    <x v="3"/>
    <s v="Shenzhen"/>
    <s v="Non-Profit"/>
    <x v="0"/>
    <x v="5"/>
    <x v="6"/>
    <x v="437"/>
    <n v="986.44"/>
    <s v="Medium"/>
    <n v="790.61"/>
    <n v="790.61"/>
    <n v="7.1999999999999995E-2"/>
    <n v="6"/>
    <n v="56.923919999999995"/>
    <n v="4402.1164799999997"/>
    <n v="4345.1925599999995"/>
    <n v="5918.64"/>
    <n v="-1516.5235200000006"/>
    <n v="-1573.4474400000008"/>
    <n v="0.74377162321073753"/>
    <n v="7.1999999999999995E-2"/>
    <n v="1134.4059999999999"/>
    <n v="7.1999999999999993"/>
  </r>
  <r>
    <x v="439"/>
    <d v="2024-11-27T00:00:00"/>
    <s v="q4"/>
    <s v="2024"/>
    <s v="Aug"/>
    <d v="2024-08-12T00:00:00"/>
    <d v="2024-09-03T00:00:00"/>
    <d v="2024-09-03T00:00:00"/>
    <x v="0"/>
    <n v="22"/>
    <n v="22"/>
    <x v="2"/>
    <x v="10"/>
    <s v="Austin"/>
    <s v="Consumer"/>
    <x v="0"/>
    <x v="7"/>
    <x v="0"/>
    <x v="438"/>
    <n v="797.8"/>
    <s v="Medium"/>
    <n v="886.22"/>
    <n v="886.22"/>
    <n v="0.23599999999999999"/>
    <n v="36"/>
    <n v="209.14792"/>
    <n v="24374.594880000001"/>
    <n v="24165.446960000001"/>
    <n v="28720.799999999999"/>
    <n v="-4346.2051199999987"/>
    <n v="-4555.3530399999981"/>
    <n v="0.84867395337177243"/>
    <n v="0.2"/>
    <n v="917.46999999999991"/>
    <n v="43.199999999999996"/>
  </r>
  <r>
    <x v="440"/>
    <d v="2024-11-30T00:00:00"/>
    <s v="q4"/>
    <s v="2024"/>
    <s v="May"/>
    <d v="2024-05-19T00:00:00"/>
    <d v="2024-06-08T00:00:00"/>
    <d v="2024-06-08T00:00:00"/>
    <x v="0"/>
    <n v="20"/>
    <n v="20"/>
    <x v="2"/>
    <x v="6"/>
    <s v="Brasília"/>
    <s v="Small Business"/>
    <x v="1"/>
    <x v="2"/>
    <x v="3"/>
    <x v="439"/>
    <n v="1075.9000000000001"/>
    <s v="Medium"/>
    <n v="1242.1500000000001"/>
    <n v="1242.1500000000001"/>
    <n v="1.2E-2"/>
    <n v="7"/>
    <n v="14.905800000000001"/>
    <n v="8590.7094000000016"/>
    <n v="8575.8036000000011"/>
    <n v="7531.3000000000011"/>
    <n v="1059.4094000000005"/>
    <n v="1044.5036"/>
    <n v="1.1406675341574497"/>
    <n v="1.2E-2"/>
    <n v="1237.2850000000001"/>
    <n v="8.4"/>
  </r>
  <r>
    <x v="441"/>
    <d v="2024-11-30T00:00:00"/>
    <s v="q4"/>
    <s v="2024"/>
    <s v="Feb"/>
    <d v="2024-02-03T00:00:00"/>
    <d v="2024-02-19T00:00:00"/>
    <d v="2024-02-19T00:00:00"/>
    <x v="0"/>
    <n v="16"/>
    <n v="16"/>
    <x v="0"/>
    <x v="3"/>
    <s v="Shenzhen"/>
    <s v="Small Business"/>
    <x v="2"/>
    <x v="14"/>
    <x v="0"/>
    <x v="440"/>
    <n v="993.75"/>
    <s v="Medium"/>
    <n v="1310.29"/>
    <n v="1310.29"/>
    <n v="0.215"/>
    <n v="19"/>
    <n v="281.71235000000001"/>
    <n v="19542.975350000001"/>
    <n v="19261.262999999999"/>
    <n v="18881.25"/>
    <n v="661.72535000000062"/>
    <n v="380.01299999999901"/>
    <n v="1.0350466918238994"/>
    <n v="0.2"/>
    <n v="1142.8125"/>
    <n v="22.8"/>
  </r>
  <r>
    <x v="442"/>
    <d v="2024-11-30T00:00:00"/>
    <s v="q4"/>
    <s v="2023"/>
    <s v="Aug"/>
    <d v="2023-08-08T00:00:00"/>
    <d v="2023-08-22T00:00:00"/>
    <d v="2023-08-22T00:00:00"/>
    <x v="0"/>
    <n v="14"/>
    <n v="14"/>
    <x v="1"/>
    <x v="7"/>
    <s v="Birmingham"/>
    <s v="Non-Profit"/>
    <x v="3"/>
    <x v="0"/>
    <x v="3"/>
    <x v="441"/>
    <n v="446.69"/>
    <s v="Medium"/>
    <n v="967.25"/>
    <n v="967.25"/>
    <n v="9.4E-2"/>
    <n v="10"/>
    <n v="90.921499999999995"/>
    <n v="8763.2849999999999"/>
    <n v="8672.3634999999995"/>
    <n v="4466.8999999999996"/>
    <n v="4296.3850000000002"/>
    <n v="4205.4634999999998"/>
    <n v="1.9618269941122479"/>
    <n v="9.4E-2"/>
    <n v="513.69349999999997"/>
    <n v="12"/>
  </r>
  <r>
    <x v="443"/>
    <d v="2024-12-04T00:00:00"/>
    <s v="q4"/>
    <s v="2023"/>
    <s v="Jul"/>
    <d v="2023-07-19T00:00:00"/>
    <d v="2023-07-31T00:00:00"/>
    <d v="2023-07-31T00:00:00"/>
    <x v="0"/>
    <n v="12"/>
    <n v="12"/>
    <x v="2"/>
    <x v="6"/>
    <s v="Rio de Janeiro"/>
    <s v="Corporate"/>
    <x v="1"/>
    <x v="4"/>
    <x v="3"/>
    <x v="442"/>
    <n v="1334.64"/>
    <s v="High"/>
    <n v="2273.42"/>
    <n v="2273.42"/>
    <n v="0.11799999999999999"/>
    <n v="14"/>
    <n v="268.26355999999998"/>
    <n v="28072.190160000002"/>
    <n v="27803.926600000003"/>
    <n v="18684.960000000003"/>
    <n v="9387.2301599999992"/>
    <n v="9118.9665999999997"/>
    <n v="1.5023949829167416"/>
    <n v="0.11799999999999999"/>
    <n v="1534.836"/>
    <n v="16.8"/>
  </r>
  <r>
    <x v="444"/>
    <d v="2024-12-05T00:00:00"/>
    <s v="q4"/>
    <s v="2023"/>
    <s v="Jan"/>
    <d v="2023-01-29T00:00:00"/>
    <d v="2023-02-28T00:00:00"/>
    <d v="2023-02-28T00:00:00"/>
    <x v="0"/>
    <n v="30"/>
    <n v="30"/>
    <x v="0"/>
    <x v="4"/>
    <s v="Bengaluru"/>
    <s v="Non-Profit"/>
    <x v="1"/>
    <x v="11"/>
    <x v="5"/>
    <x v="443"/>
    <n v="1262.0999999999999"/>
    <s v="Medium"/>
    <n v="1395.53"/>
    <n v="1395.53"/>
    <n v="0.23300000000000001"/>
    <n v="25"/>
    <n v="325.15849000000003"/>
    <n v="26759.28775"/>
    <n v="26434.129259999998"/>
    <n v="31552.499999999996"/>
    <n v="-4793.2122499999969"/>
    <n v="-5118.3707399999985"/>
    <n v="0.8480877188812298"/>
    <n v="0.2"/>
    <n v="1451.4149999999997"/>
    <n v="30"/>
  </r>
  <r>
    <x v="445"/>
    <d v="2024-12-07T00:00:00"/>
    <s v="q4"/>
    <s v="2025"/>
    <s v="Jan"/>
    <d v="2025-01-13T00:00:00"/>
    <d v="2025-02-08T00:00:00"/>
    <d v="2025-02-08T00:00:00"/>
    <x v="0"/>
    <n v="26"/>
    <n v="26"/>
    <x v="1"/>
    <x v="8"/>
    <s v="Paris"/>
    <s v="Non-Profit"/>
    <x v="0"/>
    <x v="2"/>
    <x v="3"/>
    <x v="444"/>
    <n v="594.74"/>
    <s v="Medium"/>
    <n v="1020.69"/>
    <n v="1020.69"/>
    <n v="0.21099999999999999"/>
    <n v="6"/>
    <n v="215.36559"/>
    <n v="4831.9464600000001"/>
    <n v="4616.5808699999998"/>
    <n v="3568.44"/>
    <n v="1263.5064600000001"/>
    <n v="1048.1408699999997"/>
    <n v="1.3540781013552141"/>
    <n v="0.2"/>
    <n v="683.95099999999991"/>
    <n v="7.1999999999999993"/>
  </r>
  <r>
    <x v="446"/>
    <d v="2024-12-08T00:00:00"/>
    <s v="q4"/>
    <s v="2023"/>
    <s v="Jun"/>
    <d v="2023-06-22T00:00:00"/>
    <d v="2023-07-21T00:00:00"/>
    <d v="2023-07-21T00:00:00"/>
    <x v="0"/>
    <n v="29"/>
    <n v="29"/>
    <x v="1"/>
    <x v="8"/>
    <s v="Lyon"/>
    <s v="Corporate"/>
    <x v="1"/>
    <x v="5"/>
    <x v="5"/>
    <x v="445"/>
    <n v="734.34"/>
    <s v="Medium"/>
    <n v="887.9"/>
    <n v="887.9"/>
    <n v="2.5000000000000001E-2"/>
    <n v="12"/>
    <n v="22.197500000000002"/>
    <n v="10388.429999999998"/>
    <n v="10366.232499999998"/>
    <n v="8812.08"/>
    <n v="1576.3499999999985"/>
    <n v="1554.1524999999983"/>
    <n v="1.1788851213334421"/>
    <n v="2.5000000000000001E-2"/>
    <n v="844.49099999999999"/>
    <n v="14.399999999999999"/>
  </r>
  <r>
    <x v="447"/>
    <d v="2024-12-10T00:00:00"/>
    <s v="q4"/>
    <s v="2023"/>
    <s v="Aug"/>
    <d v="2023-08-19T00:00:00"/>
    <d v="2023-08-23T00:00:00"/>
    <d v="2023-08-23T00:00:00"/>
    <x v="1"/>
    <n v="4"/>
    <n v="4"/>
    <x v="3"/>
    <x v="9"/>
    <s v="Abuja"/>
    <s v="Small Business"/>
    <x v="2"/>
    <x v="5"/>
    <x v="3"/>
    <x v="446"/>
    <n v="790.63"/>
    <s v="Medium"/>
    <n v="1382.31"/>
    <n v="1382.31"/>
    <n v="0.10100000000000001"/>
    <n v="7"/>
    <n v="139.61331000000001"/>
    <n v="8698.8768300000011"/>
    <n v="8559.2635200000004"/>
    <n v="5534.41"/>
    <n v="3164.4668300000012"/>
    <n v="3024.8535200000006"/>
    <n v="1.571780339729077"/>
    <n v="0.10100000000000001"/>
    <n v="909.22449999999992"/>
    <n v="8.4"/>
  </r>
  <r>
    <x v="448"/>
    <d v="2024-12-10T00:00:00"/>
    <s v="q4"/>
    <s v="2024"/>
    <s v="Oct"/>
    <d v="2024-10-22T00:00:00"/>
    <d v="2024-10-29T00:00:00"/>
    <d v="2024-10-29T00:00:00"/>
    <x v="0"/>
    <n v="7"/>
    <n v="7"/>
    <x v="3"/>
    <x v="9"/>
    <s v="Port Harcourt"/>
    <s v="Enterprise"/>
    <x v="0"/>
    <x v="13"/>
    <x v="3"/>
    <x v="447"/>
    <n v="1023.06"/>
    <s v="Medium"/>
    <n v="1355.61"/>
    <n v="1355.61"/>
    <n v="0.153"/>
    <n v="23"/>
    <n v="207.40832999999998"/>
    <n v="26408.63841"/>
    <n v="26201.230080000001"/>
    <n v="23530.379999999997"/>
    <n v="2878.2584100000022"/>
    <n v="2670.8500800000038"/>
    <n v="1.1223209489179522"/>
    <n v="0.153"/>
    <n v="1176.5189999999998"/>
    <n v="27.599999999999998"/>
  </r>
  <r>
    <x v="449"/>
    <d v="2024-12-12T00:00:00"/>
    <s v="q4"/>
    <s v="2025"/>
    <s v="Feb"/>
    <d v="2025-02-02T00:00:00"/>
    <d v="2025-03-04T00:00:00"/>
    <d v="2025-03-04T00:00:00"/>
    <x v="0"/>
    <n v="30"/>
    <n v="30"/>
    <x v="0"/>
    <x v="0"/>
    <s v="Osaka"/>
    <s v="Education"/>
    <x v="0"/>
    <x v="1"/>
    <x v="5"/>
    <x v="448"/>
    <n v="766.59"/>
    <s v="High"/>
    <n v="1912.8"/>
    <n v="1912.8"/>
    <n v="0.19600000000000001"/>
    <n v="5"/>
    <n v="374.90879999999999"/>
    <n v="7689.4560000000001"/>
    <n v="7314.5472"/>
    <n v="3832.9500000000003"/>
    <n v="3856.5059999999999"/>
    <n v="3481.5971999999997"/>
    <n v="2.0061456580440651"/>
    <n v="0.19600000000000001"/>
    <n v="881.57849999999996"/>
    <n v="6"/>
  </r>
  <r>
    <x v="450"/>
    <d v="2024-12-14T00:00:00"/>
    <s v="q4"/>
    <s v="2024"/>
    <s v="Oct"/>
    <d v="2024-10-03T00:00:00"/>
    <d v="2024-10-11T00:00:00"/>
    <d v="2024-10-11T00:00:00"/>
    <x v="0"/>
    <n v="8"/>
    <n v="8"/>
    <x v="0"/>
    <x v="3"/>
    <s v="Beijing"/>
    <s v="Enterprise"/>
    <x v="3"/>
    <x v="11"/>
    <x v="1"/>
    <x v="449"/>
    <n v="1132.6099999999999"/>
    <s v="High"/>
    <n v="2206.63"/>
    <n v="2206.63"/>
    <n v="6.3E-2"/>
    <n v="20"/>
    <n v="139.01769000000002"/>
    <n v="41352.246200000009"/>
    <n v="41213.228510000008"/>
    <n v="22652.199999999997"/>
    <n v="18700.046200000012"/>
    <n v="18561.028510000011"/>
    <n v="1.8255289199283078"/>
    <n v="6.3E-2"/>
    <n v="1302.5014999999999"/>
    <n v="24"/>
  </r>
  <r>
    <x v="451"/>
    <d v="2024-12-15T00:00:00"/>
    <s v="q4"/>
    <s v="2025"/>
    <s v="Sept"/>
    <d v="2025-09-15T00:00:00"/>
    <d v="2025-09-18T00:00:00"/>
    <d v="2025-09-18T00:00:00"/>
    <x v="1"/>
    <n v="3"/>
    <n v="3"/>
    <x v="2"/>
    <x v="6"/>
    <s v="Rio de Janeiro"/>
    <s v="Non-Profit"/>
    <x v="3"/>
    <x v="1"/>
    <x v="5"/>
    <x v="450"/>
    <n v="5.5"/>
    <s v="Low"/>
    <n v="5.92"/>
    <n v="5.92"/>
    <n v="0.21199999999999999"/>
    <n v="4"/>
    <n v="1.2550399999999999"/>
    <n v="18.659839999999999"/>
    <n v="17.404799999999998"/>
    <n v="22"/>
    <n v="-3.3401600000000009"/>
    <n v="-4.5952000000000019"/>
    <n v="0.8481745454545454"/>
    <n v="0.2"/>
    <n v="6.3249999999999993"/>
    <n v="4.8"/>
  </r>
  <r>
    <x v="452"/>
    <d v="2024-12-17T00:00:00"/>
    <s v="q4"/>
    <s v="2023"/>
    <s v="Apr"/>
    <d v="2023-04-05T00:00:00"/>
    <d v="2023-04-16T00:00:00"/>
    <d v="2023-04-16T00:00:00"/>
    <x v="0"/>
    <n v="11"/>
    <n v="11"/>
    <x v="2"/>
    <x v="2"/>
    <s v="Vancouver"/>
    <s v="Non-Profit"/>
    <x v="2"/>
    <x v="6"/>
    <x v="3"/>
    <x v="451"/>
    <n v="213.1"/>
    <s v="Low"/>
    <n v="501.31"/>
    <n v="501.31"/>
    <n v="5.6000000000000001E-2"/>
    <n v="15"/>
    <n v="28.073360000000001"/>
    <n v="7098.5495999999994"/>
    <n v="7070.4762399999991"/>
    <n v="3196.5"/>
    <n v="3902.0495999999994"/>
    <n v="3873.9762399999991"/>
    <n v="2.2207256687001404"/>
    <n v="5.6000000000000001E-2"/>
    <n v="245.06499999999997"/>
    <n v="18"/>
  </r>
  <r>
    <x v="453"/>
    <d v="2024-12-17T00:00:00"/>
    <s v="q4"/>
    <s v="2025"/>
    <s v="Aug"/>
    <d v="2025-08-21T00:00:00"/>
    <d v="2025-09-12T00:00:00"/>
    <d v="2025-09-12T00:00:00"/>
    <x v="0"/>
    <n v="22"/>
    <n v="22"/>
    <x v="0"/>
    <x v="3"/>
    <s v="Shenzhen"/>
    <s v="Education"/>
    <x v="1"/>
    <x v="11"/>
    <x v="6"/>
    <x v="452"/>
    <n v="352.66"/>
    <s v="Low"/>
    <n v="411.18"/>
    <n v="411.18"/>
    <n v="0.17299999999999999"/>
    <n v="13"/>
    <n v="71.134140000000002"/>
    <n v="4420.5961799999995"/>
    <n v="4349.4620399999994"/>
    <n v="4584.58"/>
    <n v="-163.98382000000038"/>
    <n v="-235.11796000000049"/>
    <n v="0.96423144104803482"/>
    <n v="0.17299999999999999"/>
    <n v="405.55899999999997"/>
    <n v="15.6"/>
  </r>
  <r>
    <x v="454"/>
    <d v="2024-12-20T00:00:00"/>
    <s v="q4"/>
    <s v="2024"/>
    <s v="Feb"/>
    <d v="2024-02-03T00:00:00"/>
    <d v="2024-02-21T00:00:00"/>
    <d v="2024-02-21T00:00:00"/>
    <x v="0"/>
    <n v="18"/>
    <n v="18"/>
    <x v="1"/>
    <x v="1"/>
    <s v="Frankfurt"/>
    <s v="Corporate"/>
    <x v="1"/>
    <x v="14"/>
    <x v="2"/>
    <x v="453"/>
    <n v="39.229999999999997"/>
    <s v="Low"/>
    <n v="30.09"/>
    <n v="30.09"/>
    <n v="0.17699999999999999"/>
    <n v="13"/>
    <n v="5.3259299999999996"/>
    <n v="321.93290999999999"/>
    <n v="316.60698000000002"/>
    <n v="509.98999999999995"/>
    <n v="-188.05708999999996"/>
    <n v="-193.38301999999993"/>
    <n v="0.63125337751720623"/>
    <n v="0.17699999999999999"/>
    <n v="45.114499999999992"/>
    <n v="15.6"/>
  </r>
  <r>
    <x v="455"/>
    <d v="2024-12-21T00:00:00"/>
    <s v="q4"/>
    <s v="2023"/>
    <s v="Aug"/>
    <d v="2023-08-27T00:00:00"/>
    <d v="2023-09-11T00:00:00"/>
    <d v="2023-09-11T00:00:00"/>
    <x v="0"/>
    <n v="15"/>
    <n v="15"/>
    <x v="1"/>
    <x v="7"/>
    <s v="London"/>
    <s v="Consumer"/>
    <x v="4"/>
    <x v="0"/>
    <x v="6"/>
    <x v="454"/>
    <n v="943.79"/>
    <s v="High"/>
    <n v="1913.76"/>
    <n v="1913.76"/>
    <n v="9.0999999999999998E-2"/>
    <n v="9"/>
    <n v="174.15215999999998"/>
    <n v="15656.47056"/>
    <n v="15482.3184"/>
    <n v="8494.11"/>
    <n v="7162.3605599999992"/>
    <n v="6988.2083999999995"/>
    <n v="1.8432149524788353"/>
    <n v="9.0999999999999998E-2"/>
    <n v="1085.3584999999998"/>
    <n v="10.799999999999999"/>
  </r>
  <r>
    <x v="456"/>
    <d v="2024-12-23T00:00:00"/>
    <s v="q4"/>
    <s v="2025"/>
    <s v="Apr"/>
    <d v="2025-04-14T00:00:00"/>
    <d v="2025-05-04T00:00:00"/>
    <d v="2025-05-04T00:00:00"/>
    <x v="0"/>
    <n v="20"/>
    <n v="20"/>
    <x v="1"/>
    <x v="7"/>
    <s v="Birmingham"/>
    <s v="Enterprise"/>
    <x v="4"/>
    <x v="8"/>
    <x v="3"/>
    <x v="455"/>
    <n v="1413.87"/>
    <s v="High"/>
    <n v="3275"/>
    <n v="3275"/>
    <n v="0.255"/>
    <n v="38"/>
    <n v="835.125"/>
    <n v="92715.25"/>
    <n v="91880.125"/>
    <n v="53727.06"/>
    <n v="38988.19"/>
    <n v="38153.065000000002"/>
    <n v="1.7256713842149562"/>
    <n v="0.2"/>
    <n v="1625.9504999999997"/>
    <n v="45.6"/>
  </r>
  <r>
    <x v="457"/>
    <d v="2024-12-24T00:00:00"/>
    <s v="q4"/>
    <s v="2024"/>
    <s v="May"/>
    <d v="2024-05-23T00:00:00"/>
    <d v="2024-06-03T00:00:00"/>
    <d v="2024-06-03T00:00:00"/>
    <x v="0"/>
    <n v="11"/>
    <n v="11"/>
    <x v="3"/>
    <x v="11"/>
    <s v="Johannesburg"/>
    <s v="Small Business"/>
    <x v="0"/>
    <x v="9"/>
    <x v="6"/>
    <x v="456"/>
    <n v="180.89"/>
    <s v="Low"/>
    <n v="249.57"/>
    <n v="249.57"/>
    <n v="2.1999999999999999E-2"/>
    <n v="8"/>
    <n v="5.4905399999999993"/>
    <n v="1952.6356799999999"/>
    <n v="1947.1451399999999"/>
    <n v="1447.12"/>
    <n v="505.51567999999997"/>
    <n v="500.02513999999996"/>
    <n v="1.3493253358394603"/>
    <n v="2.1999999999999999E-2"/>
    <n v="208.02349999999996"/>
    <n v="9.6"/>
  </r>
  <r>
    <x v="458"/>
    <d v="2024-12-27T00:00:00"/>
    <s v="q4"/>
    <s v="2024"/>
    <s v="Jul"/>
    <d v="2024-07-15T00:00:00"/>
    <d v="2024-07-15T00:00:00"/>
    <d v="2024-07-15T00:00:00"/>
    <x v="1"/>
    <n v="0"/>
    <n v="0"/>
    <x v="0"/>
    <x v="0"/>
    <s v="Tokyo"/>
    <s v="Small Business"/>
    <x v="4"/>
    <x v="12"/>
    <x v="5"/>
    <x v="457"/>
    <n v="801.77"/>
    <s v="Medium"/>
    <n v="1218.92"/>
    <n v="1218.92"/>
    <n v="0.254"/>
    <n v="16"/>
    <n v="309.60568000000001"/>
    <n v="14549.029120000001"/>
    <n v="14239.42344"/>
    <n v="12828.32"/>
    <n v="1720.7091200000013"/>
    <n v="1411.1034400000008"/>
    <n v="1.1341336293450741"/>
    <n v="0.2"/>
    <n v="922.03549999999996"/>
    <n v="19.2"/>
  </r>
  <r>
    <x v="459"/>
    <d v="2024-12-27T00:00:00"/>
    <s v="q4"/>
    <s v="2023"/>
    <s v="Sept"/>
    <d v="2023-09-21T00:00:00"/>
    <d v="2023-10-10T00:00:00"/>
    <d v="2023-10-10T00:00:00"/>
    <x v="0"/>
    <n v="19"/>
    <n v="19"/>
    <x v="0"/>
    <x v="0"/>
    <s v="Tokyo"/>
    <s v="Education"/>
    <x v="2"/>
    <x v="10"/>
    <x v="2"/>
    <x v="458"/>
    <n v="845.63"/>
    <s v="High"/>
    <n v="2062.12"/>
    <n v="2062.12"/>
    <n v="0.13400000000000001"/>
    <n v="5"/>
    <n v="276.32407999999998"/>
    <n v="8928.9795999999988"/>
    <n v="8652.6555199999984"/>
    <n v="4228.1499999999996"/>
    <n v="4700.8295999999991"/>
    <n v="4424.5055199999988"/>
    <n v="2.1117934794177122"/>
    <n v="0.13400000000000001"/>
    <n v="972.47449999999992"/>
    <n v="6"/>
  </r>
  <r>
    <x v="460"/>
    <d v="2024-12-27T00:00:00"/>
    <s v="q4"/>
    <s v="2023"/>
    <s v="Feb"/>
    <d v="2023-02-24T00:00:00"/>
    <d v="2023-03-09T00:00:00"/>
    <d v="2023-03-09T00:00:00"/>
    <x v="0"/>
    <n v="13"/>
    <n v="13"/>
    <x v="2"/>
    <x v="10"/>
    <s v="New York"/>
    <s v="Enterprise"/>
    <x v="2"/>
    <x v="13"/>
    <x v="2"/>
    <x v="459"/>
    <n v="6.85"/>
    <s v="Low"/>
    <n v="10.18"/>
    <n v="10.18"/>
    <n v="4.7E-2"/>
    <n v="10"/>
    <n v="0.47846"/>
    <n v="97.0154"/>
    <n v="96.536940000000001"/>
    <n v="68.5"/>
    <n v="28.5154"/>
    <n v="28.036940000000001"/>
    <n v="1.4162832116788322"/>
    <n v="4.7E-2"/>
    <n v="7.8774999999999986"/>
    <n v="12"/>
  </r>
  <r>
    <x v="461"/>
    <d v="2024-12-27T00:00:00"/>
    <s v="q4"/>
    <s v="2025"/>
    <s v="May"/>
    <d v="2025-05-21T00:00:00"/>
    <d v="2025-05-21T00:00:00"/>
    <d v="2025-05-19T00:00:00"/>
    <x v="1"/>
    <n v="0"/>
    <n v="-2"/>
    <x v="3"/>
    <x v="11"/>
    <s v="Johannesburg"/>
    <s v="Non-Profit"/>
    <x v="0"/>
    <x v="6"/>
    <x v="0"/>
    <x v="460"/>
    <n v="1263.8399999999999"/>
    <s v="High"/>
    <n v="2281.7199999999998"/>
    <n v="2281.7199999999998"/>
    <n v="7.8E-2"/>
    <n v="15"/>
    <n v="177.97415999999998"/>
    <n v="31556.187599999997"/>
    <n v="31378.213439999996"/>
    <n v="18957.599999999999"/>
    <n v="12598.587599999999"/>
    <n v="12420.613439999997"/>
    <n v="1.6645665907076845"/>
    <n v="7.8E-2"/>
    <n v="1453.4159999999997"/>
    <n v="18"/>
  </r>
  <r>
    <x v="462"/>
    <d v="2024-12-28T00:00:00"/>
    <s v="q4"/>
    <s v="2024"/>
    <s v="Oct"/>
    <d v="2024-10-09T00:00:00"/>
    <d v="2024-11-08T00:00:00"/>
    <d v="2024-11-08T00:00:00"/>
    <x v="0"/>
    <n v="30"/>
    <n v="30"/>
    <x v="1"/>
    <x v="7"/>
    <s v="Manchester"/>
    <s v="Small Business"/>
    <x v="0"/>
    <x v="5"/>
    <x v="2"/>
    <x v="461"/>
    <n v="343.85"/>
    <s v="Low"/>
    <n v="538.04"/>
    <n v="538.04"/>
    <n v="0.13900000000000001"/>
    <n v="5"/>
    <n v="74.787559999999999"/>
    <n v="2316.2621999999997"/>
    <n v="2241.4746399999995"/>
    <n v="1719.25"/>
    <n v="597.01219999999967"/>
    <n v="522.22463999999945"/>
    <n v="1.3472515340991709"/>
    <n v="0.13900000000000001"/>
    <n v="395.42750000000001"/>
    <n v="6"/>
  </r>
  <r>
    <x v="463"/>
    <d v="2024-12-29T00:00:00"/>
    <s v="q4"/>
    <s v="2023"/>
    <s v="Oct"/>
    <d v="2023-10-07T00:00:00"/>
    <d v="2023-10-23T00:00:00"/>
    <d v="2023-10-23T00:00:00"/>
    <x v="0"/>
    <n v="16"/>
    <n v="16"/>
    <x v="0"/>
    <x v="4"/>
    <s v="Hyderabad"/>
    <s v="Consumer"/>
    <x v="1"/>
    <x v="12"/>
    <x v="3"/>
    <x v="462"/>
    <n v="906.81"/>
    <s v="Medium"/>
    <n v="1395.56"/>
    <n v="1395.56"/>
    <n v="0.185"/>
    <n v="6"/>
    <n v="258.17859999999996"/>
    <n v="6824.2884000000004"/>
    <n v="6566.1098000000002"/>
    <n v="5440.86"/>
    <n v="1383.4284000000007"/>
    <n v="1125.2498000000005"/>
    <n v="1.2542664946350395"/>
    <n v="0.185"/>
    <n v="1042.8314999999998"/>
    <n v="7.1999999999999993"/>
  </r>
  <r>
    <x v="464"/>
    <d v="2025-01-03T00:00:00"/>
    <s v="q1"/>
    <s v="2024"/>
    <s v="May"/>
    <d v="2024-05-23T00:00:00"/>
    <d v="2024-06-14T00:00:00"/>
    <d v="2024-06-14T00:00:00"/>
    <x v="0"/>
    <n v="22"/>
    <n v="22"/>
    <x v="1"/>
    <x v="8"/>
    <s v="Marseille"/>
    <s v="Small Business"/>
    <x v="2"/>
    <x v="0"/>
    <x v="3"/>
    <x v="463"/>
    <n v="1481.74"/>
    <s v="Medium"/>
    <n v="1848.97"/>
    <n v="1848.97"/>
    <n v="0.254"/>
    <n v="9"/>
    <n v="469.63838000000004"/>
    <n v="12413.98458"/>
    <n v="11944.3462"/>
    <n v="13335.66"/>
    <n v="-921.67541999999958"/>
    <n v="-1391.3137999999999"/>
    <n v="0.93088640382253296"/>
    <n v="0.2"/>
    <n v="1704.001"/>
    <n v="10.799999999999999"/>
  </r>
  <r>
    <x v="465"/>
    <d v="2025-01-04T00:00:00"/>
    <s v="q1"/>
    <s v="2023"/>
    <s v="Apr"/>
    <d v="2023-04-18T00:00:00"/>
    <d v="2023-05-18T00:00:00"/>
    <d v="2023-05-18T00:00:00"/>
    <x v="0"/>
    <n v="30"/>
    <n v="30"/>
    <x v="0"/>
    <x v="3"/>
    <s v="Shenzhen"/>
    <s v="Non-Profit"/>
    <x v="1"/>
    <x v="14"/>
    <x v="0"/>
    <x v="464"/>
    <n v="329.03"/>
    <s v="Low"/>
    <n v="391.15"/>
    <n v="391.15"/>
    <n v="0.19700000000000001"/>
    <n v="46"/>
    <n v="77.056550000000001"/>
    <n v="14448.298699999998"/>
    <n v="14371.242149999998"/>
    <n v="15135.38"/>
    <n v="-687.08130000000165"/>
    <n v="-764.13785000000098"/>
    <n v="0.95460429140199976"/>
    <n v="0.19700000000000001"/>
    <n v="378.38449999999995"/>
    <n v="55.199999999999996"/>
  </r>
  <r>
    <x v="466"/>
    <d v="2025-01-07T00:00:00"/>
    <s v="q1"/>
    <s v="2023"/>
    <s v="Feb"/>
    <d v="2023-02-19T00:00:00"/>
    <d v="2023-03-12T00:00:00"/>
    <d v="2023-03-12T00:00:00"/>
    <x v="0"/>
    <n v="21"/>
    <n v="21"/>
    <x v="1"/>
    <x v="1"/>
    <s v="Berlin"/>
    <s v="Small Business"/>
    <x v="3"/>
    <x v="1"/>
    <x v="3"/>
    <x v="465"/>
    <n v="1234.81"/>
    <s v="High"/>
    <n v="2055.2399999999998"/>
    <n v="2055.2399999999998"/>
    <n v="5.2999999999999999E-2"/>
    <n v="44"/>
    <n v="108.92771999999998"/>
    <n v="85637.740319999997"/>
    <n v="85528.81259999999"/>
    <n v="54331.64"/>
    <n v="31306.100319999998"/>
    <n v="31197.172599999991"/>
    <n v="1.5762038532243827"/>
    <n v="5.2999999999999999E-2"/>
    <n v="1420.0314999999998"/>
    <n v="52.8"/>
  </r>
  <r>
    <x v="467"/>
    <d v="2025-01-09T00:00:00"/>
    <s v="q1"/>
    <s v="2024"/>
    <s v="Jun"/>
    <d v="2024-06-04T00:00:00"/>
    <d v="2024-06-16T00:00:00"/>
    <d v="2024-06-16T00:00:00"/>
    <x v="0"/>
    <n v="12"/>
    <n v="12"/>
    <x v="0"/>
    <x v="3"/>
    <s v="Shanghai"/>
    <s v="Corporate"/>
    <x v="1"/>
    <x v="5"/>
    <x v="6"/>
    <x v="466"/>
    <n v="918.42"/>
    <s v="Medium"/>
    <n v="1511.71"/>
    <n v="1511.71"/>
    <n v="0.02"/>
    <n v="8"/>
    <n v="30.234200000000001"/>
    <n v="11851.806399999999"/>
    <n v="11821.572199999999"/>
    <n v="7347.36"/>
    <n v="4504.4463999999998"/>
    <n v="4474.212199999999"/>
    <n v="1.6130700550946191"/>
    <n v="0.02"/>
    <n v="1056.1829999999998"/>
    <n v="9.6"/>
  </r>
  <r>
    <x v="468"/>
    <d v="2025-01-10T00:00:00"/>
    <s v="q1"/>
    <s v="2023"/>
    <s v="Mar"/>
    <d v="2023-03-25T00:00:00"/>
    <d v="2023-03-26T00:00:00"/>
    <d v="2023-03-26T00:00:00"/>
    <x v="1"/>
    <n v="1"/>
    <n v="1"/>
    <x v="0"/>
    <x v="0"/>
    <s v="Osaka"/>
    <s v="Small Business"/>
    <x v="0"/>
    <x v="7"/>
    <x v="3"/>
    <x v="467"/>
    <n v="135.12"/>
    <s v="Low"/>
    <n v="301.7"/>
    <n v="301.7"/>
    <n v="0.14000000000000001"/>
    <n v="47"/>
    <n v="42.238"/>
    <n v="12194.714"/>
    <n v="12152.476000000001"/>
    <n v="6350.64"/>
    <n v="5844.0739999999996"/>
    <n v="5801.8360000000002"/>
    <n v="1.9202338661930136"/>
    <n v="0.14000000000000001"/>
    <n v="155.38800000000001"/>
    <n v="56.4"/>
  </r>
  <r>
    <x v="469"/>
    <d v="2025-01-11T00:00:00"/>
    <s v="q1"/>
    <s v="2024"/>
    <s v="Apr"/>
    <d v="2024-04-03T00:00:00"/>
    <d v="2024-04-07T00:00:00"/>
    <d v="2024-04-07T00:00:00"/>
    <x v="1"/>
    <n v="4"/>
    <n v="4"/>
    <x v="2"/>
    <x v="6"/>
    <s v="Brasília"/>
    <s v="Non-Profit"/>
    <x v="3"/>
    <x v="0"/>
    <x v="1"/>
    <x v="468"/>
    <n v="1023.27"/>
    <s v="Medium"/>
    <n v="1343.64"/>
    <n v="1343.64"/>
    <n v="0.13300000000000001"/>
    <n v="7"/>
    <n v="178.70412000000002"/>
    <n v="8154.5511600000009"/>
    <n v="7975.8470400000006"/>
    <n v="7162.8899999999994"/>
    <n v="991.66116000000147"/>
    <n v="812.95704000000114"/>
    <n v="1.1384442815679148"/>
    <n v="0.13300000000000001"/>
    <n v="1176.7604999999999"/>
    <n v="8.4"/>
  </r>
  <r>
    <x v="470"/>
    <d v="2025-01-13T00:00:00"/>
    <s v="q1"/>
    <s v="2024"/>
    <s v="Oct"/>
    <d v="2024-10-30T00:00:00"/>
    <d v="2024-11-24T00:00:00"/>
    <d v="2024-11-24T00:00:00"/>
    <x v="0"/>
    <n v="25"/>
    <n v="25"/>
    <x v="0"/>
    <x v="3"/>
    <s v="Shenzhen"/>
    <s v="Small Business"/>
    <x v="2"/>
    <x v="2"/>
    <x v="2"/>
    <x v="469"/>
    <n v="811.05"/>
    <s v="Medium"/>
    <n v="1217.71"/>
    <n v="1217.71"/>
    <n v="7.1999999999999995E-2"/>
    <n v="5"/>
    <n v="87.675119999999993"/>
    <n v="5650.1744000000008"/>
    <n v="5562.4992800000009"/>
    <n v="4055.25"/>
    <n v="1594.9244000000008"/>
    <n v="1507.2492800000009"/>
    <n v="1.3932986622279764"/>
    <n v="7.1999999999999995E-2"/>
    <n v="932.70749999999987"/>
    <n v="6"/>
  </r>
  <r>
    <x v="471"/>
    <d v="2025-01-17T00:00:00"/>
    <s v="q1"/>
    <s v="2023"/>
    <s v="Feb"/>
    <d v="2023-02-20T00:00:00"/>
    <d v="2023-03-04T00:00:00"/>
    <d v="2023-03-04T00:00:00"/>
    <x v="0"/>
    <n v="12"/>
    <n v="12"/>
    <x v="0"/>
    <x v="4"/>
    <s v="Delhi"/>
    <s v="Consumer"/>
    <x v="0"/>
    <x v="13"/>
    <x v="3"/>
    <x v="470"/>
    <n v="299.75"/>
    <s v="Low"/>
    <n v="523.01"/>
    <n v="523.01"/>
    <n v="0.157"/>
    <n v="50"/>
    <n v="82.112570000000005"/>
    <n v="22044.871499999997"/>
    <n v="21962.758929999996"/>
    <n v="14987.5"/>
    <n v="7057.3714999999975"/>
    <n v="6975.2589299999963"/>
    <n v="1.470883836530442"/>
    <n v="0.157"/>
    <n v="344.71249999999998"/>
    <n v="60"/>
  </r>
  <r>
    <x v="472"/>
    <d v="2025-01-20T00:00:00"/>
    <s v="q1"/>
    <s v="2025"/>
    <s v="Aug"/>
    <d v="2025-08-01T00:00:00"/>
    <d v="2025-08-21T00:00:00"/>
    <d v="2025-08-21T00:00:00"/>
    <x v="0"/>
    <n v="20"/>
    <n v="20"/>
    <x v="0"/>
    <x v="3"/>
    <s v="Shanghai"/>
    <s v="Corporate"/>
    <x v="3"/>
    <x v="7"/>
    <x v="1"/>
    <x v="471"/>
    <n v="1220.4100000000001"/>
    <s v="High"/>
    <n v="2552.2199999999998"/>
    <n v="2552.2199999999998"/>
    <n v="0.18099999999999999"/>
    <n v="14"/>
    <n v="461.95181999999994"/>
    <n v="29263.754519999995"/>
    <n v="28801.802699999997"/>
    <n v="17085.740000000002"/>
    <n v="12178.014519999993"/>
    <n v="11716.062699999995"/>
    <n v="1.7127589744430145"/>
    <n v="0.18099999999999999"/>
    <n v="1403.4714999999999"/>
    <n v="16.8"/>
  </r>
  <r>
    <x v="473"/>
    <d v="2025-01-21T00:00:00"/>
    <s v="q1"/>
    <s v="2024"/>
    <s v="Aug"/>
    <d v="2024-08-27T00:00:00"/>
    <d v="2024-09-18T00:00:00"/>
    <d v="2024-09-18T00:00:00"/>
    <x v="0"/>
    <n v="22"/>
    <n v="22"/>
    <x v="0"/>
    <x v="4"/>
    <s v="Delhi"/>
    <s v="Consumer"/>
    <x v="3"/>
    <x v="11"/>
    <x v="2"/>
    <x v="472"/>
    <n v="896.75"/>
    <s v="Medium"/>
    <n v="1651.14"/>
    <n v="1651.14"/>
    <n v="2.5000000000000001E-2"/>
    <n v="15"/>
    <n v="41.278500000000008"/>
    <n v="24147.922500000001"/>
    <n v="24106.644"/>
    <n v="13451.25"/>
    <n v="10696.672500000001"/>
    <n v="10655.394"/>
    <n v="1.7952177306941735"/>
    <n v="2.5000000000000001E-2"/>
    <n v="1031.2624999999998"/>
    <n v="18"/>
  </r>
  <r>
    <x v="474"/>
    <d v="2025-01-21T00:00:00"/>
    <s v="q1"/>
    <s v="2025"/>
    <s v="Feb"/>
    <d v="2025-02-15T00:00:00"/>
    <d v="2025-02-15T00:00:00"/>
    <d v="2025-02-15T00:00:00"/>
    <x v="1"/>
    <n v="0"/>
    <n v="0"/>
    <x v="1"/>
    <x v="1"/>
    <s v="Frankfurt"/>
    <s v="Small Business"/>
    <x v="4"/>
    <x v="1"/>
    <x v="5"/>
    <x v="473"/>
    <n v="815.83"/>
    <s v="High"/>
    <n v="1982.18"/>
    <n v="1982.18"/>
    <n v="0.127"/>
    <n v="6"/>
    <n v="251.73686000000001"/>
    <n v="10382.65884"/>
    <n v="10130.921979999999"/>
    <n v="4894.9800000000005"/>
    <n v="5487.6788399999996"/>
    <n v="5235.9419799999987"/>
    <n v="2.1210829952318497"/>
    <n v="0.127"/>
    <n v="938.20449999999994"/>
    <n v="7.1999999999999993"/>
  </r>
  <r>
    <x v="475"/>
    <d v="2025-01-22T00:00:00"/>
    <s v="q1"/>
    <s v="2024"/>
    <s v="Aug"/>
    <d v="2024-08-07T00:00:00"/>
    <d v="2024-08-17T00:00:00"/>
    <d v="2024-08-17T00:00:00"/>
    <x v="0"/>
    <n v="10"/>
    <n v="10"/>
    <x v="0"/>
    <x v="0"/>
    <s v="Osaka"/>
    <s v="Consumer"/>
    <x v="2"/>
    <x v="8"/>
    <x v="4"/>
    <x v="474"/>
    <n v="436.58"/>
    <s v="Low"/>
    <n v="527.48"/>
    <n v="527.48"/>
    <n v="0.111"/>
    <n v="19"/>
    <n v="58.550280000000001"/>
    <n v="8909.6646800000017"/>
    <n v="8851.1144000000022"/>
    <n v="8295.02"/>
    <n v="614.64468000000124"/>
    <n v="556.09440000000177"/>
    <n v="1.0740980347244493"/>
    <n v="0.111"/>
    <n v="502.06699999999995"/>
    <n v="22.8"/>
  </r>
  <r>
    <x v="476"/>
    <d v="2025-01-22T00:00:00"/>
    <s v="q1"/>
    <s v="2024"/>
    <s v="Feb"/>
    <d v="2024-02-01T00:00:00"/>
    <d v="2024-02-21T00:00:00"/>
    <d v="2024-02-21T00:00:00"/>
    <x v="0"/>
    <n v="20"/>
    <n v="20"/>
    <x v="1"/>
    <x v="8"/>
    <s v="Paris"/>
    <s v="Small Business"/>
    <x v="4"/>
    <x v="3"/>
    <x v="4"/>
    <x v="475"/>
    <n v="656.2"/>
    <s v="Medium"/>
    <n v="1467.17"/>
    <n v="1467.17"/>
    <n v="1.7999999999999999E-2"/>
    <n v="5"/>
    <n v="26.40906"/>
    <n v="7203.8047000000006"/>
    <n v="7177.3956400000006"/>
    <n v="3281"/>
    <n v="3922.8047000000006"/>
    <n v="3896.3956400000006"/>
    <n v="2.1956125266686985"/>
    <n v="1.7999999999999999E-2"/>
    <n v="754.63"/>
    <n v="6"/>
  </r>
  <r>
    <x v="477"/>
    <d v="2025-01-27T00:00:00"/>
    <s v="q1"/>
    <s v="2023"/>
    <s v="Oct"/>
    <d v="2023-10-31T00:00:00"/>
    <d v="2023-11-02T00:00:00"/>
    <d v="2023-11-02T00:00:00"/>
    <x v="1"/>
    <n v="2"/>
    <n v="2"/>
    <x v="3"/>
    <x v="5"/>
    <s v="Kisumu"/>
    <s v="Education"/>
    <x v="1"/>
    <x v="6"/>
    <x v="5"/>
    <x v="476"/>
    <n v="867.89"/>
    <s v="Medium"/>
    <n v="1349.94"/>
    <n v="1349.94"/>
    <n v="0.184"/>
    <n v="10"/>
    <n v="248.38896"/>
    <n v="11015.510400000003"/>
    <n v="10767.121440000003"/>
    <n v="8678.9"/>
    <n v="2336.6104000000032"/>
    <n v="2088.221440000003"/>
    <n v="1.2692288654092112"/>
    <n v="0.184"/>
    <n v="998.07349999999985"/>
    <n v="12"/>
  </r>
  <r>
    <x v="478"/>
    <d v="2025-01-29T00:00:00"/>
    <s v="q1"/>
    <s v="2024"/>
    <s v="Feb"/>
    <d v="2024-02-18T00:00:00"/>
    <d v="2024-03-04T00:00:00"/>
    <d v="2024-03-04T00:00:00"/>
    <x v="0"/>
    <n v="15"/>
    <n v="15"/>
    <x v="3"/>
    <x v="5"/>
    <s v="Kisumu"/>
    <s v="Education"/>
    <x v="3"/>
    <x v="8"/>
    <x v="6"/>
    <x v="477"/>
    <n v="928.68"/>
    <s v="High"/>
    <n v="2145.17"/>
    <n v="2145.17"/>
    <n v="0.13600000000000001"/>
    <n v="16"/>
    <n v="291.74312000000003"/>
    <n v="29654.83008"/>
    <n v="29363.086960000001"/>
    <n v="14858.88"/>
    <n v="14795.950080000001"/>
    <n v="14504.206960000001"/>
    <n v="1.9957648274970927"/>
    <n v="0.13600000000000001"/>
    <n v="1067.982"/>
    <n v="19.2"/>
  </r>
  <r>
    <x v="479"/>
    <d v="2025-01-31T00:00:00"/>
    <s v="q1"/>
    <s v="2023"/>
    <s v="Dec"/>
    <d v="2023-12-07T00:00:00"/>
    <d v="2023-12-07T00:00:00"/>
    <d v="2023-12-05T00:00:00"/>
    <x v="1"/>
    <n v="0"/>
    <n v="-2"/>
    <x v="0"/>
    <x v="0"/>
    <s v="Tokyo"/>
    <s v="Non-Profit"/>
    <x v="4"/>
    <x v="14"/>
    <x v="6"/>
    <x v="478"/>
    <n v="1097.5899999999999"/>
    <s v="Medium"/>
    <n v="845.55"/>
    <n v="845.55"/>
    <n v="0.184"/>
    <n v="6"/>
    <n v="155.5812"/>
    <n v="4139.8127999999997"/>
    <n v="3984.2315999999996"/>
    <n v="6585.5399999999991"/>
    <n v="-2445.7271999999994"/>
    <n v="-2601.3083999999994"/>
    <n v="0.62862161645058723"/>
    <n v="0.184"/>
    <n v="1262.2284999999997"/>
    <n v="7.1999999999999993"/>
  </r>
  <r>
    <x v="480"/>
    <d v="2025-02-02T00:00:00"/>
    <s v="q1"/>
    <s v="2023"/>
    <s v="Jul"/>
    <d v="2023-07-03T00:00:00"/>
    <d v="2023-07-23T00:00:00"/>
    <d v="2023-07-23T00:00:00"/>
    <x v="0"/>
    <n v="20"/>
    <n v="20"/>
    <x v="3"/>
    <x v="11"/>
    <s v="Johannesburg"/>
    <s v="Small Business"/>
    <x v="0"/>
    <x v="9"/>
    <x v="0"/>
    <x v="479"/>
    <n v="1001.96"/>
    <s v="Medium"/>
    <n v="1254.95"/>
    <n v="1254.95"/>
    <n v="4.4999999999999998E-2"/>
    <n v="18"/>
    <n v="56.472749999999998"/>
    <n v="21572.590500000002"/>
    <n v="21516.117750000001"/>
    <n v="18035.28"/>
    <n v="3537.3105000000032"/>
    <n v="3480.8377500000024"/>
    <n v="1.1961328296538787"/>
    <n v="4.4999999999999998E-2"/>
    <n v="1152.2539999999999"/>
    <n v="21.599999999999998"/>
  </r>
  <r>
    <x v="481"/>
    <d v="2025-02-04T00:00:00"/>
    <s v="q1"/>
    <s v="2024"/>
    <s v="Sept"/>
    <d v="2024-09-23T00:00:00"/>
    <d v="2024-10-18T00:00:00"/>
    <d v="2024-10-18T00:00:00"/>
    <x v="0"/>
    <n v="25"/>
    <n v="25"/>
    <x v="2"/>
    <x v="2"/>
    <s v="Vancouver"/>
    <s v="Small Business"/>
    <x v="2"/>
    <x v="0"/>
    <x v="1"/>
    <x v="480"/>
    <n v="1297"/>
    <s v="High"/>
    <n v="2411.52"/>
    <n v="2411.52"/>
    <n v="2.1000000000000001E-2"/>
    <n v="18"/>
    <n v="50.641920000000006"/>
    <n v="42495.805439999996"/>
    <n v="42445.163519999995"/>
    <n v="23346"/>
    <n v="19149.805439999996"/>
    <n v="19099.163519999995"/>
    <n v="1.8202606630686198"/>
    <n v="2.1000000000000001E-2"/>
    <n v="1491.55"/>
    <n v="21.599999999999998"/>
  </r>
  <r>
    <x v="482"/>
    <d v="2025-02-04T00:00:00"/>
    <s v="q1"/>
    <s v="2025"/>
    <s v="Apr"/>
    <d v="2025-04-16T00:00:00"/>
    <d v="2025-05-16T00:00:00"/>
    <d v="2025-05-16T00:00:00"/>
    <x v="0"/>
    <n v="30"/>
    <n v="30"/>
    <x v="2"/>
    <x v="2"/>
    <s v="Montreal"/>
    <s v="Enterprise"/>
    <x v="0"/>
    <x v="8"/>
    <x v="6"/>
    <x v="481"/>
    <n v="763.32"/>
    <s v="Low"/>
    <n v="568.29"/>
    <n v="568.29"/>
    <n v="0.13100000000000001"/>
    <n v="16"/>
    <n v="74.445989999999995"/>
    <n v="7901.5041599999995"/>
    <n v="7827.0581699999993"/>
    <n v="12213.12"/>
    <n v="-4311.6158400000013"/>
    <n v="-4386.0618300000015"/>
    <n v="0.64696851910077025"/>
    <n v="0.13100000000000001"/>
    <n v="877.81799999999998"/>
    <n v="19.2"/>
  </r>
  <r>
    <x v="483"/>
    <d v="2025-02-06T00:00:00"/>
    <s v="q1"/>
    <s v="2023"/>
    <s v="Sept"/>
    <d v="2023-09-14T00:00:00"/>
    <d v="2023-09-16T00:00:00"/>
    <d v="2023-09-16T00:00:00"/>
    <x v="1"/>
    <n v="2"/>
    <n v="2"/>
    <x v="1"/>
    <x v="8"/>
    <s v="Lyon"/>
    <s v="Non-Profit"/>
    <x v="3"/>
    <x v="11"/>
    <x v="6"/>
    <x v="482"/>
    <n v="376.83"/>
    <s v="Medium"/>
    <n v="732.88"/>
    <n v="732.88"/>
    <n v="0.188"/>
    <n v="25"/>
    <n v="137.78144"/>
    <n v="14877.464000000002"/>
    <n v="14739.682560000001"/>
    <n v="9420.75"/>
    <n v="5456.7140000000018"/>
    <n v="5318.9325600000011"/>
    <n v="1.5792228856513548"/>
    <n v="0.188"/>
    <n v="433.35449999999997"/>
    <n v="30"/>
  </r>
  <r>
    <x v="484"/>
    <d v="2025-02-07T00:00:00"/>
    <s v="q1"/>
    <s v="2024"/>
    <s v="Apr"/>
    <d v="2024-04-04T00:00:00"/>
    <d v="2024-04-24T00:00:00"/>
    <d v="2024-04-24T00:00:00"/>
    <x v="0"/>
    <n v="20"/>
    <n v="20"/>
    <x v="1"/>
    <x v="1"/>
    <s v="Frankfurt"/>
    <s v="Non-Profit"/>
    <x v="3"/>
    <x v="6"/>
    <x v="5"/>
    <x v="483"/>
    <n v="683.42"/>
    <s v="Medium"/>
    <n v="951.51"/>
    <n v="951.51"/>
    <n v="0"/>
    <n v="14"/>
    <n v="0"/>
    <n v="13321.14"/>
    <n v="13321.14"/>
    <n v="9567.8799999999992"/>
    <n v="3753.26"/>
    <n v="3753.26"/>
    <n v="1.3922770770536421"/>
    <n v="0"/>
    <n v="785.93299999999988"/>
    <n v="16.8"/>
  </r>
  <r>
    <x v="485"/>
    <d v="2025-02-09T00:00:00"/>
    <s v="q1"/>
    <s v="2025"/>
    <s v="Sept"/>
    <d v="2025-09-11T00:00:00"/>
    <d v="2025-09-28T00:00:00"/>
    <d v="2025-09-28T00:00:00"/>
    <x v="0"/>
    <n v="17"/>
    <n v="17"/>
    <x v="3"/>
    <x v="5"/>
    <s v="Nairobi"/>
    <s v="Non-Profit"/>
    <x v="0"/>
    <x v="5"/>
    <x v="0"/>
    <x v="484"/>
    <n v="891.46"/>
    <s v="Medium"/>
    <n v="728.61"/>
    <n v="728.61"/>
    <n v="0.185"/>
    <n v="6"/>
    <n v="134.79284999999999"/>
    <n v="3562.9028999999996"/>
    <n v="3428.1100499999998"/>
    <n v="5348.76"/>
    <n v="-1785.8571000000006"/>
    <n v="-1920.6499500000004"/>
    <n v="0.66611754874026863"/>
    <n v="0.185"/>
    <n v="1025.1789999999999"/>
    <n v="7.1999999999999993"/>
  </r>
  <r>
    <x v="486"/>
    <d v="2025-02-12T00:00:00"/>
    <s v="q1"/>
    <s v="2023"/>
    <s v="Nov"/>
    <d v="2023-11-30T00:00:00"/>
    <d v="2023-11-30T00:00:00"/>
    <d v="2023-11-29T00:00:00"/>
    <x v="1"/>
    <n v="0"/>
    <n v="-1"/>
    <x v="3"/>
    <x v="11"/>
    <s v="Durban"/>
    <s v="Small Business"/>
    <x v="4"/>
    <x v="2"/>
    <x v="0"/>
    <x v="485"/>
    <n v="275.56"/>
    <s v="Medium"/>
    <n v="630.72"/>
    <n v="630.72"/>
    <n v="0.107"/>
    <n v="23"/>
    <n v="67.487040000000007"/>
    <n v="12954.358080000002"/>
    <n v="12886.871040000002"/>
    <n v="6337.88"/>
    <n v="6616.4780800000017"/>
    <n v="6548.9910400000017"/>
    <n v="2.043957613586878"/>
    <n v="0.107"/>
    <n v="316.89400000000001"/>
    <n v="27.599999999999998"/>
  </r>
  <r>
    <x v="487"/>
    <d v="2025-02-15T00:00:00"/>
    <s v="q1"/>
    <s v="2023"/>
    <s v="Jul"/>
    <d v="2023-07-26T00:00:00"/>
    <d v="2023-08-25T00:00:00"/>
    <d v="2023-08-25T00:00:00"/>
    <x v="0"/>
    <n v="30"/>
    <n v="30"/>
    <x v="2"/>
    <x v="10"/>
    <s v="New York"/>
    <s v="Consumer"/>
    <x v="1"/>
    <x v="13"/>
    <x v="5"/>
    <x v="486"/>
    <n v="1261.48"/>
    <s v="Medium"/>
    <n v="1643.18"/>
    <n v="1643.18"/>
    <n v="0.151"/>
    <n v="23"/>
    <n v="248.12018"/>
    <n v="32086.37586"/>
    <n v="31838.255679999998"/>
    <n v="29014.04"/>
    <n v="3072.3358599999992"/>
    <n v="2824.2156799999975"/>
    <n v="1.1058913498430414"/>
    <n v="0.151"/>
    <n v="1450.702"/>
    <n v="27.599999999999998"/>
  </r>
  <r>
    <x v="488"/>
    <d v="2025-02-15T00:00:00"/>
    <s v="q1"/>
    <s v="2024"/>
    <s v="Jun"/>
    <d v="2024-06-15T00:00:00"/>
    <d v="2024-07-06T00:00:00"/>
    <d v="2024-07-06T00:00:00"/>
    <x v="0"/>
    <n v="21"/>
    <n v="21"/>
    <x v="2"/>
    <x v="2"/>
    <s v="Toronto"/>
    <s v="Enterprise"/>
    <x v="0"/>
    <x v="1"/>
    <x v="6"/>
    <x v="487"/>
    <n v="817.23"/>
    <s v="Medium"/>
    <n v="1467.17"/>
    <n v="1467.17"/>
    <n v="0.245"/>
    <n v="9"/>
    <n v="359.45665000000002"/>
    <n v="9969.4201499999999"/>
    <n v="9609.9634999999998"/>
    <n v="7355.07"/>
    <n v="2614.3501500000002"/>
    <n v="2254.8935000000001"/>
    <n v="1.3554487108892235"/>
    <n v="0.2"/>
    <n v="939.81449999999995"/>
    <n v="10.799999999999999"/>
  </r>
  <r>
    <x v="489"/>
    <d v="2025-02-15T00:00:00"/>
    <s v="q1"/>
    <s v="2023"/>
    <s v="Jul"/>
    <d v="2023-07-05T00:00:00"/>
    <d v="2023-07-14T00:00:00"/>
    <d v="2023-07-14T00:00:00"/>
    <x v="0"/>
    <n v="9"/>
    <n v="9"/>
    <x v="2"/>
    <x v="6"/>
    <s v="Brasília"/>
    <s v="Enterprise"/>
    <x v="3"/>
    <x v="11"/>
    <x v="4"/>
    <x v="488"/>
    <n v="578.85"/>
    <s v="Medium"/>
    <n v="998.76"/>
    <n v="998.76"/>
    <n v="8.2000000000000003E-2"/>
    <n v="28"/>
    <n v="81.898319999999998"/>
    <n v="25672.127039999999"/>
    <n v="25590.228719999999"/>
    <n v="16207.800000000001"/>
    <n v="9464.3270399999983"/>
    <n v="9382.4287199999981"/>
    <n v="1.5839365638766518"/>
    <n v="8.2000000000000003E-2"/>
    <n v="665.67750000000001"/>
    <n v="33.6"/>
  </r>
  <r>
    <x v="490"/>
    <d v="2025-02-16T00:00:00"/>
    <s v="q1"/>
    <s v="2024"/>
    <s v="Dec"/>
    <d v="2024-12-23T00:00:00"/>
    <d v="2025-01-11T00:00:00"/>
    <d v="2025-01-11T00:00:00"/>
    <x v="0"/>
    <n v="19"/>
    <n v="19"/>
    <x v="1"/>
    <x v="1"/>
    <s v="Berlin"/>
    <s v="Education"/>
    <x v="1"/>
    <x v="8"/>
    <x v="1"/>
    <x v="489"/>
    <n v="501.81"/>
    <s v="Medium"/>
    <n v="921.62"/>
    <n v="921.62"/>
    <n v="0.01"/>
    <n v="9"/>
    <n v="9.2162000000000006"/>
    <n v="8211.6342000000004"/>
    <n v="8202.4179999999997"/>
    <n v="4516.29"/>
    <n v="3695.3442000000005"/>
    <n v="3686.1279999999997"/>
    <n v="1.8182256232438574"/>
    <n v="0.01"/>
    <n v="577.08150000000001"/>
    <n v="10.799999999999999"/>
  </r>
  <r>
    <x v="491"/>
    <d v="2025-02-17T00:00:00"/>
    <s v="q1"/>
    <s v="2023"/>
    <s v="May"/>
    <d v="2023-05-02T00:00:00"/>
    <d v="2023-05-18T00:00:00"/>
    <d v="2023-05-18T00:00:00"/>
    <x v="0"/>
    <n v="16"/>
    <n v="16"/>
    <x v="0"/>
    <x v="4"/>
    <s v="Delhi"/>
    <s v="Small Business"/>
    <x v="4"/>
    <x v="8"/>
    <x v="3"/>
    <x v="490"/>
    <n v="1463.92"/>
    <s v="High"/>
    <n v="2252.2399999999998"/>
    <n v="2252.2399999999998"/>
    <n v="0.11799999999999999"/>
    <n v="44"/>
    <n v="265.76431999999994"/>
    <n v="87404.929919999995"/>
    <n v="87139.165599999993"/>
    <n v="64412.480000000003"/>
    <n v="22992.449919999992"/>
    <n v="22726.68559999999"/>
    <n v="1.3569564457074155"/>
    <n v="0.11799999999999999"/>
    <n v="1683.508"/>
    <n v="52.8"/>
  </r>
  <r>
    <x v="492"/>
    <d v="2025-02-19T00:00:00"/>
    <s v="q1"/>
    <s v="2024"/>
    <s v="Feb"/>
    <d v="2024-02-14T00:00:00"/>
    <d v="2024-02-14T00:00:00"/>
    <d v="2024-02-14T00:00:00"/>
    <x v="1"/>
    <n v="0"/>
    <n v="0"/>
    <x v="0"/>
    <x v="3"/>
    <s v="Beijing"/>
    <s v="Corporate"/>
    <x v="0"/>
    <x v="1"/>
    <x v="5"/>
    <x v="491"/>
    <n v="65.930000000000007"/>
    <s v="Low"/>
    <n v="84.9"/>
    <n v="84.9"/>
    <n v="0.25900000000000001"/>
    <n v="23"/>
    <n v="21.989100000000001"/>
    <n v="1446.9507000000001"/>
    <n v="1424.9616000000001"/>
    <n v="1516.39"/>
    <n v="-69.439300000000003"/>
    <n v="-91.428400000000011"/>
    <n v="0.95420749279538908"/>
    <n v="0.2"/>
    <n v="75.819500000000005"/>
    <n v="27.599999999999998"/>
  </r>
  <r>
    <x v="493"/>
    <d v="2025-02-21T00:00:00"/>
    <s v="q1"/>
    <s v="2024"/>
    <s v="Nov"/>
    <d v="2024-11-20T00:00:00"/>
    <d v="2024-12-15T00:00:00"/>
    <d v="2024-12-15T00:00:00"/>
    <x v="0"/>
    <n v="25"/>
    <n v="25"/>
    <x v="1"/>
    <x v="8"/>
    <s v="Paris"/>
    <s v="Corporate"/>
    <x v="2"/>
    <x v="12"/>
    <x v="6"/>
    <x v="492"/>
    <n v="1203.58"/>
    <s v="Medium"/>
    <n v="1856.16"/>
    <n v="1856.16"/>
    <n v="0.129"/>
    <n v="22"/>
    <n v="239.44464000000002"/>
    <n v="35567.737920000007"/>
    <n v="35328.293280000005"/>
    <n v="26478.76"/>
    <n v="9088.9779200000085"/>
    <n v="8849.5332800000069"/>
    <n v="1.3432554213263765"/>
    <n v="0.129"/>
    <n v="1384.1169999999997"/>
    <n v="26.4"/>
  </r>
  <r>
    <x v="494"/>
    <d v="2025-02-25T00:00:00"/>
    <s v="q1"/>
    <s v="2023"/>
    <s v="Mar"/>
    <d v="2023-03-31T00:00:00"/>
    <d v="2023-04-12T00:00:00"/>
    <d v="2023-04-12T00:00:00"/>
    <x v="0"/>
    <n v="12"/>
    <n v="12"/>
    <x v="3"/>
    <x v="5"/>
    <s v="Mombasa"/>
    <s v="Small Business"/>
    <x v="2"/>
    <x v="4"/>
    <x v="1"/>
    <x v="493"/>
    <n v="304.22000000000003"/>
    <s v="Low"/>
    <n v="393.31"/>
    <n v="393.31"/>
    <n v="0.26500000000000001"/>
    <n v="15"/>
    <n v="104.22715000000001"/>
    <n v="4336.2427499999994"/>
    <n v="4232.0155999999997"/>
    <n v="4563.3"/>
    <n v="-227.05725000000075"/>
    <n v="-331.28440000000046"/>
    <n v="0.95024275195582131"/>
    <n v="0.2"/>
    <n v="349.85300000000001"/>
    <n v="18"/>
  </r>
  <r>
    <x v="495"/>
    <d v="2025-02-28T00:00:00"/>
    <s v="q1"/>
    <s v="2024"/>
    <s v="Dec"/>
    <d v="2024-12-14T00:00:00"/>
    <d v="2025-01-12T00:00:00"/>
    <d v="2025-01-12T00:00:00"/>
    <x v="0"/>
    <n v="29"/>
    <n v="29"/>
    <x v="0"/>
    <x v="3"/>
    <s v="Shenzhen"/>
    <s v="Education"/>
    <x v="2"/>
    <x v="5"/>
    <x v="2"/>
    <x v="494"/>
    <n v="1412.15"/>
    <s v="Medium"/>
    <n v="1631.04"/>
    <n v="1631.04"/>
    <n v="8.9999999999999993E-3"/>
    <n v="6"/>
    <n v="14.679359999999999"/>
    <n v="9698.1638399999993"/>
    <n v="9683.4844799999992"/>
    <n v="8472.9000000000015"/>
    <n v="1225.2638399999978"/>
    <n v="1210.5844799999977"/>
    <n v="1.1446097369259636"/>
    <n v="8.9999999999999993E-3"/>
    <n v="1623.9725000000001"/>
    <n v="7.1999999999999993"/>
  </r>
  <r>
    <x v="496"/>
    <d v="2025-03-03T00:00:00"/>
    <s v="q1"/>
    <s v="2023"/>
    <s v="Apr"/>
    <d v="2023-04-12T00:00:00"/>
    <d v="2023-04-17T00:00:00"/>
    <d v="2023-04-17T00:00:00"/>
    <x v="1"/>
    <n v="5"/>
    <n v="5"/>
    <x v="1"/>
    <x v="8"/>
    <s v="Lyon"/>
    <s v="Enterprise"/>
    <x v="3"/>
    <x v="2"/>
    <x v="3"/>
    <x v="495"/>
    <n v="1087.81"/>
    <s v="High"/>
    <n v="2323.87"/>
    <n v="2323.87"/>
    <n v="9.4E-2"/>
    <n v="13"/>
    <n v="218.44378"/>
    <n v="27370.540859999997"/>
    <n v="27152.097079999996"/>
    <n v="14141.529999999999"/>
    <n v="13229.010859999999"/>
    <n v="13010.567079999997"/>
    <n v="1.9354723894797805"/>
    <n v="9.4E-2"/>
    <n v="1250.9814999999999"/>
    <n v="15.6"/>
  </r>
  <r>
    <x v="497"/>
    <d v="2025-03-06T00:00:00"/>
    <s v="q1"/>
    <s v="2024"/>
    <s v="Dec"/>
    <d v="2024-12-21T00:00:00"/>
    <d v="2024-12-26T00:00:00"/>
    <d v="2024-12-26T00:00:00"/>
    <x v="1"/>
    <n v="5"/>
    <n v="5"/>
    <x v="2"/>
    <x v="10"/>
    <s v="San Francisco"/>
    <s v="Consumer"/>
    <x v="4"/>
    <x v="13"/>
    <x v="6"/>
    <x v="496"/>
    <n v="699.57"/>
    <s v="Medium"/>
    <n v="572.71"/>
    <n v="572.71"/>
    <n v="0.192"/>
    <n v="26"/>
    <n v="109.96032000000001"/>
    <n v="12031.491680000001"/>
    <n v="11921.531360000001"/>
    <n v="18188.82"/>
    <n v="-6157.3283199999987"/>
    <n v="-6267.2886399999988"/>
    <n v="0.66147730748888611"/>
    <n v="0.192"/>
    <n v="804.50549999999998"/>
    <n v="31.2"/>
  </r>
  <r>
    <x v="498"/>
    <d v="2025-03-08T00:00:00"/>
    <s v="q1"/>
    <s v="2025"/>
    <s v="Jan"/>
    <d v="2025-01-09T00:00:00"/>
    <d v="2025-01-15T00:00:00"/>
    <d v="2025-01-15T00:00:00"/>
    <x v="1"/>
    <n v="6"/>
    <n v="6"/>
    <x v="0"/>
    <x v="3"/>
    <s v="Beijing"/>
    <s v="Education"/>
    <x v="2"/>
    <x v="4"/>
    <x v="1"/>
    <x v="497"/>
    <n v="304.77999999999997"/>
    <s v="Low"/>
    <n v="537.27"/>
    <n v="537.27"/>
    <n v="0.187"/>
    <n v="8"/>
    <n v="100.46948999999999"/>
    <n v="3494.4040799999998"/>
    <n v="3393.9345899999998"/>
    <n v="2438.2399999999998"/>
    <n v="1056.16408"/>
    <n v="955.69459000000006"/>
    <n v="1.4331665791718617"/>
    <n v="0.187"/>
    <n v="350.49699999999996"/>
    <n v="9.6"/>
  </r>
  <r>
    <x v="499"/>
    <d v="2025-03-10T00:00:00"/>
    <s v="q1"/>
    <s v="2025"/>
    <s v="Mar"/>
    <d v="2025-03-03T00:00:00"/>
    <d v="2025-03-24T00:00:00"/>
    <d v="2025-03-24T00:00:00"/>
    <x v="0"/>
    <n v="21"/>
    <n v="21"/>
    <x v="3"/>
    <x v="9"/>
    <s v="Abuja"/>
    <s v="Enterprise"/>
    <x v="3"/>
    <x v="14"/>
    <x v="5"/>
    <x v="498"/>
    <n v="555.95000000000005"/>
    <s v="Low"/>
    <n v="468.09"/>
    <n v="468.09"/>
    <n v="0.14199999999999999"/>
    <n v="11"/>
    <n v="66.468779999999995"/>
    <n v="4417.8334199999999"/>
    <n v="4351.3646399999998"/>
    <n v="6115.4500000000007"/>
    <n v="-1697.6165800000008"/>
    <n v="-1764.0853600000009"/>
    <n v="0.72240528824534567"/>
    <n v="0.14199999999999999"/>
    <n v="639.34249999999997"/>
    <n v="13.2"/>
  </r>
  <r>
    <x v="500"/>
    <d v="2025-03-10T00:00:00"/>
    <s v="q1"/>
    <s v="2023"/>
    <s v="Jan"/>
    <d v="2023-01-27T00:00:00"/>
    <d v="2023-01-31T00:00:00"/>
    <d v="2023-01-31T00:00:00"/>
    <x v="1"/>
    <n v="4"/>
    <n v="4"/>
    <x v="1"/>
    <x v="7"/>
    <s v="Manchester"/>
    <s v="Enterprise"/>
    <x v="2"/>
    <x v="0"/>
    <x v="0"/>
    <x v="499"/>
    <n v="941.2"/>
    <s v="Medium"/>
    <n v="668.02"/>
    <n v="668.02"/>
    <n v="0.22"/>
    <n v="16"/>
    <n v="146.96439999999998"/>
    <n v="8336.8896000000004"/>
    <n v="8189.9252000000006"/>
    <n v="15059.2"/>
    <n v="-6722.3104000000003"/>
    <n v="-6869.2748000000001"/>
    <n v="0.55360773480662984"/>
    <n v="0.2"/>
    <n v="1082.3799999999999"/>
    <n v="19.2"/>
  </r>
  <r>
    <x v="501"/>
    <d v="2025-03-11T00:00:00"/>
    <s v="q1"/>
    <s v="2023"/>
    <s v="Jan"/>
    <d v="2023-01-22T00:00:00"/>
    <d v="2023-01-30T00:00:00"/>
    <d v="2023-01-30T00:00:00"/>
    <x v="0"/>
    <n v="8"/>
    <n v="8"/>
    <x v="2"/>
    <x v="10"/>
    <s v="San Francisco"/>
    <s v="Small Business"/>
    <x v="2"/>
    <x v="3"/>
    <x v="4"/>
    <x v="500"/>
    <n v="413.52"/>
    <s v="Medium"/>
    <n v="1004.34"/>
    <n v="1004.34"/>
    <n v="0.111"/>
    <n v="18"/>
    <n v="111.48174"/>
    <n v="16071.44868"/>
    <n v="15959.96694"/>
    <n v="7443.36"/>
    <n v="8628.0886800000007"/>
    <n v="8516.6069400000015"/>
    <n v="2.1591658444573421"/>
    <n v="0.111"/>
    <n v="475.54799999999994"/>
    <n v="21.599999999999998"/>
  </r>
  <r>
    <x v="502"/>
    <d v="2025-03-11T00:00:00"/>
    <s v="q1"/>
    <s v="2025"/>
    <s v="Feb"/>
    <d v="2025-02-12T00:00:00"/>
    <d v="2025-02-28T00:00:00"/>
    <d v="2025-02-28T00:00:00"/>
    <x v="0"/>
    <n v="16"/>
    <n v="16"/>
    <x v="2"/>
    <x v="6"/>
    <s v="São Paulo"/>
    <s v="Non-Profit"/>
    <x v="3"/>
    <x v="11"/>
    <x v="3"/>
    <x v="501"/>
    <n v="414.95"/>
    <s v="Medium"/>
    <n v="1027.73"/>
    <n v="1027.73"/>
    <n v="6.3E-2"/>
    <n v="8"/>
    <n v="64.746989999999997"/>
    <n v="7703.8640800000003"/>
    <n v="7639.1170900000006"/>
    <n v="3319.6"/>
    <n v="4384.2640800000008"/>
    <n v="4319.5170900000012"/>
    <n v="2.3207205928425112"/>
    <n v="6.3E-2"/>
    <n v="477.19249999999994"/>
    <n v="9.6"/>
  </r>
  <r>
    <x v="503"/>
    <d v="2025-03-14T00:00:00"/>
    <s v="q1"/>
    <s v="2025"/>
    <s v="Aug"/>
    <d v="2025-08-05T00:00:00"/>
    <d v="2025-08-14T00:00:00"/>
    <d v="2025-08-14T00:00:00"/>
    <x v="0"/>
    <n v="9"/>
    <n v="9"/>
    <x v="1"/>
    <x v="7"/>
    <s v="London"/>
    <s v="Non-Profit"/>
    <x v="3"/>
    <x v="2"/>
    <x v="2"/>
    <x v="502"/>
    <n v="41.76"/>
    <s v="Low"/>
    <n v="45.19"/>
    <n v="45.19"/>
    <n v="0.17899999999999999"/>
    <n v="23"/>
    <n v="8.08901"/>
    <n v="853.32276999999988"/>
    <n v="845.23375999999985"/>
    <n v="960.4799999999999"/>
    <n v="-107.15723000000003"/>
    <n v="-115.24624000000006"/>
    <n v="0.88843366858237549"/>
    <n v="0.17899999999999999"/>
    <n v="48.023999999999994"/>
    <n v="27.599999999999998"/>
  </r>
  <r>
    <x v="504"/>
    <d v="2025-03-14T00:00:00"/>
    <s v="q1"/>
    <s v="2024"/>
    <s v="May"/>
    <d v="2024-05-30T00:00:00"/>
    <d v="2024-06-13T00:00:00"/>
    <d v="2024-06-13T00:00:00"/>
    <x v="0"/>
    <n v="14"/>
    <n v="14"/>
    <x v="2"/>
    <x v="10"/>
    <s v="San Francisco"/>
    <s v="Small Business"/>
    <x v="1"/>
    <x v="9"/>
    <x v="1"/>
    <x v="503"/>
    <n v="157.78"/>
    <s v="Low"/>
    <n v="361.1"/>
    <n v="361.1"/>
    <n v="0.187"/>
    <n v="9"/>
    <n v="67.525700000000001"/>
    <n v="2642.1686999999997"/>
    <n v="2574.6429999999996"/>
    <n v="1420.02"/>
    <n v="1222.1486999999997"/>
    <n v="1154.6229999999996"/>
    <n v="1.8606559766763846"/>
    <n v="0.187"/>
    <n v="181.44699999999997"/>
    <n v="10.799999999999999"/>
  </r>
  <r>
    <x v="505"/>
    <d v="2025-03-15T00:00:00"/>
    <s v="q1"/>
    <s v="2024"/>
    <s v="Jun"/>
    <d v="2024-06-07T00:00:00"/>
    <d v="2024-06-26T00:00:00"/>
    <d v="2024-06-26T00:00:00"/>
    <x v="0"/>
    <n v="19"/>
    <n v="19"/>
    <x v="1"/>
    <x v="1"/>
    <s v="Berlin"/>
    <s v="Non-Profit"/>
    <x v="4"/>
    <x v="13"/>
    <x v="2"/>
    <x v="504"/>
    <n v="1064.32"/>
    <s v="Medium"/>
    <n v="1848.39"/>
    <n v="1848.39"/>
    <n v="7.2999999999999995E-2"/>
    <n v="38"/>
    <n v="134.93247"/>
    <n v="65111.38614000001"/>
    <n v="64976.45367000001"/>
    <n v="40444.159999999996"/>
    <n v="24667.226140000013"/>
    <n v="24532.293670000014"/>
    <n v="1.6099082324864706"/>
    <n v="7.2999999999999995E-2"/>
    <n v="1223.9679999999998"/>
    <n v="45.6"/>
  </r>
  <r>
    <x v="506"/>
    <d v="2025-03-21T00:00:00"/>
    <s v="q1"/>
    <s v="2023"/>
    <s v="Aug"/>
    <d v="2023-08-12T00:00:00"/>
    <d v="2023-09-06T00:00:00"/>
    <d v="2023-09-06T00:00:00"/>
    <x v="0"/>
    <n v="25"/>
    <n v="25"/>
    <x v="0"/>
    <x v="3"/>
    <s v="Shanghai"/>
    <s v="Small Business"/>
    <x v="1"/>
    <x v="11"/>
    <x v="2"/>
    <x v="505"/>
    <n v="950.77"/>
    <s v="Medium"/>
    <n v="694.78"/>
    <n v="694.78"/>
    <n v="8.4000000000000005E-2"/>
    <n v="14"/>
    <n v="58.361519999999999"/>
    <n v="8909.8587200000002"/>
    <n v="8851.4971999999998"/>
    <n v="13310.779999999999"/>
    <n v="-4400.9212799999987"/>
    <n v="-4459.282799999999"/>
    <n v="0.669371646139445"/>
    <n v="8.4000000000000005E-2"/>
    <n v="1093.3854999999999"/>
    <n v="16.8"/>
  </r>
  <r>
    <x v="507"/>
    <d v="2025-03-23T00:00:00"/>
    <s v="q1"/>
    <s v="2023"/>
    <s v="Aug"/>
    <d v="2023-08-21T00:00:00"/>
    <d v="2023-09-04T00:00:00"/>
    <d v="2023-09-04T00:00:00"/>
    <x v="0"/>
    <n v="14"/>
    <n v="14"/>
    <x v="2"/>
    <x v="2"/>
    <s v="Montreal"/>
    <s v="Education"/>
    <x v="0"/>
    <x v="9"/>
    <x v="2"/>
    <x v="506"/>
    <n v="178.19"/>
    <s v="Low"/>
    <n v="284.43"/>
    <n v="284.43"/>
    <n v="8.8999999999999996E-2"/>
    <n v="8"/>
    <n v="25.31427"/>
    <n v="2072.9258400000003"/>
    <n v="2047.6115700000003"/>
    <n v="1425.52"/>
    <n v="647.40584000000035"/>
    <n v="622.09157000000027"/>
    <n v="1.4541541612885125"/>
    <n v="8.8999999999999996E-2"/>
    <n v="204.91849999999999"/>
    <n v="9.6"/>
  </r>
  <r>
    <x v="508"/>
    <d v="2025-03-24T00:00:00"/>
    <s v="q1"/>
    <s v="2023"/>
    <s v="Dec"/>
    <d v="2023-12-29T00:00:00"/>
    <d v="2024-01-20T00:00:00"/>
    <d v="2024-01-20T00:00:00"/>
    <x v="0"/>
    <n v="22"/>
    <n v="22"/>
    <x v="3"/>
    <x v="5"/>
    <s v="Kisumu"/>
    <s v="Corporate"/>
    <x v="3"/>
    <x v="1"/>
    <x v="1"/>
    <x v="507"/>
    <n v="1395.49"/>
    <s v="Medium"/>
    <n v="1679.42"/>
    <n v="1679.42"/>
    <n v="0.20300000000000001"/>
    <n v="12"/>
    <n v="340.92226000000005"/>
    <n v="16061.972879999999"/>
    <n v="15721.05062"/>
    <n v="16745.88"/>
    <n v="-683.90712000000167"/>
    <n v="-1024.829380000001"/>
    <n v="0.95915967867917351"/>
    <n v="0.2"/>
    <n v="1604.8135"/>
    <n v="14.399999999999999"/>
  </r>
  <r>
    <x v="509"/>
    <d v="2025-03-24T00:00:00"/>
    <s v="q1"/>
    <s v="2024"/>
    <s v="Nov"/>
    <d v="2024-11-02T00:00:00"/>
    <d v="2024-11-29T00:00:00"/>
    <d v="2024-11-29T00:00:00"/>
    <x v="0"/>
    <n v="27"/>
    <n v="27"/>
    <x v="2"/>
    <x v="6"/>
    <s v="Brasília"/>
    <s v="Small Business"/>
    <x v="3"/>
    <x v="7"/>
    <x v="4"/>
    <x v="508"/>
    <n v="1363.51"/>
    <s v="Medium"/>
    <n v="1433.9"/>
    <n v="1433.9"/>
    <n v="5.7000000000000002E-2"/>
    <n v="8"/>
    <n v="81.732300000000009"/>
    <n v="10817.3416"/>
    <n v="10735.6093"/>
    <n v="10908.08"/>
    <n v="-90.738400000000183"/>
    <n v="-172.47069999999985"/>
    <n v="0.99168154248960405"/>
    <n v="5.7000000000000002E-2"/>
    <n v="1568.0364999999999"/>
    <n v="9.6"/>
  </r>
  <r>
    <x v="510"/>
    <d v="2025-03-25T00:00:00"/>
    <s v="q1"/>
    <s v="2025"/>
    <s v="Jun"/>
    <d v="2025-06-19T00:00:00"/>
    <d v="2025-07-12T00:00:00"/>
    <d v="2025-07-12T00:00:00"/>
    <x v="0"/>
    <n v="23"/>
    <n v="23"/>
    <x v="1"/>
    <x v="7"/>
    <s v="London"/>
    <s v="Non-Profit"/>
    <x v="3"/>
    <x v="15"/>
    <x v="4"/>
    <x v="509"/>
    <n v="801.24"/>
    <s v="High"/>
    <n v="1959.09"/>
    <n v="1959.09"/>
    <n v="0.123"/>
    <n v="23"/>
    <n v="240.96806999999998"/>
    <n v="39516.804389999998"/>
    <n v="39275.836319999995"/>
    <n v="18428.52"/>
    <n v="21088.284389999997"/>
    <n v="20847.316319999994"/>
    <n v="2.1443287030103337"/>
    <n v="0.123"/>
    <n v="921.42599999999993"/>
    <n v="27.599999999999998"/>
  </r>
  <r>
    <x v="511"/>
    <d v="2025-03-25T00:00:00"/>
    <s v="q1"/>
    <s v="2023"/>
    <s v="Nov"/>
    <d v="2023-11-19T00:00:00"/>
    <d v="2023-12-13T00:00:00"/>
    <d v="2023-12-13T00:00:00"/>
    <x v="0"/>
    <n v="24"/>
    <n v="24"/>
    <x v="1"/>
    <x v="8"/>
    <s v="Lyon"/>
    <s v="Non-Profit"/>
    <x v="3"/>
    <x v="14"/>
    <x v="3"/>
    <x v="510"/>
    <n v="1297.42"/>
    <s v="High"/>
    <n v="2742.97"/>
    <n v="2742.97"/>
    <n v="6.9000000000000006E-2"/>
    <n v="9"/>
    <n v="189.26492999999999"/>
    <n v="22983.34563"/>
    <n v="22794.080699999999"/>
    <n v="11676.78"/>
    <n v="11306.565629999999"/>
    <n v="11117.300699999998"/>
    <n v="1.9682948235729369"/>
    <n v="6.9000000000000006E-2"/>
    <n v="1492.0329999999999"/>
    <n v="10.799999999999999"/>
  </r>
  <r>
    <x v="512"/>
    <d v="2025-03-29T00:00:00"/>
    <s v="q1"/>
    <s v="2025"/>
    <s v="Jul"/>
    <d v="2025-07-09T00:00:00"/>
    <d v="2025-07-18T00:00:00"/>
    <d v="2025-07-18T00:00:00"/>
    <x v="0"/>
    <n v="9"/>
    <n v="9"/>
    <x v="2"/>
    <x v="2"/>
    <s v="Vancouver"/>
    <s v="Education"/>
    <x v="0"/>
    <x v="7"/>
    <x v="0"/>
    <x v="511"/>
    <n v="57.96"/>
    <s v="Low"/>
    <n v="88.51"/>
    <n v="88.51"/>
    <n v="4.2999999999999997E-2"/>
    <n v="7"/>
    <n v="3.80593"/>
    <n v="592.92849000000001"/>
    <n v="589.12256000000002"/>
    <n v="405.72"/>
    <n v="187.20848999999998"/>
    <n v="183.40255999999999"/>
    <n v="1.4614228778467908"/>
    <n v="4.2999999999999997E-2"/>
    <n v="66.653999999999996"/>
    <n v="8.4"/>
  </r>
  <r>
    <x v="513"/>
    <d v="2025-03-30T00:00:00"/>
    <s v="q1"/>
    <s v="2024"/>
    <s v="Dec"/>
    <d v="2024-12-27T00:00:00"/>
    <d v="2025-01-02T00:00:00"/>
    <d v="2025-01-02T00:00:00"/>
    <x v="1"/>
    <n v="6"/>
    <n v="6"/>
    <x v="1"/>
    <x v="1"/>
    <s v="Frankfurt"/>
    <s v="Education"/>
    <x v="3"/>
    <x v="9"/>
    <x v="0"/>
    <x v="512"/>
    <n v="1391.99"/>
    <s v="High"/>
    <n v="3469.7"/>
    <n v="3469.7"/>
    <n v="0.184"/>
    <n v="23"/>
    <n v="638.4248"/>
    <n v="65119.329599999997"/>
    <n v="64480.904799999997"/>
    <n v="32015.77"/>
    <n v="33103.559599999993"/>
    <n v="32465.134799999996"/>
    <n v="2.0339766808669602"/>
    <n v="0.184"/>
    <n v="1600.7884999999999"/>
    <n v="27.599999999999998"/>
  </r>
  <r>
    <x v="514"/>
    <d v="2025-03-30T00:00:00"/>
    <s v="q1"/>
    <s v="2023"/>
    <s v="Jun"/>
    <d v="2023-06-09T00:00:00"/>
    <d v="2023-06-19T00:00:00"/>
    <d v="2023-06-19T00:00:00"/>
    <x v="0"/>
    <n v="10"/>
    <n v="10"/>
    <x v="0"/>
    <x v="3"/>
    <s v="Beijing"/>
    <s v="Enterprise"/>
    <x v="1"/>
    <x v="9"/>
    <x v="3"/>
    <x v="513"/>
    <n v="339.61"/>
    <s v="Medium"/>
    <n v="621.02"/>
    <n v="621.02"/>
    <n v="7.0999999999999994E-2"/>
    <n v="10"/>
    <n v="44.092419999999997"/>
    <n v="5769.2758000000003"/>
    <n v="5725.1833800000004"/>
    <n v="3396.1000000000004"/>
    <n v="2373.1758"/>
    <n v="2329.08338"/>
    <n v="1.6987944406819586"/>
    <n v="7.0999999999999994E-2"/>
    <n v="390.55149999999998"/>
    <n v="12"/>
  </r>
  <r>
    <x v="515"/>
    <d v="2025-03-31T00:00:00"/>
    <s v="q1"/>
    <s v="2025"/>
    <s v="Jun"/>
    <d v="2025-06-03T00:00:00"/>
    <d v="2025-06-10T00:00:00"/>
    <d v="2025-06-10T00:00:00"/>
    <x v="0"/>
    <n v="7"/>
    <n v="7"/>
    <x v="2"/>
    <x v="2"/>
    <s v="Toronto"/>
    <s v="Consumer"/>
    <x v="0"/>
    <x v="6"/>
    <x v="6"/>
    <x v="514"/>
    <n v="75.180000000000007"/>
    <s v="Low"/>
    <n v="53.45"/>
    <n v="53.45"/>
    <n v="0.157"/>
    <n v="17"/>
    <n v="8.3916500000000003"/>
    <n v="765.99195000000009"/>
    <n v="757.60030000000006"/>
    <n v="1278.0600000000002"/>
    <n v="-512.06805000000008"/>
    <n v="-520.45970000000011"/>
    <n v="0.59933958499600959"/>
    <n v="0.157"/>
    <n v="86.457000000000008"/>
    <n v="20.399999999999999"/>
  </r>
  <r>
    <x v="516"/>
    <d v="2025-04-01T00:00:00"/>
    <s v="q2"/>
    <s v="2023"/>
    <s v="Mar"/>
    <d v="2023-03-02T00:00:00"/>
    <d v="2023-03-05T00:00:00"/>
    <d v="2023-03-05T00:00:00"/>
    <x v="1"/>
    <n v="3"/>
    <n v="3"/>
    <x v="2"/>
    <x v="6"/>
    <s v="Brasília"/>
    <s v="Enterprise"/>
    <x v="3"/>
    <x v="12"/>
    <x v="3"/>
    <x v="515"/>
    <n v="1473.58"/>
    <s v="High"/>
    <n v="3436.52"/>
    <n v="3436.52"/>
    <n v="0.108"/>
    <n v="8"/>
    <n v="371.14416"/>
    <n v="24523.006720000001"/>
    <n v="24151.862560000001"/>
    <n v="11788.64"/>
    <n v="12734.366720000002"/>
    <n v="12363.222560000002"/>
    <n v="2.0802235643806242"/>
    <n v="0.108"/>
    <n v="1694.6169999999997"/>
    <n v="9.6"/>
  </r>
  <r>
    <x v="517"/>
    <d v="2025-04-04T00:00:00"/>
    <s v="q2"/>
    <s v="2025"/>
    <s v="Jan"/>
    <d v="2025-01-17T00:00:00"/>
    <d v="2025-01-24T00:00:00"/>
    <d v="2025-01-24T00:00:00"/>
    <x v="0"/>
    <n v="7"/>
    <n v="7"/>
    <x v="2"/>
    <x v="10"/>
    <s v="Austin"/>
    <s v="Enterprise"/>
    <x v="2"/>
    <x v="12"/>
    <x v="5"/>
    <x v="516"/>
    <n v="142.09"/>
    <s v="Low"/>
    <n v="218.5"/>
    <n v="218.5"/>
    <n v="0.11899999999999999"/>
    <n v="11"/>
    <n v="26.0015"/>
    <n v="2117.4834999999998"/>
    <n v="2091.482"/>
    <n v="1562.99"/>
    <n v="554.49349999999981"/>
    <n v="528.49199999999996"/>
    <n v="1.3547645858258848"/>
    <n v="0.11899999999999999"/>
    <n v="163.40349999999998"/>
    <n v="13.2"/>
  </r>
  <r>
    <x v="518"/>
    <d v="2025-04-04T00:00:00"/>
    <s v="q2"/>
    <s v="2023"/>
    <s v="Nov"/>
    <d v="2023-11-20T00:00:00"/>
    <d v="2023-12-05T00:00:00"/>
    <d v="2023-12-05T00:00:00"/>
    <x v="0"/>
    <n v="15"/>
    <n v="15"/>
    <x v="0"/>
    <x v="0"/>
    <s v="Tokyo"/>
    <s v="Enterprise"/>
    <x v="1"/>
    <x v="1"/>
    <x v="4"/>
    <x v="517"/>
    <n v="354.24"/>
    <s v="Low"/>
    <n v="249.87"/>
    <n v="249.87"/>
    <n v="0"/>
    <n v="6"/>
    <n v="0"/>
    <n v="1499.22"/>
    <n v="1499.22"/>
    <n v="2125.44"/>
    <n v="-626.22"/>
    <n v="-626.22"/>
    <n v="0.70536924119241196"/>
    <n v="0"/>
    <n v="407.37599999999998"/>
    <n v="7.1999999999999993"/>
  </r>
  <r>
    <x v="519"/>
    <d v="2025-04-06T00:00:00"/>
    <s v="q2"/>
    <s v="2024"/>
    <s v="Jun"/>
    <d v="2024-06-29T00:00:00"/>
    <d v="2024-07-26T00:00:00"/>
    <d v="2024-07-26T00:00:00"/>
    <x v="0"/>
    <n v="27"/>
    <n v="27"/>
    <x v="3"/>
    <x v="11"/>
    <s v="Durban"/>
    <s v="Enterprise"/>
    <x v="0"/>
    <x v="11"/>
    <x v="4"/>
    <x v="518"/>
    <n v="5.36"/>
    <s v="Low"/>
    <n v="4.37"/>
    <n v="4.37"/>
    <n v="0.11799999999999999"/>
    <n v="9"/>
    <n v="0.51566000000000001"/>
    <n v="34.689059999999998"/>
    <n v="34.173400000000001"/>
    <n v="48.24"/>
    <n v="-13.550940000000004"/>
    <n v="-14.066600000000001"/>
    <n v="0.71909328358208946"/>
    <n v="0.11799999999999999"/>
    <n v="6.1639999999999997"/>
    <n v="10.799999999999999"/>
  </r>
  <r>
    <x v="520"/>
    <d v="2025-04-07T00:00:00"/>
    <s v="q2"/>
    <s v="2024"/>
    <s v="Jun"/>
    <d v="2024-06-10T00:00:00"/>
    <d v="2024-06-11T00:00:00"/>
    <d v="2024-06-11T00:00:00"/>
    <x v="1"/>
    <n v="1"/>
    <n v="1"/>
    <x v="1"/>
    <x v="7"/>
    <s v="Birmingham"/>
    <s v="Small Business"/>
    <x v="4"/>
    <x v="13"/>
    <x v="0"/>
    <x v="519"/>
    <n v="1187.1300000000001"/>
    <s v="Medium"/>
    <n v="1795.17"/>
    <n v="1795.17"/>
    <n v="1.2E-2"/>
    <n v="17"/>
    <n v="21.54204"/>
    <n v="30151.675319999998"/>
    <n v="30130.133279999998"/>
    <n v="20181.210000000003"/>
    <n v="9970.4653199999957"/>
    <n v="9948.9232799999954"/>
    <n v="1.4940469535771144"/>
    <n v="1.2E-2"/>
    <n v="1365.1994999999999"/>
    <n v="20.399999999999999"/>
  </r>
  <r>
    <x v="521"/>
    <d v="2025-04-09T00:00:00"/>
    <s v="q2"/>
    <s v="2024"/>
    <s v="Jun"/>
    <d v="2024-06-02T00:00:00"/>
    <d v="2024-06-08T00:00:00"/>
    <d v="2024-06-08T00:00:00"/>
    <x v="1"/>
    <n v="6"/>
    <n v="6"/>
    <x v="3"/>
    <x v="5"/>
    <s v="Kisumu"/>
    <s v="Consumer"/>
    <x v="4"/>
    <x v="3"/>
    <x v="5"/>
    <x v="520"/>
    <n v="292.94"/>
    <s v="Low"/>
    <n v="356.55"/>
    <n v="356.55"/>
    <n v="0.22900000000000001"/>
    <n v="2"/>
    <n v="81.649950000000004"/>
    <n v="549.80010000000004"/>
    <n v="468.15015000000005"/>
    <n v="585.88"/>
    <n v="-36.079899999999952"/>
    <n v="-117.72984999999994"/>
    <n v="0.93841759404656255"/>
    <n v="0.2"/>
    <n v="336.88099999999997"/>
    <n v="2.4"/>
  </r>
  <r>
    <x v="522"/>
    <d v="2025-04-09T00:00:00"/>
    <s v="q2"/>
    <s v="2024"/>
    <s v="Jun"/>
    <d v="2024-06-09T00:00:00"/>
    <d v="2024-07-07T00:00:00"/>
    <d v="2024-07-07T00:00:00"/>
    <x v="0"/>
    <n v="28"/>
    <n v="28"/>
    <x v="0"/>
    <x v="3"/>
    <s v="Shenzhen"/>
    <s v="Corporate"/>
    <x v="2"/>
    <x v="5"/>
    <x v="2"/>
    <x v="521"/>
    <n v="550.22"/>
    <s v="Medium"/>
    <n v="1025.05"/>
    <n v="1025.05"/>
    <n v="0"/>
    <n v="27"/>
    <n v="0"/>
    <n v="27676.35"/>
    <n v="27676.35"/>
    <n v="14855.94"/>
    <n v="12820.409999999998"/>
    <n v="12820.409999999998"/>
    <n v="1.8629820798953145"/>
    <n v="0"/>
    <n v="632.75299999999993"/>
    <n v="32.4"/>
  </r>
  <r>
    <x v="523"/>
    <d v="2025-04-10T00:00:00"/>
    <s v="q2"/>
    <s v="2024"/>
    <s v="Oct"/>
    <d v="2024-10-16T00:00:00"/>
    <d v="2024-11-08T00:00:00"/>
    <d v="2024-11-08T00:00:00"/>
    <x v="0"/>
    <n v="23"/>
    <n v="23"/>
    <x v="0"/>
    <x v="0"/>
    <s v="Osaka"/>
    <s v="Small Business"/>
    <x v="1"/>
    <x v="5"/>
    <x v="4"/>
    <x v="522"/>
    <n v="82.14"/>
    <s v="Low"/>
    <n v="166.04"/>
    <n v="166.04"/>
    <n v="0"/>
    <n v="10"/>
    <n v="0"/>
    <n v="1660.3999999999999"/>
    <n v="1660.3999999999999"/>
    <n v="821.4"/>
    <n v="838.99999999999989"/>
    <n v="838.99999999999989"/>
    <n v="2.0214268322376427"/>
    <n v="0"/>
    <n v="94.460999999999999"/>
    <n v="12"/>
  </r>
  <r>
    <x v="524"/>
    <d v="2025-04-11T00:00:00"/>
    <s v="q2"/>
    <s v="2024"/>
    <s v="Aug"/>
    <d v="2024-08-14T00:00:00"/>
    <d v="2024-09-04T00:00:00"/>
    <d v="2024-09-04T00:00:00"/>
    <x v="0"/>
    <n v="21"/>
    <n v="21"/>
    <x v="1"/>
    <x v="7"/>
    <s v="Manchester"/>
    <s v="Non-Profit"/>
    <x v="2"/>
    <x v="5"/>
    <x v="1"/>
    <x v="523"/>
    <n v="1138.8"/>
    <s v="High"/>
    <n v="2250.81"/>
    <n v="2250.81"/>
    <n v="0.123"/>
    <n v="12"/>
    <n v="276.84962999999999"/>
    <n v="23687.524440000001"/>
    <n v="23410.67481"/>
    <n v="13665.599999999999"/>
    <n v="10021.924440000003"/>
    <n v="9745.0748100000019"/>
    <n v="1.7333687829293996"/>
    <n v="0.123"/>
    <n v="1309.6199999999999"/>
    <n v="14.399999999999999"/>
  </r>
  <r>
    <x v="525"/>
    <d v="2025-04-12T00:00:00"/>
    <s v="q2"/>
    <s v="2023"/>
    <s v="May"/>
    <d v="2023-05-11T00:00:00"/>
    <d v="2023-06-07T00:00:00"/>
    <d v="2023-06-07T00:00:00"/>
    <x v="0"/>
    <n v="27"/>
    <n v="27"/>
    <x v="3"/>
    <x v="5"/>
    <s v="Mombasa"/>
    <s v="Corporate"/>
    <x v="2"/>
    <x v="5"/>
    <x v="1"/>
    <x v="524"/>
    <n v="12.85"/>
    <s v="Low"/>
    <n v="15.41"/>
    <n v="15.41"/>
    <n v="0.13700000000000001"/>
    <n v="39"/>
    <n v="2.11117"/>
    <n v="518.65436999999997"/>
    <n v="516.54319999999996"/>
    <n v="501.15"/>
    <n v="17.504369999999994"/>
    <n v="15.393199999999979"/>
    <n v="1.0349284046692606"/>
    <n v="0.13700000000000001"/>
    <n v="14.777499999999998"/>
    <n v="46.8"/>
  </r>
  <r>
    <x v="526"/>
    <d v="2025-04-13T00:00:00"/>
    <s v="q2"/>
    <s v="2024"/>
    <s v="May"/>
    <d v="2024-05-21T00:00:00"/>
    <d v="2024-05-27T00:00:00"/>
    <d v="2024-05-27T00:00:00"/>
    <x v="1"/>
    <n v="6"/>
    <n v="6"/>
    <x v="3"/>
    <x v="11"/>
    <s v="Johannesburg"/>
    <s v="Non-Profit"/>
    <x v="2"/>
    <x v="13"/>
    <x v="2"/>
    <x v="525"/>
    <n v="1157.51"/>
    <s v="Medium"/>
    <n v="1394.3"/>
    <n v="1394.3"/>
    <n v="0.27800000000000002"/>
    <n v="12"/>
    <n v="387.61540000000002"/>
    <n v="12080.215199999999"/>
    <n v="11692.599799999998"/>
    <n v="13890.119999999999"/>
    <n v="-1809.9048000000003"/>
    <n v="-2197.5202000000008"/>
    <n v="0.86969840433343981"/>
    <n v="0.2"/>
    <n v="1331.1364999999998"/>
    <n v="14.399999999999999"/>
  </r>
  <r>
    <x v="527"/>
    <d v="2025-04-14T00:00:00"/>
    <s v="q2"/>
    <s v="2024"/>
    <s v="Sept"/>
    <d v="2024-09-14T00:00:00"/>
    <d v="2024-10-05T00:00:00"/>
    <d v="2024-10-05T00:00:00"/>
    <x v="0"/>
    <n v="21"/>
    <n v="21"/>
    <x v="0"/>
    <x v="3"/>
    <s v="Shanghai"/>
    <s v="Small Business"/>
    <x v="2"/>
    <x v="14"/>
    <x v="0"/>
    <x v="526"/>
    <n v="1405.56"/>
    <s v="High"/>
    <n v="2968.87"/>
    <n v="2968.87"/>
    <n v="0.16900000000000001"/>
    <n v="5"/>
    <n v="501.73903000000001"/>
    <n v="12335.654849999999"/>
    <n v="11833.915819999998"/>
    <n v="7027.7999999999993"/>
    <n v="5307.8548499999997"/>
    <n v="4806.1158199999991"/>
    <n v="1.7552654956031759"/>
    <n v="0.16900000000000001"/>
    <n v="1616.3939999999998"/>
    <n v="6"/>
  </r>
  <r>
    <x v="528"/>
    <d v="2025-04-16T00:00:00"/>
    <s v="q2"/>
    <s v="2025"/>
    <s v="Mar"/>
    <d v="2025-03-31T00:00:00"/>
    <d v="2025-04-04T00:00:00"/>
    <d v="2025-04-04T00:00:00"/>
    <x v="1"/>
    <n v="4"/>
    <n v="4"/>
    <x v="3"/>
    <x v="5"/>
    <s v="Nakuru"/>
    <s v="Corporate"/>
    <x v="3"/>
    <x v="4"/>
    <x v="0"/>
    <x v="527"/>
    <n v="862.08"/>
    <s v="High"/>
    <n v="1952.83"/>
    <n v="1952.83"/>
    <n v="0"/>
    <n v="7"/>
    <n v="0"/>
    <n v="13669.81"/>
    <n v="13669.81"/>
    <n v="6034.56"/>
    <n v="7635.2499999999991"/>
    <n v="7635.2499999999991"/>
    <n v="2.2652538047512989"/>
    <n v="0"/>
    <n v="991.39199999999994"/>
    <n v="8.4"/>
  </r>
  <r>
    <x v="529"/>
    <d v="2025-04-16T00:00:00"/>
    <s v="q2"/>
    <s v="2024"/>
    <s v="Dec"/>
    <d v="2024-12-05T00:00:00"/>
    <d v="2024-12-28T00:00:00"/>
    <d v="2024-12-28T00:00:00"/>
    <x v="0"/>
    <n v="23"/>
    <n v="23"/>
    <x v="2"/>
    <x v="2"/>
    <s v="Vancouver"/>
    <s v="Corporate"/>
    <x v="3"/>
    <x v="9"/>
    <x v="5"/>
    <x v="528"/>
    <n v="107.03"/>
    <s v="Low"/>
    <n v="242.29"/>
    <n v="242.29"/>
    <n v="0.18"/>
    <n v="30"/>
    <n v="43.612199999999994"/>
    <n v="5960.3340000000007"/>
    <n v="5916.7218000000012"/>
    <n v="3210.9"/>
    <n v="2749.4340000000007"/>
    <n v="2705.8218000000011"/>
    <n v="1.8562814164253014"/>
    <n v="0.18"/>
    <n v="123.08449999999999"/>
    <n v="36"/>
  </r>
  <r>
    <x v="530"/>
    <d v="2025-04-17T00:00:00"/>
    <s v="q2"/>
    <s v="2025"/>
    <s v="Jan"/>
    <d v="2025-01-27T00:00:00"/>
    <d v="2025-02-15T00:00:00"/>
    <d v="2025-02-15T00:00:00"/>
    <x v="0"/>
    <n v="19"/>
    <n v="19"/>
    <x v="0"/>
    <x v="3"/>
    <s v="Shenzhen"/>
    <s v="Non-Profit"/>
    <x v="3"/>
    <x v="1"/>
    <x v="1"/>
    <x v="529"/>
    <n v="1253.22"/>
    <s v="High"/>
    <n v="3104.71"/>
    <n v="3104.71"/>
    <n v="0"/>
    <n v="17"/>
    <n v="0"/>
    <n v="52780.07"/>
    <n v="52780.07"/>
    <n v="21304.74"/>
    <n v="31475.329999999998"/>
    <n v="31475.329999999998"/>
    <n v="2.4773862530122401"/>
    <n v="0"/>
    <n v="1441.203"/>
    <n v="20.399999999999999"/>
  </r>
  <r>
    <x v="531"/>
    <d v="2025-04-17T00:00:00"/>
    <s v="q2"/>
    <s v="2024"/>
    <s v="Jan"/>
    <d v="2024-01-13T00:00:00"/>
    <d v="2024-01-22T00:00:00"/>
    <d v="2024-01-22T00:00:00"/>
    <x v="0"/>
    <n v="9"/>
    <n v="9"/>
    <x v="0"/>
    <x v="4"/>
    <s v="Mumbai"/>
    <s v="Enterprise"/>
    <x v="4"/>
    <x v="5"/>
    <x v="2"/>
    <x v="530"/>
    <n v="313.60000000000002"/>
    <s v="Low"/>
    <n v="334.28"/>
    <n v="334.28"/>
    <n v="0.14000000000000001"/>
    <n v="22"/>
    <n v="46.799199999999999"/>
    <n v="6324.5775999999996"/>
    <n v="6277.7783999999992"/>
    <n v="6899.2000000000007"/>
    <n v="-574.62240000000111"/>
    <n v="-621.42160000000149"/>
    <n v="0.91671173469387734"/>
    <n v="0.14000000000000001"/>
    <n v="360.64"/>
    <n v="26.4"/>
  </r>
  <r>
    <x v="532"/>
    <d v="2025-04-22T00:00:00"/>
    <s v="q2"/>
    <s v="2025"/>
    <s v="Jul"/>
    <d v="2025-07-22T00:00:00"/>
    <d v="2025-08-18T00:00:00"/>
    <d v="2025-08-18T00:00:00"/>
    <x v="0"/>
    <n v="27"/>
    <n v="27"/>
    <x v="0"/>
    <x v="3"/>
    <s v="Shenzhen"/>
    <s v="Non-Profit"/>
    <x v="4"/>
    <x v="13"/>
    <x v="4"/>
    <x v="531"/>
    <n v="547.32000000000005"/>
    <s v="Low"/>
    <n v="419.17"/>
    <n v="419.17"/>
    <n v="9.1999999999999998E-2"/>
    <n v="14"/>
    <n v="38.563639999999999"/>
    <n v="5328.4890400000004"/>
    <n v="5289.9254000000001"/>
    <n v="7662.4800000000005"/>
    <n v="-2333.9909600000001"/>
    <n v="-2372.5546000000004"/>
    <n v="0.69540005846671049"/>
    <n v="9.1999999999999998E-2"/>
    <n v="629.41800000000001"/>
    <n v="16.8"/>
  </r>
  <r>
    <x v="533"/>
    <d v="2025-04-22T00:00:00"/>
    <s v="q2"/>
    <s v="2023"/>
    <s v="Feb"/>
    <d v="2023-02-28T00:00:00"/>
    <d v="2023-03-20T00:00:00"/>
    <d v="2023-03-20T00:00:00"/>
    <x v="0"/>
    <n v="20"/>
    <n v="20"/>
    <x v="1"/>
    <x v="1"/>
    <s v="Berlin"/>
    <s v="Small Business"/>
    <x v="3"/>
    <x v="14"/>
    <x v="0"/>
    <x v="532"/>
    <n v="1200.78"/>
    <s v="High"/>
    <n v="2001.17"/>
    <n v="2001.17"/>
    <n v="0.29199999999999998"/>
    <n v="18"/>
    <n v="584.34163999999998"/>
    <n v="25502.910479999999"/>
    <n v="24918.56884"/>
    <n v="21614.04"/>
    <n v="3888.8704799999978"/>
    <n v="3304.528839999999"/>
    <n v="1.1799233498226152"/>
    <n v="0.2"/>
    <n v="1380.8969999999999"/>
    <n v="21.599999999999998"/>
  </r>
  <r>
    <x v="534"/>
    <d v="2025-04-23T00:00:00"/>
    <s v="q2"/>
    <s v="2024"/>
    <s v="May"/>
    <d v="2024-05-28T00:00:00"/>
    <d v="2024-05-28T00:00:00"/>
    <d v="2024-05-26T00:00:00"/>
    <x v="1"/>
    <n v="0"/>
    <n v="-2"/>
    <x v="3"/>
    <x v="9"/>
    <s v="Abuja"/>
    <s v="Enterprise"/>
    <x v="2"/>
    <x v="9"/>
    <x v="5"/>
    <x v="533"/>
    <n v="1227.08"/>
    <s v="High"/>
    <n v="1896.62"/>
    <n v="1896.62"/>
    <n v="0"/>
    <n v="18"/>
    <n v="0"/>
    <n v="34139.159999999996"/>
    <n v="34139.159999999996"/>
    <n v="22087.439999999999"/>
    <n v="12051.719999999998"/>
    <n v="12051.719999999998"/>
    <n v="1.5456367962969"/>
    <n v="0"/>
    <n v="1411.1419999999998"/>
    <n v="21.599999999999998"/>
  </r>
  <r>
    <x v="535"/>
    <d v="2025-04-24T00:00:00"/>
    <s v="q2"/>
    <s v="2025"/>
    <s v="Aug"/>
    <d v="2025-08-01T00:00:00"/>
    <d v="2025-08-16T00:00:00"/>
    <d v="2025-08-16T00:00:00"/>
    <x v="0"/>
    <n v="15"/>
    <n v="15"/>
    <x v="0"/>
    <x v="4"/>
    <s v="Hyderabad"/>
    <s v="Enterprise"/>
    <x v="3"/>
    <x v="6"/>
    <x v="3"/>
    <x v="534"/>
    <n v="24.44"/>
    <s v="Low"/>
    <n v="28.69"/>
    <n v="28.69"/>
    <n v="0.14599999999999999"/>
    <n v="6"/>
    <n v="4.1887400000000001"/>
    <n v="147.00756000000001"/>
    <n v="142.81882000000002"/>
    <n v="146.64000000000001"/>
    <n v="0.36755999999999744"/>
    <n v="-3.8211799999999982"/>
    <n v="1.0025065466448444"/>
    <n v="0.14599999999999999"/>
    <n v="28.105999999999998"/>
    <n v="7.1999999999999993"/>
  </r>
  <r>
    <x v="536"/>
    <d v="2025-04-27T00:00:00"/>
    <s v="q2"/>
    <s v="2024"/>
    <s v="Oct"/>
    <d v="2024-10-04T00:00:00"/>
    <d v="2024-11-02T00:00:00"/>
    <d v="2024-11-02T00:00:00"/>
    <x v="0"/>
    <n v="29"/>
    <n v="29"/>
    <x v="3"/>
    <x v="9"/>
    <s v="Abuja"/>
    <s v="Corporate"/>
    <x v="0"/>
    <x v="9"/>
    <x v="5"/>
    <x v="535"/>
    <n v="412.09"/>
    <s v="Medium"/>
    <n v="968.94"/>
    <n v="968.94"/>
    <n v="9.9000000000000005E-2"/>
    <n v="23"/>
    <n v="95.925060000000016"/>
    <n v="20079.343620000003"/>
    <n v="19983.418560000002"/>
    <n v="9478.07"/>
    <n v="10601.273620000004"/>
    <n v="10505.348560000002"/>
    <n v="2.118505520638696"/>
    <n v="9.9000000000000005E-2"/>
    <n v="473.90349999999995"/>
    <n v="27.599999999999998"/>
  </r>
  <r>
    <x v="537"/>
    <d v="2025-04-27T00:00:00"/>
    <s v="q2"/>
    <s v="2025"/>
    <s v="Sept"/>
    <d v="2025-09-10T00:00:00"/>
    <d v="2025-09-30T00:00:00"/>
    <d v="2025-09-30T00:00:00"/>
    <x v="0"/>
    <n v="20"/>
    <n v="20"/>
    <x v="3"/>
    <x v="5"/>
    <s v="Mombasa"/>
    <s v="Corporate"/>
    <x v="3"/>
    <x v="1"/>
    <x v="1"/>
    <x v="536"/>
    <n v="1009.48"/>
    <s v="Medium"/>
    <n v="1088.81"/>
    <n v="1088.81"/>
    <n v="0.16"/>
    <n v="6"/>
    <n v="174.20959999999999"/>
    <n v="5487.6023999999998"/>
    <n v="5313.3927999999996"/>
    <n v="6056.88"/>
    <n v="-569.27760000000035"/>
    <n v="-743.48720000000048"/>
    <n v="0.90601141181598444"/>
    <n v="0.16"/>
    <n v="1160.902"/>
    <n v="7.1999999999999993"/>
  </r>
  <r>
    <x v="538"/>
    <d v="2025-04-27T00:00:00"/>
    <s v="q2"/>
    <s v="2023"/>
    <s v="Apr"/>
    <d v="2023-04-06T00:00:00"/>
    <d v="2023-04-27T00:00:00"/>
    <d v="2023-04-27T00:00:00"/>
    <x v="0"/>
    <n v="21"/>
    <n v="21"/>
    <x v="1"/>
    <x v="7"/>
    <s v="Manchester"/>
    <s v="Enterprise"/>
    <x v="0"/>
    <x v="7"/>
    <x v="6"/>
    <x v="537"/>
    <n v="1084.79"/>
    <s v="High"/>
    <n v="2484.9899999999998"/>
    <n v="2484.9899999999998"/>
    <n v="3.4000000000000002E-2"/>
    <n v="18"/>
    <n v="84.489660000000001"/>
    <n v="43209.006119999991"/>
    <n v="43124.516459999992"/>
    <n v="19526.22"/>
    <n v="23682.78611999999"/>
    <n v="23598.29645999999"/>
    <n v="2.2128710072917332"/>
    <n v="3.4000000000000002E-2"/>
    <n v="1247.5084999999999"/>
    <n v="21.599999999999998"/>
  </r>
  <r>
    <x v="539"/>
    <d v="2025-04-28T00:00:00"/>
    <s v="q2"/>
    <s v="2025"/>
    <s v="Jun"/>
    <d v="2025-06-09T00:00:00"/>
    <d v="2025-06-25T00:00:00"/>
    <d v="2025-06-25T00:00:00"/>
    <x v="0"/>
    <n v="16"/>
    <n v="16"/>
    <x v="0"/>
    <x v="4"/>
    <s v="Hyderabad"/>
    <s v="Enterprise"/>
    <x v="0"/>
    <x v="13"/>
    <x v="1"/>
    <x v="538"/>
    <n v="527.33000000000004"/>
    <s v="Medium"/>
    <n v="911.72"/>
    <n v="911.72"/>
    <n v="0.14399999999999999"/>
    <n v="25"/>
    <n v="131.28767999999999"/>
    <n v="19510.808000000001"/>
    <n v="19379.52032"/>
    <n v="13183.250000000002"/>
    <n v="6327.5579999999991"/>
    <n v="6196.2703199999978"/>
    <n v="1.4799695067604723"/>
    <n v="0.14399999999999999"/>
    <n v="606.42949999999996"/>
    <n v="30"/>
  </r>
  <r>
    <x v="540"/>
    <d v="2025-04-28T00:00:00"/>
    <s v="q2"/>
    <s v="2023"/>
    <s v="Jun"/>
    <d v="2023-06-24T00:00:00"/>
    <d v="2023-06-24T00:00:00"/>
    <d v="2023-06-23T00:00:00"/>
    <x v="1"/>
    <n v="0"/>
    <n v="-1"/>
    <x v="2"/>
    <x v="6"/>
    <s v="Rio de Janeiro"/>
    <s v="Non-Profit"/>
    <x v="1"/>
    <x v="2"/>
    <x v="6"/>
    <x v="539"/>
    <n v="804.01"/>
    <s v="Medium"/>
    <n v="1405.07"/>
    <n v="1405.07"/>
    <n v="9.6000000000000002E-2"/>
    <n v="8"/>
    <n v="134.88672"/>
    <n v="10161.46624"/>
    <n v="10026.579519999999"/>
    <n v="6432.08"/>
    <n v="3729.3862399999998"/>
    <n v="3594.4995199999994"/>
    <n v="1.5798103008669047"/>
    <n v="9.6000000000000002E-2"/>
    <n v="924.61149999999986"/>
    <n v="9.6"/>
  </r>
  <r>
    <x v="541"/>
    <d v="2025-05-02T00:00:00"/>
    <s v="q2"/>
    <s v="2025"/>
    <s v="Apr"/>
    <d v="2025-04-28T00:00:00"/>
    <d v="2025-05-15T00:00:00"/>
    <d v="2025-05-15T00:00:00"/>
    <x v="0"/>
    <n v="17"/>
    <n v="17"/>
    <x v="0"/>
    <x v="0"/>
    <s v="Nagoya"/>
    <s v="Education"/>
    <x v="3"/>
    <x v="0"/>
    <x v="4"/>
    <x v="540"/>
    <n v="691.19"/>
    <s v="Medium"/>
    <n v="1284.3"/>
    <n v="1284.3"/>
    <n v="7.3999999999999996E-2"/>
    <n v="7"/>
    <n v="95.038199999999989"/>
    <n v="8324.8326000000015"/>
    <n v="8229.7944000000007"/>
    <n v="4838.33"/>
    <n v="3486.5026000000016"/>
    <n v="3391.4644000000008"/>
    <n v="1.7206004137791349"/>
    <n v="7.3999999999999996E-2"/>
    <n v="794.86850000000004"/>
    <n v="8.4"/>
  </r>
  <r>
    <x v="542"/>
    <d v="2025-05-07T00:00:00"/>
    <s v="q2"/>
    <s v="2023"/>
    <s v="Jun"/>
    <d v="2023-06-29T00:00:00"/>
    <d v="2023-07-02T00:00:00"/>
    <d v="2023-07-02T00:00:00"/>
    <x v="1"/>
    <n v="3"/>
    <n v="3"/>
    <x v="0"/>
    <x v="0"/>
    <s v="Nagoya"/>
    <s v="Education"/>
    <x v="4"/>
    <x v="9"/>
    <x v="3"/>
    <x v="541"/>
    <n v="55.65"/>
    <s v="Low"/>
    <n v="83.57"/>
    <n v="83.57"/>
    <n v="6.6000000000000003E-2"/>
    <n v="8"/>
    <n v="5.5156200000000002"/>
    <n v="624.43503999999996"/>
    <n v="618.91941999999995"/>
    <n v="445.2"/>
    <n v="179.23503999999997"/>
    <n v="173.71941999999996"/>
    <n v="1.4025944294699011"/>
    <n v="6.6000000000000003E-2"/>
    <n v="63.997499999999995"/>
    <n v="9.6"/>
  </r>
  <r>
    <x v="543"/>
    <d v="2025-05-10T00:00:00"/>
    <s v="q2"/>
    <s v="2024"/>
    <s v="Jan"/>
    <d v="2024-01-21T00:00:00"/>
    <d v="2024-01-25T00:00:00"/>
    <d v="2024-01-25T00:00:00"/>
    <x v="1"/>
    <n v="4"/>
    <n v="4"/>
    <x v="0"/>
    <x v="4"/>
    <s v="Delhi"/>
    <s v="Consumer"/>
    <x v="3"/>
    <x v="4"/>
    <x v="3"/>
    <x v="542"/>
    <n v="523.70000000000005"/>
    <s v="Medium"/>
    <n v="1109.92"/>
    <n v="1109.92"/>
    <n v="0.03"/>
    <n v="11"/>
    <n v="33.297600000000003"/>
    <n v="11842.8464"/>
    <n v="11809.5488"/>
    <n v="5760.7000000000007"/>
    <n v="6082.1463999999996"/>
    <n v="6048.8487999999998"/>
    <n v="2.0557998854305897"/>
    <n v="0.03"/>
    <n v="602.255"/>
    <n v="13.2"/>
  </r>
  <r>
    <x v="544"/>
    <d v="2025-05-12T00:00:00"/>
    <s v="q2"/>
    <s v="2025"/>
    <s v="Aug"/>
    <d v="2025-08-07T00:00:00"/>
    <d v="2025-08-19T00:00:00"/>
    <d v="2025-08-19T00:00:00"/>
    <x v="0"/>
    <n v="12"/>
    <n v="12"/>
    <x v="3"/>
    <x v="5"/>
    <s v="Nakuru"/>
    <s v="Corporate"/>
    <x v="1"/>
    <x v="13"/>
    <x v="2"/>
    <x v="543"/>
    <n v="601.51"/>
    <s v="Medium"/>
    <n v="679.35"/>
    <n v="679.35"/>
    <n v="0.188"/>
    <n v="3"/>
    <n v="127.71780000000001"/>
    <n v="1654.8966000000003"/>
    <n v="1527.1788000000001"/>
    <n v="1804.53"/>
    <n v="-149.63339999999971"/>
    <n v="-277.35119999999984"/>
    <n v="0.91707901780519041"/>
    <n v="0.188"/>
    <n v="691.73649999999998"/>
    <n v="3.5999999999999996"/>
  </r>
  <r>
    <x v="545"/>
    <d v="2025-05-14T00:00:00"/>
    <s v="q2"/>
    <s v="2023"/>
    <s v="Dec"/>
    <d v="2023-12-22T00:00:00"/>
    <d v="2023-12-23T00:00:00"/>
    <d v="2023-12-23T00:00:00"/>
    <x v="1"/>
    <n v="1"/>
    <n v="1"/>
    <x v="3"/>
    <x v="11"/>
    <s v="Cape Town"/>
    <s v="Non-Profit"/>
    <x v="4"/>
    <x v="10"/>
    <x v="2"/>
    <x v="544"/>
    <n v="1186.18"/>
    <s v="Medium"/>
    <n v="1285.0899999999999"/>
    <n v="1285.0899999999999"/>
    <n v="7.0000000000000007E-2"/>
    <n v="11"/>
    <n v="89.956299999999999"/>
    <n v="13146.470699999998"/>
    <n v="13056.514399999998"/>
    <n v="13047.980000000001"/>
    <n v="98.49069999999665"/>
    <n v="8.5343999999968219"/>
    <n v="1.0075483484799943"/>
    <n v="7.0000000000000007E-2"/>
    <n v="1364.107"/>
    <n v="13.2"/>
  </r>
  <r>
    <x v="546"/>
    <d v="2025-05-14T00:00:00"/>
    <s v="q2"/>
    <s v="2024"/>
    <s v="Apr"/>
    <d v="2024-04-06T00:00:00"/>
    <d v="2024-04-25T00:00:00"/>
    <d v="2024-04-25T00:00:00"/>
    <x v="0"/>
    <n v="19"/>
    <n v="19"/>
    <x v="0"/>
    <x v="3"/>
    <s v="Shanghai"/>
    <s v="Corporate"/>
    <x v="1"/>
    <x v="8"/>
    <x v="2"/>
    <x v="545"/>
    <n v="1366.48"/>
    <s v="Medium"/>
    <n v="1678.14"/>
    <n v="1678.14"/>
    <n v="0.154"/>
    <n v="10"/>
    <n v="258.43356"/>
    <n v="14197.064400000001"/>
    <n v="13938.630840000002"/>
    <n v="13664.8"/>
    <n v="532.26440000000184"/>
    <n v="273.83084000000235"/>
    <n v="1.0389514958140627"/>
    <n v="0.154"/>
    <n v="1571.452"/>
    <n v="12"/>
  </r>
  <r>
    <x v="547"/>
    <d v="2025-05-15T00:00:00"/>
    <s v="q2"/>
    <s v="2025"/>
    <s v="Mar"/>
    <d v="2025-03-25T00:00:00"/>
    <d v="2025-04-17T00:00:00"/>
    <d v="2025-04-17T00:00:00"/>
    <x v="0"/>
    <n v="23"/>
    <n v="23"/>
    <x v="1"/>
    <x v="7"/>
    <s v="London"/>
    <s v="Consumer"/>
    <x v="1"/>
    <x v="14"/>
    <x v="4"/>
    <x v="546"/>
    <n v="1421.19"/>
    <s v="Medium"/>
    <n v="1808.26"/>
    <n v="1808.26"/>
    <n v="0.104"/>
    <n v="13"/>
    <n v="188.05903999999998"/>
    <n v="21062.61248"/>
    <n v="20874.55344"/>
    <n v="18475.47"/>
    <n v="2587.1424799999986"/>
    <n v="2399.0834399999985"/>
    <n v="1.1400312132790125"/>
    <n v="0.104"/>
    <n v="1634.3685"/>
    <n v="15.6"/>
  </r>
  <r>
    <x v="548"/>
    <d v="2025-05-16T00:00:00"/>
    <s v="q2"/>
    <s v="2025"/>
    <s v="May"/>
    <d v="2025-05-14T00:00:00"/>
    <d v="2025-05-24T00:00:00"/>
    <d v="2025-05-24T00:00:00"/>
    <x v="0"/>
    <n v="10"/>
    <n v="10"/>
    <x v="1"/>
    <x v="8"/>
    <s v="Paris"/>
    <s v="Small Business"/>
    <x v="4"/>
    <x v="8"/>
    <x v="2"/>
    <x v="547"/>
    <n v="170.39"/>
    <s v="Low"/>
    <n v="388.04"/>
    <n v="388.04"/>
    <n v="8.4000000000000005E-2"/>
    <n v="15"/>
    <n v="32.595360000000007"/>
    <n v="5331.6696000000002"/>
    <n v="5299.0742399999999"/>
    <n v="2555.85"/>
    <n v="2775.8196000000003"/>
    <n v="2743.22424"/>
    <n v="2.0860651446681144"/>
    <n v="8.4000000000000005E-2"/>
    <n v="195.94849999999997"/>
    <n v="18"/>
  </r>
  <r>
    <x v="549"/>
    <d v="2025-05-16T00:00:00"/>
    <s v="q2"/>
    <s v="2025"/>
    <s v="Apr"/>
    <d v="2025-04-23T00:00:00"/>
    <d v="2025-04-23T00:00:00"/>
    <d v="2025-04-22T00:00:00"/>
    <x v="1"/>
    <n v="0"/>
    <n v="-1"/>
    <x v="2"/>
    <x v="10"/>
    <s v="San Francisco"/>
    <s v="Non-Profit"/>
    <x v="0"/>
    <x v="10"/>
    <x v="3"/>
    <x v="548"/>
    <n v="23.24"/>
    <s v="Low"/>
    <n v="44.57"/>
    <n v="44.57"/>
    <n v="0.215"/>
    <n v="15"/>
    <n v="9.5825499999999995"/>
    <n v="524.81174999999996"/>
    <n v="515.22919999999999"/>
    <n v="348.59999999999997"/>
    <n v="176.21174999999999"/>
    <n v="166.62920000000003"/>
    <n v="1.5054840791738382"/>
    <n v="0.2"/>
    <n v="26.725999999999996"/>
    <n v="18"/>
  </r>
  <r>
    <x v="550"/>
    <d v="2025-05-17T00:00:00"/>
    <s v="q2"/>
    <s v="2023"/>
    <s v="Feb"/>
    <d v="2023-02-08T00:00:00"/>
    <d v="2023-02-11T00:00:00"/>
    <d v="2023-02-11T00:00:00"/>
    <x v="1"/>
    <n v="3"/>
    <n v="3"/>
    <x v="3"/>
    <x v="11"/>
    <s v="Cape Town"/>
    <s v="Corporate"/>
    <x v="3"/>
    <x v="13"/>
    <x v="4"/>
    <x v="549"/>
    <n v="1410.05"/>
    <s v="High"/>
    <n v="2763.95"/>
    <n v="2763.95"/>
    <n v="0.161"/>
    <n v="26"/>
    <n v="444.99594999999999"/>
    <n v="60292.805299999993"/>
    <n v="59847.809349999996"/>
    <n v="36661.299999999996"/>
    <n v="23631.505299999997"/>
    <n v="23186.50935"/>
    <n v="1.6445899436190206"/>
    <n v="0.161"/>
    <n v="1621.5574999999999"/>
    <n v="31.2"/>
  </r>
  <r>
    <x v="551"/>
    <d v="2025-05-17T00:00:00"/>
    <s v="q2"/>
    <s v="2023"/>
    <s v="Aug"/>
    <d v="2023-08-19T00:00:00"/>
    <d v="2023-09-12T00:00:00"/>
    <d v="2023-09-12T00:00:00"/>
    <x v="0"/>
    <n v="24"/>
    <n v="24"/>
    <x v="2"/>
    <x v="2"/>
    <s v="Vancouver"/>
    <s v="Enterprise"/>
    <x v="1"/>
    <x v="7"/>
    <x v="6"/>
    <x v="550"/>
    <n v="1183.95"/>
    <s v="Medium"/>
    <n v="1503.53"/>
    <n v="1503.53"/>
    <n v="0.24099999999999999"/>
    <n v="16"/>
    <n v="362.35073"/>
    <n v="18258.868320000001"/>
    <n v="17896.517590000003"/>
    <n v="18943.2"/>
    <n v="-684.33167999999932"/>
    <n v="-1046.6824099999976"/>
    <n v="0.96387454706702147"/>
    <n v="0.2"/>
    <n v="1361.5425"/>
    <n v="19.2"/>
  </r>
  <r>
    <x v="552"/>
    <d v="2025-05-18T00:00:00"/>
    <s v="q2"/>
    <s v="2024"/>
    <s v="Nov"/>
    <d v="2024-11-21T00:00:00"/>
    <d v="2024-12-21T00:00:00"/>
    <d v="2024-12-21T00:00:00"/>
    <x v="0"/>
    <n v="30"/>
    <n v="30"/>
    <x v="1"/>
    <x v="8"/>
    <s v="Marseille"/>
    <s v="Small Business"/>
    <x v="3"/>
    <x v="7"/>
    <x v="3"/>
    <x v="551"/>
    <n v="1122.68"/>
    <s v="High"/>
    <n v="1997.19"/>
    <n v="1997.19"/>
    <n v="0.186"/>
    <n v="3"/>
    <n v="371.47734000000003"/>
    <n v="4877.1379800000004"/>
    <n v="4505.6606400000001"/>
    <n v="3368.04"/>
    <n v="1509.0979800000005"/>
    <n v="1137.6206400000001"/>
    <n v="1.4480641500694766"/>
    <n v="0.186"/>
    <n v="1291.0819999999999"/>
    <n v="3.5999999999999996"/>
  </r>
  <r>
    <x v="553"/>
    <d v="2025-05-19T00:00:00"/>
    <s v="q2"/>
    <s v="2023"/>
    <s v="Jun"/>
    <d v="2023-06-14T00:00:00"/>
    <d v="2023-06-16T00:00:00"/>
    <d v="2023-06-16T00:00:00"/>
    <x v="1"/>
    <n v="2"/>
    <n v="2"/>
    <x v="1"/>
    <x v="7"/>
    <s v="Manchester"/>
    <s v="Non-Profit"/>
    <x v="3"/>
    <x v="8"/>
    <x v="2"/>
    <x v="251"/>
    <n v="357.36"/>
    <s v="Medium"/>
    <n v="703.62"/>
    <n v="703.62"/>
    <n v="0.25700000000000001"/>
    <n v="20"/>
    <n v="180.83034000000001"/>
    <n v="10455.7932"/>
    <n v="10274.96286"/>
    <n v="7147.2000000000007"/>
    <n v="3308.5931999999993"/>
    <n v="3127.7628599999989"/>
    <n v="1.4629215916722631"/>
    <n v="0.2"/>
    <n v="410.964"/>
    <n v="24"/>
  </r>
  <r>
    <x v="554"/>
    <d v="2025-05-21T00:00:00"/>
    <s v="q2"/>
    <s v="2023"/>
    <s v="Sept"/>
    <d v="2023-09-18T00:00:00"/>
    <d v="2023-10-08T00:00:00"/>
    <d v="2023-10-08T00:00:00"/>
    <x v="0"/>
    <n v="20"/>
    <n v="20"/>
    <x v="0"/>
    <x v="4"/>
    <s v="Delhi"/>
    <s v="Small Business"/>
    <x v="3"/>
    <x v="11"/>
    <x v="2"/>
    <x v="552"/>
    <n v="825.64"/>
    <s v="Medium"/>
    <n v="1108.43"/>
    <n v="1108.43"/>
    <n v="0.114"/>
    <n v="7"/>
    <n v="126.36102000000001"/>
    <n v="6874.4828600000001"/>
    <n v="6748.1218399999998"/>
    <n v="5779.48"/>
    <n v="1095.0028600000005"/>
    <n v="968.64184000000023"/>
    <n v="1.1894639067874619"/>
    <n v="0.114"/>
    <n v="949.48599999999988"/>
    <n v="8.4"/>
  </r>
  <r>
    <x v="555"/>
    <d v="2025-05-21T00:00:00"/>
    <s v="q2"/>
    <s v="2024"/>
    <s v="Aug"/>
    <d v="2024-08-28T00:00:00"/>
    <d v="2024-09-25T00:00:00"/>
    <d v="2024-09-25T00:00:00"/>
    <x v="0"/>
    <n v="28"/>
    <n v="28"/>
    <x v="2"/>
    <x v="6"/>
    <s v="Rio de Janeiro"/>
    <s v="Non-Profit"/>
    <x v="2"/>
    <x v="1"/>
    <x v="5"/>
    <x v="553"/>
    <n v="1394.65"/>
    <s v="High"/>
    <n v="3144.1"/>
    <n v="3144.1"/>
    <n v="0.13400000000000001"/>
    <n v="13"/>
    <n v="421.30940000000004"/>
    <n v="35396.277799999996"/>
    <n v="34974.968399999998"/>
    <n v="18130.45"/>
    <n v="17265.827799999995"/>
    <n v="16844.518399999997"/>
    <n v="1.9523110457820956"/>
    <n v="0.13400000000000001"/>
    <n v="1603.8475000000001"/>
    <n v="15.6"/>
  </r>
  <r>
    <x v="556"/>
    <d v="2025-05-21T00:00:00"/>
    <s v="q2"/>
    <s v="2024"/>
    <s v="Jun"/>
    <d v="2024-06-30T00:00:00"/>
    <d v="2024-06-30T00:00:00"/>
    <d v="2024-06-28T00:00:00"/>
    <x v="1"/>
    <n v="0"/>
    <n v="-2"/>
    <x v="2"/>
    <x v="6"/>
    <s v="Rio de Janeiro"/>
    <s v="Small Business"/>
    <x v="3"/>
    <x v="1"/>
    <x v="5"/>
    <x v="554"/>
    <n v="1112.98"/>
    <s v="High"/>
    <n v="2095.73"/>
    <n v="2095.73"/>
    <n v="7.1999999999999995E-2"/>
    <n v="17"/>
    <n v="150.89256"/>
    <n v="33062.236480000007"/>
    <n v="32911.343920000007"/>
    <n v="18920.66"/>
    <n v="14141.576480000007"/>
    <n v="13990.683920000007"/>
    <n v="1.7474145447357547"/>
    <n v="7.1999999999999995E-2"/>
    <n v="1279.9269999999999"/>
    <n v="20.399999999999999"/>
  </r>
  <r>
    <x v="557"/>
    <d v="2025-05-27T00:00:00"/>
    <s v="q2"/>
    <s v="2023"/>
    <s v="May"/>
    <d v="2023-05-20T00:00:00"/>
    <d v="2023-05-20T00:00:00"/>
    <d v="2023-05-18T00:00:00"/>
    <x v="1"/>
    <n v="0"/>
    <n v="-2"/>
    <x v="3"/>
    <x v="11"/>
    <s v="Durban"/>
    <s v="Corporate"/>
    <x v="0"/>
    <x v="3"/>
    <x v="2"/>
    <x v="555"/>
    <n v="917.88"/>
    <s v="Medium"/>
    <n v="1347.92"/>
    <n v="1347.92"/>
    <n v="0.34300000000000003"/>
    <n v="5"/>
    <n v="462.33656000000008"/>
    <n v="4427.9172000000008"/>
    <n v="3965.5806400000006"/>
    <n v="4589.3999999999996"/>
    <n v="-161.48279999999886"/>
    <n v="-623.81935999999905"/>
    <n v="0.9648139626094917"/>
    <n v="0.2"/>
    <n v="1055.5619999999999"/>
    <n v="6"/>
  </r>
  <r>
    <x v="558"/>
    <d v="2025-05-29T00:00:00"/>
    <s v="q2"/>
    <s v="2024"/>
    <s v="Dec"/>
    <d v="2024-12-15T00:00:00"/>
    <d v="2024-12-20T00:00:00"/>
    <d v="2024-12-20T00:00:00"/>
    <x v="1"/>
    <n v="5"/>
    <n v="5"/>
    <x v="0"/>
    <x v="3"/>
    <s v="Shenzhen"/>
    <s v="Small Business"/>
    <x v="3"/>
    <x v="5"/>
    <x v="4"/>
    <x v="556"/>
    <n v="717.55"/>
    <s v="Low"/>
    <n v="546.42999999999995"/>
    <n v="546.42999999999995"/>
    <n v="4.7E-2"/>
    <n v="18"/>
    <n v="25.682209999999998"/>
    <n v="9373.460219999999"/>
    <n v="9347.7780099999982"/>
    <n v="12915.9"/>
    <n v="-3542.4397800000006"/>
    <n v="-3568.1219900000015"/>
    <n v="0.72573031844470759"/>
    <n v="4.7E-2"/>
    <n v="825.18249999999989"/>
    <n v="21.599999999999998"/>
  </r>
  <r>
    <x v="559"/>
    <d v="2025-06-01T00:00:00"/>
    <s v="q2"/>
    <s v="2024"/>
    <s v="Mar"/>
    <d v="2024-03-18T00:00:00"/>
    <d v="2024-03-21T00:00:00"/>
    <d v="2024-03-21T00:00:00"/>
    <x v="1"/>
    <n v="3"/>
    <n v="3"/>
    <x v="1"/>
    <x v="1"/>
    <s v="Munich"/>
    <s v="Small Business"/>
    <x v="2"/>
    <x v="13"/>
    <x v="5"/>
    <x v="557"/>
    <n v="910.63"/>
    <s v="Medium"/>
    <n v="1269.4000000000001"/>
    <n v="1269.4000000000001"/>
    <n v="6.8000000000000005E-2"/>
    <n v="9"/>
    <n v="86.319200000000009"/>
    <n v="10647.727199999999"/>
    <n v="10561.407999999999"/>
    <n v="8195.67"/>
    <n v="2452.0571999999993"/>
    <n v="2365.7379999999994"/>
    <n v="1.299189352426342"/>
    <n v="6.8000000000000005E-2"/>
    <n v="1047.2244999999998"/>
    <n v="10.799999999999999"/>
  </r>
  <r>
    <x v="560"/>
    <d v="2025-06-01T00:00:00"/>
    <s v="q2"/>
    <s v="2025"/>
    <s v="Apr"/>
    <d v="2025-04-09T00:00:00"/>
    <d v="2025-05-06T00:00:00"/>
    <d v="2025-05-06T00:00:00"/>
    <x v="0"/>
    <n v="27"/>
    <n v="27"/>
    <x v="2"/>
    <x v="6"/>
    <s v="Brasília"/>
    <s v="Enterprise"/>
    <x v="4"/>
    <x v="9"/>
    <x v="0"/>
    <x v="558"/>
    <n v="264.19"/>
    <s v="Low"/>
    <n v="620.92999999999995"/>
    <n v="620.92999999999995"/>
    <n v="0.14199999999999999"/>
    <n v="12"/>
    <n v="88.172059999999988"/>
    <n v="6393.0952799999995"/>
    <n v="6304.9232199999997"/>
    <n v="3170.2799999999997"/>
    <n v="3222.8152799999998"/>
    <n v="3134.6432199999999"/>
    <n v="2.0165711798326962"/>
    <n v="0.14199999999999999"/>
    <n v="303.81849999999997"/>
    <n v="14.399999999999999"/>
  </r>
  <r>
    <x v="561"/>
    <d v="2025-06-01T00:00:00"/>
    <s v="q2"/>
    <s v="2024"/>
    <s v="Apr"/>
    <d v="2024-04-12T00:00:00"/>
    <d v="2024-05-07T00:00:00"/>
    <d v="2024-05-07T00:00:00"/>
    <x v="0"/>
    <n v="25"/>
    <n v="25"/>
    <x v="3"/>
    <x v="11"/>
    <s v="Johannesburg"/>
    <s v="Education"/>
    <x v="0"/>
    <x v="3"/>
    <x v="0"/>
    <x v="559"/>
    <n v="1376.51"/>
    <s v="Medium"/>
    <n v="1455.91"/>
    <n v="1455.91"/>
    <n v="0.185"/>
    <n v="17"/>
    <n v="269.34334999999999"/>
    <n v="20171.63305"/>
    <n v="19902.289700000001"/>
    <n v="23400.67"/>
    <n v="-3229.0369499999979"/>
    <n v="-3498.3802999999971"/>
    <n v="0.86201091891813364"/>
    <n v="0.185"/>
    <n v="1582.9865"/>
    <n v="20.399999999999999"/>
  </r>
  <r>
    <x v="562"/>
    <d v="2025-06-03T00:00:00"/>
    <s v="q2"/>
    <s v="2023"/>
    <s v="Apr"/>
    <d v="2023-04-21T00:00:00"/>
    <d v="2023-05-10T00:00:00"/>
    <d v="2023-05-10T00:00:00"/>
    <x v="0"/>
    <n v="19"/>
    <n v="19"/>
    <x v="0"/>
    <x v="3"/>
    <s v="Shanghai"/>
    <s v="Corporate"/>
    <x v="1"/>
    <x v="3"/>
    <x v="2"/>
    <x v="560"/>
    <n v="882.33"/>
    <s v="Medium"/>
    <n v="1880.15"/>
    <n v="1880.15"/>
    <n v="0.05"/>
    <n v="5"/>
    <n v="94.007500000000007"/>
    <n v="8930.7124999999996"/>
    <n v="8836.7049999999999"/>
    <n v="4411.6500000000005"/>
    <n v="4519.0624999999991"/>
    <n v="4425.0549999999994"/>
    <n v="2.0243474663674585"/>
    <n v="0.05"/>
    <n v="1014.6795"/>
    <n v="6"/>
  </r>
  <r>
    <x v="563"/>
    <d v="2025-06-05T00:00:00"/>
    <s v="q2"/>
    <s v="2023"/>
    <s v="Aug"/>
    <d v="2023-08-19T00:00:00"/>
    <d v="2023-09-07T00:00:00"/>
    <d v="2023-09-07T00:00:00"/>
    <x v="0"/>
    <n v="19"/>
    <n v="19"/>
    <x v="3"/>
    <x v="11"/>
    <s v="Johannesburg"/>
    <s v="Enterprise"/>
    <x v="1"/>
    <x v="10"/>
    <x v="3"/>
    <x v="561"/>
    <n v="494.61"/>
    <s v="Low"/>
    <n v="605.23"/>
    <n v="605.23"/>
    <n v="0.20399999999999999"/>
    <n v="18"/>
    <n v="123.46692"/>
    <n v="8671.7354400000004"/>
    <n v="8548.2685199999996"/>
    <n v="8902.98"/>
    <n v="-231.24455999999918"/>
    <n v="-354.71147999999994"/>
    <n v="0.97402616202664738"/>
    <n v="0.2"/>
    <n v="568.80149999999992"/>
    <n v="21.599999999999998"/>
  </r>
  <r>
    <x v="564"/>
    <d v="2025-06-09T00:00:00"/>
    <s v="q2"/>
    <s v="2023"/>
    <s v="Dec"/>
    <d v="2023-12-03T00:00:00"/>
    <d v="2023-12-26T00:00:00"/>
    <d v="2023-12-26T00:00:00"/>
    <x v="0"/>
    <n v="23"/>
    <n v="23"/>
    <x v="2"/>
    <x v="6"/>
    <s v="Rio de Janeiro"/>
    <s v="Education"/>
    <x v="1"/>
    <x v="6"/>
    <x v="1"/>
    <x v="562"/>
    <n v="1303.1099999999999"/>
    <s v="Medium"/>
    <n v="1145.67"/>
    <n v="1145.67"/>
    <n v="0.184"/>
    <n v="13"/>
    <n v="210.80328"/>
    <n v="12153.267360000002"/>
    <n v="11942.464080000002"/>
    <n v="16940.43"/>
    <n v="-4787.1626399999986"/>
    <n v="-4997.9659199999987"/>
    <n v="0.71741197596519102"/>
    <n v="0.184"/>
    <n v="1498.5764999999997"/>
    <n v="15.6"/>
  </r>
  <r>
    <x v="565"/>
    <d v="2025-06-09T00:00:00"/>
    <s v="q2"/>
    <s v="2023"/>
    <s v="Mar"/>
    <d v="2023-03-19T00:00:00"/>
    <d v="2023-04-09T00:00:00"/>
    <d v="2023-04-09T00:00:00"/>
    <x v="0"/>
    <n v="21"/>
    <n v="21"/>
    <x v="1"/>
    <x v="7"/>
    <s v="Manchester"/>
    <s v="Consumer"/>
    <x v="1"/>
    <x v="1"/>
    <x v="5"/>
    <x v="563"/>
    <n v="1082.17"/>
    <s v="Medium"/>
    <n v="1234.0999999999999"/>
    <n v="1234.0999999999999"/>
    <n v="0.189"/>
    <n v="16"/>
    <n v="233.24489999999997"/>
    <n v="16013.681599999998"/>
    <n v="15780.436699999998"/>
    <n v="17314.72"/>
    <n v="-1301.0384000000031"/>
    <n v="-1534.2833000000028"/>
    <n v="0.92485940286646262"/>
    <n v="0.189"/>
    <n v="1244.4955"/>
    <n v="19.2"/>
  </r>
  <r>
    <x v="566"/>
    <d v="2025-06-09T00:00:00"/>
    <s v="q2"/>
    <s v="2024"/>
    <s v="May"/>
    <d v="2024-05-22T00:00:00"/>
    <d v="2024-06-06T00:00:00"/>
    <d v="2024-06-06T00:00:00"/>
    <x v="0"/>
    <n v="15"/>
    <n v="15"/>
    <x v="0"/>
    <x v="0"/>
    <s v="Nagoya"/>
    <s v="Corporate"/>
    <x v="0"/>
    <x v="4"/>
    <x v="3"/>
    <x v="564"/>
    <n v="673.88"/>
    <s v="Medium"/>
    <n v="1228.01"/>
    <n v="1228.01"/>
    <n v="0.105"/>
    <n v="13"/>
    <n v="128.94104999999999"/>
    <n v="14287.896349999999"/>
    <n v="14158.9553"/>
    <n v="8760.44"/>
    <n v="5527.4563499999986"/>
    <n v="5398.5152999999991"/>
    <n v="1.6309564759304325"/>
    <n v="0.105"/>
    <n v="774.96199999999999"/>
    <n v="15.6"/>
  </r>
  <r>
    <x v="567"/>
    <d v="2025-06-14T00:00:00"/>
    <s v="q2"/>
    <s v="2023"/>
    <s v="Feb"/>
    <d v="2023-02-15T00:00:00"/>
    <d v="2023-02-26T00:00:00"/>
    <d v="2023-02-26T00:00:00"/>
    <x v="0"/>
    <n v="11"/>
    <n v="11"/>
    <x v="3"/>
    <x v="11"/>
    <s v="Johannesburg"/>
    <s v="Non-Profit"/>
    <x v="1"/>
    <x v="8"/>
    <x v="0"/>
    <x v="565"/>
    <n v="498.5"/>
    <s v="Medium"/>
    <n v="755.87"/>
    <n v="755.87"/>
    <n v="0.13"/>
    <n v="40"/>
    <n v="98.263100000000009"/>
    <n v="26304.275999999998"/>
    <n v="26206.012899999998"/>
    <n v="19940"/>
    <n v="6364.275999999998"/>
    <n v="6266.0128999999979"/>
    <n v="1.3191713139418253"/>
    <n v="0.13"/>
    <n v="573.27499999999998"/>
    <n v="48"/>
  </r>
  <r>
    <x v="568"/>
    <d v="2025-06-15T00:00:00"/>
    <s v="q2"/>
    <s v="2025"/>
    <s v="Apr"/>
    <d v="2025-04-27T00:00:00"/>
    <d v="2025-05-25T00:00:00"/>
    <d v="2025-05-25T00:00:00"/>
    <x v="0"/>
    <n v="28"/>
    <n v="28"/>
    <x v="1"/>
    <x v="8"/>
    <s v="Paris"/>
    <s v="Small Business"/>
    <x v="4"/>
    <x v="7"/>
    <x v="1"/>
    <x v="566"/>
    <n v="603.45000000000005"/>
    <s v="Medium"/>
    <n v="1244.08"/>
    <n v="1244.08"/>
    <n v="0.2"/>
    <n v="11"/>
    <n v="248.816"/>
    <n v="10947.904"/>
    <n v="10699.088"/>
    <n v="6637.9500000000007"/>
    <n v="4309.9539999999997"/>
    <n v="4061.137999999999"/>
    <n v="1.6492899163145247"/>
    <n v="0.2"/>
    <n v="693.96749999999997"/>
    <n v="13.2"/>
  </r>
  <r>
    <x v="569"/>
    <d v="2025-06-15T00:00:00"/>
    <s v="q2"/>
    <s v="2024"/>
    <s v="Nov"/>
    <d v="2024-11-02T00:00:00"/>
    <d v="2024-11-18T00:00:00"/>
    <d v="2024-11-18T00:00:00"/>
    <x v="0"/>
    <n v="16"/>
    <n v="16"/>
    <x v="0"/>
    <x v="4"/>
    <s v="Mumbai"/>
    <s v="Small Business"/>
    <x v="0"/>
    <x v="6"/>
    <x v="3"/>
    <x v="567"/>
    <n v="1233.58"/>
    <s v="Medium"/>
    <n v="1912.51"/>
    <n v="1912.51"/>
    <n v="0.255"/>
    <n v="51"/>
    <n v="487.69004999999999"/>
    <n v="72665.817450000002"/>
    <n v="72178.127399999998"/>
    <n v="62912.579999999994"/>
    <n v="9753.2374500000078"/>
    <n v="9265.5474000000031"/>
    <n v="1.1550284132362718"/>
    <n v="0.2"/>
    <n v="1418.6169999999997"/>
    <n v="61.199999999999996"/>
  </r>
  <r>
    <x v="570"/>
    <d v="2025-06-17T00:00:00"/>
    <s v="q2"/>
    <s v="2025"/>
    <s v="Sept"/>
    <d v="2025-09-10T00:00:00"/>
    <d v="2025-09-12T00:00:00"/>
    <d v="2025-09-12T00:00:00"/>
    <x v="1"/>
    <n v="2"/>
    <n v="2"/>
    <x v="0"/>
    <x v="0"/>
    <s v="Tokyo"/>
    <s v="Consumer"/>
    <x v="2"/>
    <x v="6"/>
    <x v="2"/>
    <x v="568"/>
    <n v="1470.15"/>
    <s v="High"/>
    <n v="2593.7800000000002"/>
    <n v="2593.7800000000002"/>
    <n v="0.11"/>
    <n v="12"/>
    <n v="285.31580000000002"/>
    <n v="27701.570400000001"/>
    <n v="27416.2546"/>
    <n v="17641.800000000003"/>
    <n v="10059.770399999998"/>
    <n v="9774.4545999999973"/>
    <n v="1.5702235826276227"/>
    <n v="0.11"/>
    <n v="1690.6724999999999"/>
    <n v="14.399999999999999"/>
  </r>
  <r>
    <x v="571"/>
    <d v="2025-06-19T00:00:00"/>
    <s v="q2"/>
    <s v="2025"/>
    <s v="May"/>
    <d v="2025-05-02T00:00:00"/>
    <d v="2025-05-13T00:00:00"/>
    <d v="2025-05-13T00:00:00"/>
    <x v="0"/>
    <n v="11"/>
    <n v="11"/>
    <x v="3"/>
    <x v="5"/>
    <s v="Nakuru"/>
    <s v="Small Business"/>
    <x v="2"/>
    <x v="3"/>
    <x v="5"/>
    <x v="569"/>
    <n v="1057.5999999999999"/>
    <s v="Medium"/>
    <n v="1437.06"/>
    <n v="1437.06"/>
    <n v="0.20499999999999999"/>
    <n v="4"/>
    <n v="294.59729999999996"/>
    <n v="4569.8508000000002"/>
    <n v="4275.2534999999998"/>
    <n v="4230.3999999999996"/>
    <n v="339.45080000000053"/>
    <n v="44.853500000000167"/>
    <n v="1.0802408282904692"/>
    <n v="0.2"/>
    <n v="1216.2399999999998"/>
    <n v="4.8"/>
  </r>
  <r>
    <x v="572"/>
    <d v="2025-06-19T00:00:00"/>
    <s v="q2"/>
    <s v="2024"/>
    <s v="Mar"/>
    <d v="2024-03-10T00:00:00"/>
    <d v="2024-04-09T00:00:00"/>
    <d v="2024-04-09T00:00:00"/>
    <x v="0"/>
    <n v="30"/>
    <n v="30"/>
    <x v="1"/>
    <x v="8"/>
    <s v="Lyon"/>
    <s v="Corporate"/>
    <x v="3"/>
    <x v="7"/>
    <x v="2"/>
    <x v="570"/>
    <n v="1176.56"/>
    <s v="Medium"/>
    <n v="1911.89"/>
    <n v="1911.89"/>
    <n v="0.11899999999999999"/>
    <n v="20"/>
    <n v="227.51491000000001"/>
    <n v="33687.501800000005"/>
    <n v="33459.986890000007"/>
    <n v="23531.199999999997"/>
    <n v="10156.301800000008"/>
    <n v="9928.7868900000103"/>
    <n v="1.431610024138166"/>
    <n v="0.11899999999999999"/>
    <n v="1353.0439999999999"/>
    <n v="24"/>
  </r>
  <r>
    <x v="573"/>
    <d v="2025-06-21T00:00:00"/>
    <s v="q2"/>
    <s v="2025"/>
    <s v="Jun"/>
    <d v="2025-06-09T00:00:00"/>
    <d v="2025-06-18T00:00:00"/>
    <d v="2025-06-18T00:00:00"/>
    <x v="0"/>
    <n v="9"/>
    <n v="9"/>
    <x v="1"/>
    <x v="8"/>
    <s v="Marseille"/>
    <s v="Small Business"/>
    <x v="4"/>
    <x v="14"/>
    <x v="5"/>
    <x v="571"/>
    <n v="1225.5"/>
    <s v="Low"/>
    <n v="5.27"/>
    <n v="-5.27"/>
    <n v="7.4999999999999997E-2"/>
    <n v="56"/>
    <n v="0.39524999999999993"/>
    <n v="272.98599999999999"/>
    <n v="272.59075000000001"/>
    <n v="68628"/>
    <n v="-68355.013999999996"/>
    <n v="-68355.409249999997"/>
    <n v="3.9777641778865769E-3"/>
    <n v="7.4999999999999997E-2"/>
    <n v="1409.3249999999998"/>
    <n v="67.2"/>
  </r>
  <r>
    <x v="574"/>
    <d v="2025-06-22T00:00:00"/>
    <s v="q2"/>
    <s v="2024"/>
    <s v="Dec"/>
    <d v="2024-12-17T00:00:00"/>
    <d v="2024-12-18T00:00:00"/>
    <d v="2024-12-18T00:00:00"/>
    <x v="1"/>
    <n v="1"/>
    <n v="1"/>
    <x v="1"/>
    <x v="1"/>
    <s v="Munich"/>
    <s v="Education"/>
    <x v="1"/>
    <x v="1"/>
    <x v="5"/>
    <x v="572"/>
    <n v="346.82"/>
    <s v="Medium"/>
    <n v="701.95"/>
    <n v="701.95"/>
    <n v="0.14699999999999999"/>
    <n v="8"/>
    <n v="103.18665"/>
    <n v="4790.1068000000005"/>
    <n v="4686.9201500000008"/>
    <n v="2774.56"/>
    <n v="2015.5468000000005"/>
    <n v="1912.3601500000009"/>
    <n v="1.7264383541894932"/>
    <n v="0.14699999999999999"/>
    <n v="398.84299999999996"/>
    <n v="9.6"/>
  </r>
  <r>
    <x v="575"/>
    <d v="2025-06-24T00:00:00"/>
    <s v="q2"/>
    <s v="2025"/>
    <s v="Jan"/>
    <d v="2025-01-21T00:00:00"/>
    <d v="2025-02-16T00:00:00"/>
    <d v="2025-02-16T00:00:00"/>
    <x v="0"/>
    <n v="26"/>
    <n v="26"/>
    <x v="1"/>
    <x v="8"/>
    <s v="Lyon"/>
    <s v="Corporate"/>
    <x v="0"/>
    <x v="6"/>
    <x v="0"/>
    <x v="573"/>
    <n v="204.11"/>
    <s v="Low"/>
    <n v="236.87"/>
    <n v="236.87"/>
    <n v="0.182"/>
    <n v="13"/>
    <n v="43.110340000000001"/>
    <n v="2518.8755800000004"/>
    <n v="2475.7652400000002"/>
    <n v="2653.4300000000003"/>
    <n v="-134.55441999999994"/>
    <n v="-177.66476000000011"/>
    <n v="0.94929038263681353"/>
    <n v="0.182"/>
    <n v="234.72649999999999"/>
    <n v="15.6"/>
  </r>
  <r>
    <x v="576"/>
    <d v="2025-06-24T00:00:00"/>
    <s v="q2"/>
    <s v="2023"/>
    <s v="Aug"/>
    <d v="2023-08-30T00:00:00"/>
    <d v="2023-09-01T00:00:00"/>
    <d v="2023-09-01T00:00:00"/>
    <x v="1"/>
    <n v="2"/>
    <n v="2"/>
    <x v="1"/>
    <x v="1"/>
    <s v="Munich"/>
    <s v="Corporate"/>
    <x v="3"/>
    <x v="0"/>
    <x v="4"/>
    <x v="574"/>
    <n v="44.42"/>
    <s v="Low"/>
    <n v="41.9"/>
    <n v="41.9"/>
    <n v="0.14399999999999999"/>
    <n v="6"/>
    <n v="6.033599999999999"/>
    <n v="215.19839999999996"/>
    <n v="209.16479999999996"/>
    <n v="266.52"/>
    <n v="-51.321600000000018"/>
    <n v="-57.355200000000025"/>
    <n v="0.80743809095002239"/>
    <n v="0.14399999999999999"/>
    <n v="51.082999999999998"/>
    <n v="7.1999999999999993"/>
  </r>
  <r>
    <x v="577"/>
    <d v="2025-06-24T00:00:00"/>
    <s v="q2"/>
    <s v="2025"/>
    <s v="Apr"/>
    <d v="2025-04-06T00:00:00"/>
    <d v="2025-04-30T00:00:00"/>
    <d v="2025-04-30T00:00:00"/>
    <x v="0"/>
    <n v="24"/>
    <n v="24"/>
    <x v="2"/>
    <x v="6"/>
    <s v="Brasília"/>
    <s v="Education"/>
    <x v="2"/>
    <x v="8"/>
    <x v="3"/>
    <x v="575"/>
    <n v="855.78"/>
    <s v="Medium"/>
    <n v="977.38"/>
    <n v="977.38"/>
    <n v="0.14699999999999999"/>
    <n v="38"/>
    <n v="143.67486"/>
    <n v="31680.795320000001"/>
    <n v="31537.120460000002"/>
    <n v="32519.64"/>
    <n v="-838.84467999999833"/>
    <n v="-982.51953999999751"/>
    <n v="0.97420498258898325"/>
    <n v="0.14699999999999999"/>
    <n v="984.14699999999993"/>
    <n v="45.6"/>
  </r>
  <r>
    <x v="578"/>
    <d v="2025-06-24T00:00:00"/>
    <s v="q2"/>
    <s v="2025"/>
    <s v="Feb"/>
    <d v="2025-02-09T00:00:00"/>
    <d v="2025-03-01T00:00:00"/>
    <d v="2025-03-01T00:00:00"/>
    <x v="0"/>
    <n v="20"/>
    <n v="20"/>
    <x v="2"/>
    <x v="6"/>
    <s v="São Paulo"/>
    <s v="Corporate"/>
    <x v="0"/>
    <x v="11"/>
    <x v="0"/>
    <x v="576"/>
    <n v="1154.6400000000001"/>
    <s v="High"/>
    <n v="2794.13"/>
    <n v="2794.13"/>
    <n v="3.5000000000000003E-2"/>
    <n v="11"/>
    <n v="97.794550000000015"/>
    <n v="29659.68995"/>
    <n v="29561.895400000001"/>
    <n v="12701.04"/>
    <n v="16958.649949999999"/>
    <n v="16860.8554"/>
    <n v="2.3352174270768375"/>
    <n v="3.5000000000000003E-2"/>
    <n v="1327.836"/>
    <n v="13.2"/>
  </r>
  <r>
    <x v="579"/>
    <d v="2025-06-25T00:00:00"/>
    <s v="q2"/>
    <s v="2023"/>
    <s v="Mar"/>
    <d v="2023-03-31T00:00:00"/>
    <d v="2023-04-05T00:00:00"/>
    <d v="2023-04-05T00:00:00"/>
    <x v="1"/>
    <n v="5"/>
    <n v="5"/>
    <x v="3"/>
    <x v="5"/>
    <s v="Nakuru"/>
    <s v="Education"/>
    <x v="4"/>
    <x v="11"/>
    <x v="0"/>
    <x v="577"/>
    <n v="533.26"/>
    <s v="Low"/>
    <n v="385.72"/>
    <n v="385.72"/>
    <n v="0"/>
    <n v="15"/>
    <n v="0"/>
    <n v="5785.8"/>
    <n v="5785.8"/>
    <n v="7998.9"/>
    <n v="-2213.0999999999995"/>
    <n v="-2213.0999999999995"/>
    <n v="0.72332445711285309"/>
    <n v="0"/>
    <n v="613.24899999999991"/>
    <n v="18"/>
  </r>
  <r>
    <x v="580"/>
    <d v="2025-06-26T00:00:00"/>
    <s v="q2"/>
    <s v="2024"/>
    <s v="Oct"/>
    <d v="2024-10-17T00:00:00"/>
    <d v="2024-11-06T00:00:00"/>
    <d v="2024-11-06T00:00:00"/>
    <x v="0"/>
    <n v="20"/>
    <n v="20"/>
    <x v="0"/>
    <x v="4"/>
    <s v="Bengaluru"/>
    <s v="Enterprise"/>
    <x v="0"/>
    <x v="6"/>
    <x v="3"/>
    <x v="578"/>
    <n v="72.94"/>
    <s v="Low"/>
    <n v="106.3"/>
    <n v="106.3"/>
    <n v="0.29499999999999998"/>
    <n v="8"/>
    <n v="31.358499999999996"/>
    <n v="599.53200000000004"/>
    <n v="568.17349999999999"/>
    <n v="583.52"/>
    <n v="16.012000000000057"/>
    <n v="-15.346499999999992"/>
    <n v="1.0274403619413217"/>
    <n v="0.2"/>
    <n v="83.880999999999986"/>
    <n v="9.6"/>
  </r>
  <r>
    <x v="581"/>
    <d v="2025-06-27T00:00:00"/>
    <s v="q2"/>
    <s v="2023"/>
    <s v="Jul"/>
    <d v="2023-07-10T00:00:00"/>
    <d v="2023-08-01T00:00:00"/>
    <d v="2023-08-01T00:00:00"/>
    <x v="0"/>
    <n v="22"/>
    <n v="22"/>
    <x v="1"/>
    <x v="8"/>
    <s v="Marseille"/>
    <s v="Consumer"/>
    <x v="4"/>
    <x v="11"/>
    <x v="6"/>
    <x v="579"/>
    <n v="1303.56"/>
    <s v="Medium"/>
    <n v="1791.37"/>
    <n v="1791.37"/>
    <n v="0.126"/>
    <n v="22"/>
    <n v="225.71261999999999"/>
    <n v="34444.462359999998"/>
    <n v="34218.749739999999"/>
    <n v="28678.32"/>
    <n v="5766.142359999998"/>
    <n v="5540.4297399999996"/>
    <n v="1.2010627665776794"/>
    <n v="0.126"/>
    <n v="1499.0939999999998"/>
    <n v="26.4"/>
  </r>
  <r>
    <x v="582"/>
    <d v="2025-06-27T00:00:00"/>
    <s v="q2"/>
    <s v="2024"/>
    <s v="Nov"/>
    <d v="2024-11-06T00:00:00"/>
    <d v="2024-11-22T00:00:00"/>
    <d v="2024-11-22T00:00:00"/>
    <x v="0"/>
    <n v="16"/>
    <n v="16"/>
    <x v="2"/>
    <x v="2"/>
    <s v="Toronto"/>
    <s v="Non-Profit"/>
    <x v="0"/>
    <x v="10"/>
    <x v="5"/>
    <x v="580"/>
    <n v="1454.11"/>
    <s v="High"/>
    <n v="2629.75"/>
    <n v="2629.75"/>
    <n v="0.29199999999999998"/>
    <n v="8"/>
    <n v="767.88699999999994"/>
    <n v="14894.903999999999"/>
    <n v="14127.016999999998"/>
    <n v="11632.88"/>
    <n v="3262.0239999999994"/>
    <n v="2494.1369999999988"/>
    <n v="1.2804141364821093"/>
    <n v="0.2"/>
    <n v="1672.2264999999998"/>
    <n v="9.6"/>
  </r>
  <r>
    <x v="583"/>
    <d v="2025-07-03T00:00:00"/>
    <s v="q3"/>
    <s v="2024"/>
    <s v="May"/>
    <d v="2024-05-14T00:00:00"/>
    <d v="2024-05-28T00:00:00"/>
    <d v="2024-05-28T00:00:00"/>
    <x v="0"/>
    <n v="14"/>
    <n v="14"/>
    <x v="1"/>
    <x v="7"/>
    <s v="Birmingham"/>
    <s v="Consumer"/>
    <x v="1"/>
    <x v="11"/>
    <x v="4"/>
    <x v="581"/>
    <n v="1421.14"/>
    <s v="High"/>
    <n v="3524"/>
    <n v="3524"/>
    <n v="0"/>
    <n v="31"/>
    <n v="0"/>
    <n v="109244"/>
    <n v="109244"/>
    <n v="44055.340000000004"/>
    <n v="65188.659999999996"/>
    <n v="65188.659999999996"/>
    <n v="2.479699396259341"/>
    <n v="0"/>
    <n v="1634.3109999999999"/>
    <n v="37.199999999999996"/>
  </r>
  <r>
    <x v="584"/>
    <d v="2025-07-03T00:00:00"/>
    <s v="q3"/>
    <s v="2024"/>
    <s v="Oct"/>
    <d v="2024-10-14T00:00:00"/>
    <d v="2024-11-08T00:00:00"/>
    <d v="2024-11-08T00:00:00"/>
    <x v="0"/>
    <n v="25"/>
    <n v="25"/>
    <x v="3"/>
    <x v="9"/>
    <s v="Lagos"/>
    <s v="Enterprise"/>
    <x v="2"/>
    <x v="6"/>
    <x v="4"/>
    <x v="582"/>
    <n v="859.35"/>
    <s v="Medium"/>
    <n v="1825.61"/>
    <n v="1825.61"/>
    <n v="0.187"/>
    <n v="24"/>
    <n v="341.38907"/>
    <n v="35621.302319999995"/>
    <n v="35279.913249999998"/>
    <n v="20624.400000000001"/>
    <n v="14996.902319999994"/>
    <n v="14655.513249999996"/>
    <n v="1.7271436899982542"/>
    <n v="0.187"/>
    <n v="988.25249999999994"/>
    <n v="28.799999999999997"/>
  </r>
  <r>
    <x v="585"/>
    <d v="2025-07-09T00:00:00"/>
    <s v="q3"/>
    <s v="2023"/>
    <s v="Jun"/>
    <d v="2023-06-23T00:00:00"/>
    <d v="2023-07-03T00:00:00"/>
    <d v="2023-07-03T00:00:00"/>
    <x v="0"/>
    <n v="10"/>
    <n v="10"/>
    <x v="3"/>
    <x v="9"/>
    <s v="Abuja"/>
    <s v="Consumer"/>
    <x v="2"/>
    <x v="5"/>
    <x v="6"/>
    <x v="583"/>
    <n v="337.75"/>
    <s v="Low"/>
    <n v="548.89"/>
    <n v="548.89"/>
    <n v="0"/>
    <n v="13"/>
    <n v="0"/>
    <n v="7135.57"/>
    <n v="7135.57"/>
    <n v="4390.75"/>
    <n v="2744.8199999999997"/>
    <n v="2744.8199999999997"/>
    <n v="1.6251369356032568"/>
    <n v="0"/>
    <n v="388.41249999999997"/>
    <n v="15.6"/>
  </r>
  <r>
    <x v="586"/>
    <d v="2025-07-11T00:00:00"/>
    <s v="q3"/>
    <s v="2024"/>
    <s v="May"/>
    <d v="2024-05-20T00:00:00"/>
    <d v="2024-06-02T00:00:00"/>
    <d v="2024-06-02T00:00:00"/>
    <x v="0"/>
    <n v="13"/>
    <n v="13"/>
    <x v="2"/>
    <x v="2"/>
    <s v="Vancouver"/>
    <s v="Enterprise"/>
    <x v="4"/>
    <x v="8"/>
    <x v="2"/>
    <x v="584"/>
    <n v="675.43"/>
    <s v="Medium"/>
    <n v="996.36"/>
    <n v="996.36"/>
    <n v="0.182"/>
    <n v="22"/>
    <n v="181.33751999999998"/>
    <n v="17930.494560000003"/>
    <n v="17749.157040000002"/>
    <n v="14859.46"/>
    <n v="3071.0345600000037"/>
    <n v="2889.6970400000027"/>
    <n v="1.2066720163451434"/>
    <n v="0.182"/>
    <n v="776.7444999999999"/>
    <n v="26.4"/>
  </r>
  <r>
    <x v="587"/>
    <d v="2025-07-11T00:00:00"/>
    <s v="q3"/>
    <s v="2023"/>
    <s v="Apr"/>
    <d v="2023-04-19T00:00:00"/>
    <d v="2023-04-30T00:00:00"/>
    <d v="2023-04-30T00:00:00"/>
    <x v="0"/>
    <n v="11"/>
    <n v="11"/>
    <x v="0"/>
    <x v="4"/>
    <s v="Delhi"/>
    <s v="Small Business"/>
    <x v="1"/>
    <x v="3"/>
    <x v="4"/>
    <x v="585"/>
    <n v="826.55"/>
    <s v="Medium"/>
    <n v="1397.05"/>
    <n v="1397.05"/>
    <n v="0.16900000000000001"/>
    <n v="28"/>
    <n v="236.10145"/>
    <n v="32506.559399999998"/>
    <n v="32270.45795"/>
    <n v="23143.399999999998"/>
    <n v="9363.1594000000005"/>
    <n v="9127.0579500000022"/>
    <n v="1.4045714717802917"/>
    <n v="0.16900000000000001"/>
    <n v="950.53249999999991"/>
    <n v="33.6"/>
  </r>
  <r>
    <x v="588"/>
    <d v="2025-07-14T00:00:00"/>
    <s v="q3"/>
    <s v="2025"/>
    <s v="May"/>
    <d v="2025-05-29T00:00:00"/>
    <d v="2025-06-20T00:00:00"/>
    <d v="2025-06-20T00:00:00"/>
    <x v="0"/>
    <n v="22"/>
    <n v="22"/>
    <x v="1"/>
    <x v="1"/>
    <s v="Berlin"/>
    <s v="Corporate"/>
    <x v="3"/>
    <x v="3"/>
    <x v="6"/>
    <x v="586"/>
    <n v="483.47"/>
    <s v="Medium"/>
    <n v="1135.43"/>
    <n v="1135.43"/>
    <n v="0.14599999999999999"/>
    <n v="11"/>
    <n v="165.77278000000001"/>
    <n v="10666.229420000001"/>
    <n v="10500.456640000002"/>
    <n v="5318.17"/>
    <n v="5348.0594200000014"/>
    <n v="5182.2866400000021"/>
    <n v="2.005620245309947"/>
    <n v="0.14599999999999999"/>
    <n v="555.9905"/>
    <n v="13.2"/>
  </r>
  <r>
    <x v="589"/>
    <d v="2025-07-16T00:00:00"/>
    <s v="q3"/>
    <s v="2024"/>
    <s v="Oct"/>
    <d v="2024-10-25T00:00:00"/>
    <d v="2024-11-14T00:00:00"/>
    <d v="2024-11-14T00:00:00"/>
    <x v="0"/>
    <n v="20"/>
    <n v="20"/>
    <x v="3"/>
    <x v="5"/>
    <s v="Mombasa"/>
    <s v="Corporate"/>
    <x v="3"/>
    <x v="14"/>
    <x v="6"/>
    <x v="587"/>
    <n v="1396.48"/>
    <s v="High"/>
    <n v="3204.5"/>
    <n v="3204.5"/>
    <n v="0.318"/>
    <n v="14"/>
    <n v="1019.0310000000001"/>
    <n v="30596.565999999999"/>
    <n v="29577.535"/>
    <n v="19550.72"/>
    <n v="11045.845999999998"/>
    <n v="10026.814999999999"/>
    <n v="1.5649841028872593"/>
    <n v="0.2"/>
    <n v="1605.952"/>
    <n v="16.8"/>
  </r>
  <r>
    <x v="590"/>
    <d v="2025-07-17T00:00:00"/>
    <s v="q3"/>
    <s v="2024"/>
    <s v="Jan"/>
    <d v="2024-01-11T00:00:00"/>
    <d v="2024-02-02T00:00:00"/>
    <d v="2024-02-02T00:00:00"/>
    <x v="0"/>
    <n v="22"/>
    <n v="22"/>
    <x v="3"/>
    <x v="11"/>
    <s v="Durban"/>
    <s v="Consumer"/>
    <x v="2"/>
    <x v="8"/>
    <x v="4"/>
    <x v="588"/>
    <n v="1206.2"/>
    <s v="Medium"/>
    <n v="1759.79"/>
    <n v="1759.79"/>
    <n v="0"/>
    <n v="6"/>
    <n v="0"/>
    <n v="10558.74"/>
    <n v="10558.74"/>
    <n v="7237.2000000000007"/>
    <n v="3321.5399999999991"/>
    <n v="3321.5399999999991"/>
    <n v="1.4589537390150886"/>
    <n v="0"/>
    <n v="1387.1299999999999"/>
    <n v="7.1999999999999993"/>
  </r>
  <r>
    <x v="591"/>
    <d v="2025-07-19T00:00:00"/>
    <s v="q3"/>
    <s v="2024"/>
    <s v="Aug"/>
    <d v="2024-08-27T00:00:00"/>
    <d v="2024-09-19T00:00:00"/>
    <d v="2024-09-19T00:00:00"/>
    <x v="0"/>
    <n v="23"/>
    <n v="23"/>
    <x v="1"/>
    <x v="1"/>
    <s v="Berlin"/>
    <s v="Small Business"/>
    <x v="3"/>
    <x v="10"/>
    <x v="3"/>
    <x v="589"/>
    <n v="1024.01"/>
    <s v="Medium"/>
    <n v="1580.97"/>
    <n v="1580.97"/>
    <n v="3.6999999999999998E-2"/>
    <n v="27"/>
    <n v="58.495889999999996"/>
    <n v="41106.800970000004"/>
    <n v="41048.305080000006"/>
    <n v="27648.27"/>
    <n v="13458.530970000003"/>
    <n v="13400.035080000005"/>
    <n v="1.4867766037441041"/>
    <n v="3.6999999999999998E-2"/>
    <n v="1177.6115"/>
    <n v="32.4"/>
  </r>
  <r>
    <x v="592"/>
    <d v="2025-07-20T00:00:00"/>
    <s v="q3"/>
    <s v="2023"/>
    <s v="Jun"/>
    <d v="2023-06-17T00:00:00"/>
    <d v="2023-06-24T00:00:00"/>
    <d v="2023-06-24T00:00:00"/>
    <x v="0"/>
    <n v="7"/>
    <n v="7"/>
    <x v="2"/>
    <x v="10"/>
    <s v="San Francisco"/>
    <s v="Corporate"/>
    <x v="1"/>
    <x v="7"/>
    <x v="6"/>
    <x v="590"/>
    <n v="313.99"/>
    <s v="Low"/>
    <n v="454.42"/>
    <n v="454.42"/>
    <n v="0.129"/>
    <n v="9"/>
    <n v="58.620180000000005"/>
    <n v="3562.1983800000003"/>
    <n v="3503.5782000000004"/>
    <n v="2825.91"/>
    <n v="736.28838000000042"/>
    <n v="677.66820000000052"/>
    <n v="1.2605491257683368"/>
    <n v="0.129"/>
    <n v="361.08850000000001"/>
    <n v="10.799999999999999"/>
  </r>
  <r>
    <x v="593"/>
    <d v="2025-07-21T00:00:00"/>
    <s v="q3"/>
    <s v="2024"/>
    <s v="Apr"/>
    <d v="2024-04-19T00:00:00"/>
    <d v="2024-05-06T00:00:00"/>
    <d v="2024-05-06T00:00:00"/>
    <x v="0"/>
    <n v="17"/>
    <n v="17"/>
    <x v="3"/>
    <x v="9"/>
    <s v="Port Harcourt"/>
    <s v="Non-Profit"/>
    <x v="2"/>
    <x v="3"/>
    <x v="6"/>
    <x v="591"/>
    <n v="865.33"/>
    <s v="Medium"/>
    <n v="1395.64"/>
    <n v="1395.64"/>
    <n v="0.17499999999999999"/>
    <n v="13"/>
    <n v="244.23699999999999"/>
    <n v="14968.239"/>
    <n v="14724.002"/>
    <n v="11249.29"/>
    <n v="3718.9489999999987"/>
    <n v="3474.7119999999995"/>
    <n v="1.3305941086059652"/>
    <n v="0.17499999999999999"/>
    <n v="995.12950000000001"/>
    <n v="15.6"/>
  </r>
  <r>
    <x v="594"/>
    <d v="2025-07-22T00:00:00"/>
    <s v="q3"/>
    <s v="2025"/>
    <s v="Jun"/>
    <d v="2025-06-24T00:00:00"/>
    <d v="2025-07-10T00:00:00"/>
    <d v="2025-07-10T00:00:00"/>
    <x v="0"/>
    <n v="16"/>
    <n v="16"/>
    <x v="0"/>
    <x v="3"/>
    <s v="Shanghai"/>
    <s v="Enterprise"/>
    <x v="3"/>
    <x v="0"/>
    <x v="2"/>
    <x v="592"/>
    <n v="757.19"/>
    <s v="Medium"/>
    <n v="1735.41"/>
    <n v="1735.41"/>
    <n v="0.13600000000000001"/>
    <n v="8"/>
    <n v="236.01576000000003"/>
    <n v="11995.153920000001"/>
    <n v="11759.13816"/>
    <n v="6057.52"/>
    <n v="5937.6339200000002"/>
    <n v="5701.61816"/>
    <n v="1.9802087190797555"/>
    <n v="0.13600000000000001"/>
    <n v="870.76850000000002"/>
    <n v="9.6"/>
  </r>
  <r>
    <x v="595"/>
    <d v="2025-07-23T00:00:00"/>
    <s v="q3"/>
    <s v="2023"/>
    <s v="Mar"/>
    <d v="2023-03-27T00:00:00"/>
    <d v="2023-04-22T00:00:00"/>
    <d v="2023-04-22T00:00:00"/>
    <x v="0"/>
    <n v="26"/>
    <n v="26"/>
    <x v="0"/>
    <x v="4"/>
    <s v="Delhi"/>
    <s v="Non-Profit"/>
    <x v="4"/>
    <x v="5"/>
    <x v="6"/>
    <x v="593"/>
    <n v="178.53"/>
    <s v="Low"/>
    <n v="199.37"/>
    <n v="199.37"/>
    <n v="0.10100000000000001"/>
    <n v="37"/>
    <n v="20.136370000000003"/>
    <n v="6631.6443100000006"/>
    <n v="6611.5079400000004"/>
    <n v="6605.61"/>
    <n v="26.034310000000914"/>
    <n v="5.8979400000007445"/>
    <n v="1.0039412423682295"/>
    <n v="0.10100000000000001"/>
    <n v="205.30949999999999"/>
    <n v="44.4"/>
  </r>
  <r>
    <x v="596"/>
    <d v="2025-07-23T00:00:00"/>
    <s v="q3"/>
    <s v="2024"/>
    <s v="Mar"/>
    <d v="2024-03-07T00:00:00"/>
    <d v="2024-03-25T00:00:00"/>
    <d v="2024-03-25T00:00:00"/>
    <x v="0"/>
    <n v="18"/>
    <n v="18"/>
    <x v="1"/>
    <x v="1"/>
    <s v="Munich"/>
    <s v="Corporate"/>
    <x v="2"/>
    <x v="11"/>
    <x v="2"/>
    <x v="594"/>
    <n v="712.84"/>
    <s v="Medium"/>
    <n v="927.51"/>
    <n v="927.51"/>
    <n v="0.24299999999999999"/>
    <n v="27"/>
    <n v="225.38493"/>
    <n v="18957.37689"/>
    <n v="18731.991959999999"/>
    <n v="19246.68"/>
    <n v="-289.30311000000074"/>
    <n v="-514.68804000000091"/>
    <n v="0.98496867459738502"/>
    <n v="0.2"/>
    <n v="819.76599999999996"/>
    <n v="32.4"/>
  </r>
  <r>
    <x v="597"/>
    <d v="2025-07-24T00:00:00"/>
    <s v="q3"/>
    <s v="2024"/>
    <s v="Aug"/>
    <d v="2024-08-23T00:00:00"/>
    <d v="2024-08-23T00:00:00"/>
    <d v="2024-08-21T00:00:00"/>
    <x v="1"/>
    <n v="0"/>
    <n v="-2"/>
    <x v="3"/>
    <x v="11"/>
    <s v="Johannesburg"/>
    <s v="Education"/>
    <x v="1"/>
    <x v="2"/>
    <x v="2"/>
    <x v="595"/>
    <n v="1432.52"/>
    <s v="High"/>
    <n v="3036.87"/>
    <n v="3036.87"/>
    <n v="0"/>
    <n v="9"/>
    <n v="0"/>
    <n v="27331.829999999998"/>
    <n v="27331.829999999998"/>
    <n v="12892.68"/>
    <n v="14439.149999999998"/>
    <n v="14439.149999999998"/>
    <n v="2.1199494596934074"/>
    <n v="0"/>
    <n v="1647.3979999999999"/>
    <n v="10.799999999999999"/>
  </r>
  <r>
    <x v="598"/>
    <d v="2025-07-27T00:00:00"/>
    <s v="q3"/>
    <s v="2024"/>
    <s v="Apr"/>
    <d v="2024-04-18T00:00:00"/>
    <d v="2024-05-08T00:00:00"/>
    <d v="2024-05-08T00:00:00"/>
    <x v="0"/>
    <n v="20"/>
    <n v="20"/>
    <x v="1"/>
    <x v="7"/>
    <s v="London"/>
    <s v="Non-Profit"/>
    <x v="0"/>
    <x v="10"/>
    <x v="0"/>
    <x v="596"/>
    <n v="645.33000000000004"/>
    <s v="Medium"/>
    <n v="1321.85"/>
    <n v="1321.85"/>
    <n v="0"/>
    <n v="10"/>
    <n v="0"/>
    <n v="13218.5"/>
    <n v="13218.5"/>
    <n v="6453.3"/>
    <n v="6765.2"/>
    <n v="6765.2"/>
    <n v="2.0483318612182915"/>
    <n v="0"/>
    <n v="742.12950000000001"/>
    <n v="12"/>
  </r>
  <r>
    <x v="599"/>
    <d v="2025-08-01T00:00:00"/>
    <s v="q3"/>
    <s v="2023"/>
    <s v="Feb"/>
    <d v="2023-02-23T00:00:00"/>
    <d v="2023-03-25T00:00:00"/>
    <d v="2023-03-25T00:00:00"/>
    <x v="0"/>
    <n v="30"/>
    <n v="30"/>
    <x v="2"/>
    <x v="2"/>
    <s v="Montreal"/>
    <s v="Enterprise"/>
    <x v="2"/>
    <x v="10"/>
    <x v="1"/>
    <x v="597"/>
    <n v="1242.6600000000001"/>
    <s v="Medium"/>
    <n v="1794.07"/>
    <n v="1794.07"/>
    <n v="8.8999999999999996E-2"/>
    <n v="16"/>
    <n v="159.67222999999998"/>
    <n v="26150.364320000001"/>
    <n v="25990.69209"/>
    <n v="19882.560000000001"/>
    <n v="6267.8043199999993"/>
    <n v="6108.1320899999992"/>
    <n v="1.3152413129898766"/>
    <n v="8.8999999999999996E-2"/>
    <n v="1429.059"/>
    <n v="19.2"/>
  </r>
  <r>
    <x v="600"/>
    <d v="2025-08-01T00:00:00"/>
    <s v="q3"/>
    <s v="2025"/>
    <s v="Jul"/>
    <d v="2025-07-24T00:00:00"/>
    <d v="2025-08-06T00:00:00"/>
    <d v="2025-08-06T00:00:00"/>
    <x v="0"/>
    <n v="13"/>
    <n v="13"/>
    <x v="3"/>
    <x v="11"/>
    <s v="Johannesburg"/>
    <s v="Education"/>
    <x v="4"/>
    <x v="10"/>
    <x v="4"/>
    <x v="598"/>
    <n v="1463.9"/>
    <s v="High"/>
    <n v="2633.02"/>
    <n v="2633.02"/>
    <n v="8.4000000000000005E-2"/>
    <n v="4"/>
    <n v="221.17368000000002"/>
    <n v="9647.3852800000004"/>
    <n v="9426.2116000000005"/>
    <n v="5855.6"/>
    <n v="3791.7852800000001"/>
    <n v="3570.6116000000002"/>
    <n v="1.6475485483981145"/>
    <n v="8.4000000000000005E-2"/>
    <n v="1683.4849999999999"/>
    <n v="4.8"/>
  </r>
  <r>
    <x v="601"/>
    <d v="2025-08-02T00:00:00"/>
    <s v="q3"/>
    <s v="2024"/>
    <s v="Dec"/>
    <d v="2024-12-27T00:00:00"/>
    <d v="2025-01-15T00:00:00"/>
    <d v="2025-01-15T00:00:00"/>
    <x v="0"/>
    <n v="19"/>
    <n v="19"/>
    <x v="0"/>
    <x v="4"/>
    <s v="Delhi"/>
    <s v="Non-Profit"/>
    <x v="0"/>
    <x v="12"/>
    <x v="2"/>
    <x v="599"/>
    <n v="495.59"/>
    <s v="Medium"/>
    <n v="631.78"/>
    <n v="631.78"/>
    <n v="8.6999999999999994E-2"/>
    <n v="17"/>
    <n v="54.964859999999994"/>
    <n v="9805.8573800000013"/>
    <n v="9750.8925200000012"/>
    <n v="8425.0299999999988"/>
    <n v="1380.8273800000024"/>
    <n v="1325.8625200000024"/>
    <n v="1.1638958413204465"/>
    <n v="8.6999999999999994E-2"/>
    <n v="569.92849999999987"/>
    <n v="20.399999999999999"/>
  </r>
  <r>
    <x v="602"/>
    <d v="2025-08-03T00:00:00"/>
    <s v="q3"/>
    <s v="2025"/>
    <s v="Apr"/>
    <d v="2025-04-07T00:00:00"/>
    <d v="2025-04-11T00:00:00"/>
    <d v="2025-04-11T00:00:00"/>
    <x v="1"/>
    <n v="4"/>
    <n v="4"/>
    <x v="1"/>
    <x v="8"/>
    <s v="Lyon"/>
    <s v="Education"/>
    <x v="1"/>
    <x v="2"/>
    <x v="4"/>
    <x v="600"/>
    <n v="754.77"/>
    <s v="Medium"/>
    <n v="1666.18"/>
    <n v="1666.18"/>
    <n v="0.13900000000000001"/>
    <n v="14"/>
    <n v="231.59902000000002"/>
    <n v="20084.133720000002"/>
    <n v="19852.5347"/>
    <n v="10566.779999999999"/>
    <n v="9517.3537200000028"/>
    <n v="9285.7547000000013"/>
    <n v="1.9006862752891613"/>
    <n v="0.13900000000000001"/>
    <n v="867.98549999999989"/>
    <n v="16.8"/>
  </r>
  <r>
    <x v="603"/>
    <d v="2025-08-05T00:00:00"/>
    <s v="q3"/>
    <s v="2024"/>
    <s v="Jul"/>
    <d v="2024-07-19T00:00:00"/>
    <d v="2024-07-19T00:00:00"/>
    <d v="2024-07-19T00:00:00"/>
    <x v="1"/>
    <n v="0"/>
    <n v="0"/>
    <x v="3"/>
    <x v="5"/>
    <s v="Kisumu"/>
    <s v="Small Business"/>
    <x v="1"/>
    <x v="3"/>
    <x v="1"/>
    <x v="601"/>
    <n v="857.24"/>
    <s v="Medium"/>
    <n v="758.23"/>
    <n v="758.23"/>
    <n v="0.125"/>
    <n v="6"/>
    <n v="94.778750000000002"/>
    <n v="3980.7075"/>
    <n v="3885.92875"/>
    <n v="5143.4400000000005"/>
    <n v="-1162.7325000000005"/>
    <n v="-1257.5112500000005"/>
    <n v="0.77393874527553541"/>
    <n v="0.125"/>
    <n v="985.82599999999991"/>
    <n v="7.1999999999999993"/>
  </r>
  <r>
    <x v="604"/>
    <d v="2025-08-05T00:00:00"/>
    <s v="q3"/>
    <s v="2023"/>
    <s v="Apr"/>
    <d v="2023-04-14T00:00:00"/>
    <d v="2023-05-14T00:00:00"/>
    <d v="2023-05-14T00:00:00"/>
    <x v="0"/>
    <n v="30"/>
    <n v="30"/>
    <x v="3"/>
    <x v="5"/>
    <s v="Nakuru"/>
    <s v="Consumer"/>
    <x v="4"/>
    <x v="13"/>
    <x v="1"/>
    <x v="602"/>
    <n v="209.25"/>
    <s v="Low"/>
    <n v="434.8"/>
    <n v="434.8"/>
    <n v="0"/>
    <n v="9"/>
    <n v="0"/>
    <n v="3913.2000000000003"/>
    <n v="3913.2000000000003"/>
    <n v="1883.25"/>
    <n v="2029.9500000000003"/>
    <n v="2029.9500000000003"/>
    <n v="2.0778972520908008"/>
    <n v="0"/>
    <n v="240.63749999999999"/>
    <n v="10.799999999999999"/>
  </r>
  <r>
    <x v="605"/>
    <d v="2025-08-06T00:00:00"/>
    <s v="q3"/>
    <s v="2024"/>
    <s v="Nov"/>
    <d v="2024-11-30T00:00:00"/>
    <d v="2024-12-30T00:00:00"/>
    <d v="2024-12-30T00:00:00"/>
    <x v="0"/>
    <n v="30"/>
    <n v="30"/>
    <x v="1"/>
    <x v="8"/>
    <s v="Marseille"/>
    <s v="Consumer"/>
    <x v="4"/>
    <x v="9"/>
    <x v="6"/>
    <x v="603"/>
    <n v="117.64"/>
    <s v="Low"/>
    <n v="175.67"/>
    <n v="175.67"/>
    <n v="0"/>
    <n v="10"/>
    <n v="0"/>
    <n v="1756.6999999999998"/>
    <n v="1756.6999999999998"/>
    <n v="1176.4000000000001"/>
    <n v="580.29999999999973"/>
    <n v="580.29999999999973"/>
    <n v="1.4932845970758242"/>
    <n v="0"/>
    <n v="135.286"/>
    <n v="12"/>
  </r>
  <r>
    <x v="606"/>
    <d v="2025-08-07T00:00:00"/>
    <s v="q3"/>
    <s v="2023"/>
    <s v="Feb"/>
    <d v="2023-02-07T00:00:00"/>
    <d v="2023-02-12T00:00:00"/>
    <d v="2023-02-12T00:00:00"/>
    <x v="1"/>
    <n v="5"/>
    <n v="5"/>
    <x v="2"/>
    <x v="6"/>
    <s v="São Paulo"/>
    <s v="Education"/>
    <x v="2"/>
    <x v="0"/>
    <x v="2"/>
    <x v="604"/>
    <n v="948.55"/>
    <s v="Medium"/>
    <n v="2089.16"/>
    <n v="2089.16"/>
    <n v="7.0000000000000001E-3"/>
    <n v="12"/>
    <n v="14.62412"/>
    <n v="24894.430559999997"/>
    <n v="24879.806439999997"/>
    <n v="11382.599999999999"/>
    <n v="13511.830559999999"/>
    <n v="13497.206439999998"/>
    <n v="2.1870601233461597"/>
    <n v="7.0000000000000001E-3"/>
    <n v="1090.8324999999998"/>
    <n v="14.399999999999999"/>
  </r>
  <r>
    <x v="607"/>
    <d v="2025-08-07T00:00:00"/>
    <s v="q3"/>
    <s v="2024"/>
    <s v="Jun"/>
    <d v="2024-06-30T00:00:00"/>
    <d v="2024-07-14T00:00:00"/>
    <d v="2024-07-14T00:00:00"/>
    <x v="0"/>
    <n v="14"/>
    <n v="14"/>
    <x v="2"/>
    <x v="6"/>
    <s v="Brasília"/>
    <s v="Education"/>
    <x v="1"/>
    <x v="4"/>
    <x v="5"/>
    <x v="605"/>
    <n v="1491.85"/>
    <s v="High"/>
    <n v="2583.02"/>
    <n v="2583.02"/>
    <n v="0.16800000000000001"/>
    <n v="4"/>
    <n v="433.94736"/>
    <n v="8596.2905599999995"/>
    <n v="8162.3431999999993"/>
    <n v="5967.4"/>
    <n v="2628.8905599999998"/>
    <n v="2194.9431999999997"/>
    <n v="1.4405420384086871"/>
    <n v="0.16800000000000001"/>
    <n v="1715.6274999999998"/>
    <n v="4.8"/>
  </r>
  <r>
    <x v="608"/>
    <d v="2025-08-10T00:00:00"/>
    <s v="q3"/>
    <s v="2024"/>
    <s v="May"/>
    <d v="2024-05-18T00:00:00"/>
    <d v="2024-05-23T00:00:00"/>
    <d v="2024-05-23T00:00:00"/>
    <x v="1"/>
    <n v="5"/>
    <n v="5"/>
    <x v="2"/>
    <x v="10"/>
    <s v="Chicago"/>
    <s v="Enterprise"/>
    <x v="1"/>
    <x v="14"/>
    <x v="0"/>
    <x v="606"/>
    <n v="1274.5899999999999"/>
    <s v="High"/>
    <n v="2553.69"/>
    <n v="2553.69"/>
    <n v="0.01"/>
    <n v="8"/>
    <n v="25.536900000000003"/>
    <n v="20225.2248"/>
    <n v="20199.687900000001"/>
    <n v="10196.719999999999"/>
    <n v="10028.504800000001"/>
    <n v="10002.967900000001"/>
    <n v="1.9835030088106764"/>
    <n v="0.01"/>
    <n v="1465.7784999999999"/>
    <n v="9.6"/>
  </r>
  <r>
    <x v="609"/>
    <d v="2025-08-11T00:00:00"/>
    <s v="q3"/>
    <s v="2025"/>
    <s v="Jun"/>
    <d v="2025-06-14T00:00:00"/>
    <d v="2025-06-29T00:00:00"/>
    <d v="2025-06-29T00:00:00"/>
    <x v="0"/>
    <n v="15"/>
    <n v="15"/>
    <x v="3"/>
    <x v="9"/>
    <s v="Port Harcourt"/>
    <s v="Consumer"/>
    <x v="4"/>
    <x v="13"/>
    <x v="5"/>
    <x v="607"/>
    <n v="730.99"/>
    <s v="Medium"/>
    <n v="1242.8399999999999"/>
    <n v="1242.8399999999999"/>
    <n v="0.12"/>
    <n v="10"/>
    <n v="149.14079999999998"/>
    <n v="10936.992"/>
    <n v="10787.851200000001"/>
    <n v="7309.9"/>
    <n v="3627.0920000000006"/>
    <n v="3477.9512000000013"/>
    <n v="1.4961890039535426"/>
    <n v="0.12"/>
    <n v="840.63849999999991"/>
    <n v="12"/>
  </r>
  <r>
    <x v="610"/>
    <d v="2025-08-13T00:00:00"/>
    <s v="q3"/>
    <s v="2023"/>
    <s v="May"/>
    <d v="2023-05-11T00:00:00"/>
    <d v="2023-05-28T00:00:00"/>
    <d v="2023-05-28T00:00:00"/>
    <x v="0"/>
    <n v="17"/>
    <n v="17"/>
    <x v="0"/>
    <x v="3"/>
    <s v="Shenzhen"/>
    <s v="Enterprise"/>
    <x v="4"/>
    <x v="2"/>
    <x v="4"/>
    <x v="608"/>
    <n v="1331.19"/>
    <s v="High"/>
    <n v="2903.09"/>
    <n v="2903.09"/>
    <n v="0.14299999999999999"/>
    <n v="8"/>
    <n v="415.14186999999998"/>
    <n v="19903.585040000002"/>
    <n v="19488.443170000002"/>
    <n v="10649.52"/>
    <n v="9254.0650400000013"/>
    <n v="8838.9231700000018"/>
    <n v="1.868965459476108"/>
    <n v="0.14299999999999999"/>
    <n v="1530.8685"/>
    <n v="9.6"/>
  </r>
  <r>
    <x v="611"/>
    <d v="2025-08-14T00:00:00"/>
    <s v="q3"/>
    <s v="2024"/>
    <s v="Jul"/>
    <d v="2024-07-25T00:00:00"/>
    <d v="2024-07-25T00:00:00"/>
    <d v="2024-07-24T00:00:00"/>
    <x v="1"/>
    <n v="0"/>
    <n v="-1"/>
    <x v="3"/>
    <x v="5"/>
    <s v="Mombasa"/>
    <s v="Non-Profit"/>
    <x v="3"/>
    <x v="5"/>
    <x v="0"/>
    <x v="609"/>
    <n v="1494.4"/>
    <s v="High"/>
    <n v="3661.07"/>
    <n v="3661.07"/>
    <n v="7.1999999999999995E-2"/>
    <n v="7"/>
    <n v="263.59703999999999"/>
    <n v="23782.310720000001"/>
    <n v="23518.713680000001"/>
    <n v="10460.800000000001"/>
    <n v="13321.51072"/>
    <n v="13057.91368"/>
    <n v="2.2734695931477513"/>
    <n v="7.1999999999999995E-2"/>
    <n v="1718.56"/>
    <n v="8.4"/>
  </r>
  <r>
    <x v="612"/>
    <d v="2025-08-20T00:00:00"/>
    <s v="q3"/>
    <s v="2025"/>
    <s v="May"/>
    <d v="2025-05-21T00:00:00"/>
    <d v="2025-05-21T00:00:00"/>
    <d v="2025-05-19T00:00:00"/>
    <x v="1"/>
    <n v="0"/>
    <n v="-2"/>
    <x v="1"/>
    <x v="7"/>
    <s v="Birmingham"/>
    <s v="Enterprise"/>
    <x v="2"/>
    <x v="13"/>
    <x v="0"/>
    <x v="610"/>
    <n v="1015.16"/>
    <s v="High"/>
    <n v="2148.14"/>
    <n v="2148.14"/>
    <n v="3.7999999999999999E-2"/>
    <n v="19"/>
    <n v="81.629319999999993"/>
    <n v="39263.702919999996"/>
    <n v="39182.073599999996"/>
    <n v="19288.04"/>
    <n v="19975.662919999995"/>
    <n v="19894.033599999995"/>
    <n v="2.0356502226250046"/>
    <n v="3.7999999999999999E-2"/>
    <n v="1167.434"/>
    <n v="22.8"/>
  </r>
  <r>
    <x v="613"/>
    <d v="2025-08-21T00:00:00"/>
    <s v="q3"/>
    <s v="2025"/>
    <s v="Sept"/>
    <d v="2025-09-08T00:00:00"/>
    <d v="2025-09-16T00:00:00"/>
    <d v="2025-09-16T00:00:00"/>
    <x v="0"/>
    <n v="8"/>
    <n v="8"/>
    <x v="0"/>
    <x v="0"/>
    <s v="Osaka"/>
    <s v="Corporate"/>
    <x v="0"/>
    <x v="4"/>
    <x v="1"/>
    <x v="611"/>
    <n v="1225.57"/>
    <s v="High"/>
    <n v="2705.57"/>
    <n v="2705.57"/>
    <n v="0.183"/>
    <n v="16"/>
    <n v="495.11931000000004"/>
    <n v="35367.211040000002"/>
    <n v="34872.09173"/>
    <n v="19609.12"/>
    <n v="15758.091040000003"/>
    <n v="15262.971730000001"/>
    <n v="1.8036103119364868"/>
    <n v="0.183"/>
    <n v="1409.4054999999998"/>
    <n v="19.2"/>
  </r>
  <r>
    <x v="614"/>
    <d v="2025-08-21T00:00:00"/>
    <s v="q3"/>
    <s v="2025"/>
    <s v="Jul"/>
    <d v="2025-07-20T00:00:00"/>
    <d v="2025-08-05T00:00:00"/>
    <d v="2025-08-05T00:00:00"/>
    <x v="0"/>
    <n v="16"/>
    <n v="16"/>
    <x v="2"/>
    <x v="6"/>
    <s v="Brasília"/>
    <s v="Enterprise"/>
    <x v="4"/>
    <x v="12"/>
    <x v="5"/>
    <x v="612"/>
    <n v="1068.17"/>
    <s v="High"/>
    <n v="2375.37"/>
    <n v="2375.37"/>
    <n v="0.109"/>
    <n v="18"/>
    <n v="258.91532999999998"/>
    <n v="38096.18406"/>
    <n v="37837.268729999996"/>
    <n v="19227.060000000001"/>
    <n v="18869.124059999998"/>
    <n v="18610.208729999995"/>
    <n v="1.9813837404158512"/>
    <n v="0.109"/>
    <n v="1228.3955000000001"/>
    <n v="21.599999999999998"/>
  </r>
  <r>
    <x v="615"/>
    <d v="2025-08-25T00:00:00"/>
    <s v="q3"/>
    <s v="2024"/>
    <s v="Dec"/>
    <d v="2024-12-10T00:00:00"/>
    <d v="2025-01-08T00:00:00"/>
    <d v="2025-01-08T00:00:00"/>
    <x v="0"/>
    <n v="29"/>
    <n v="29"/>
    <x v="1"/>
    <x v="8"/>
    <s v="Marseille"/>
    <s v="Small Business"/>
    <x v="1"/>
    <x v="8"/>
    <x v="6"/>
    <x v="613"/>
    <n v="891.08"/>
    <s v="High"/>
    <n v="1040.0999999999999"/>
    <n v="1040.0999999999999"/>
    <n v="0.109"/>
    <n v="28"/>
    <n v="113.37089999999999"/>
    <n v="25948.414799999995"/>
    <n v="25835.043899999993"/>
    <n v="24950.240000000002"/>
    <n v="998.17479999999341"/>
    <n v="884.8038999999917"/>
    <n v="1.0400066211787939"/>
    <n v="0.109"/>
    <n v="1024.742"/>
    <n v="33.6"/>
  </r>
  <r>
    <x v="616"/>
    <d v="2025-08-28T00:00:00"/>
    <s v="q3"/>
    <s v="2025"/>
    <s v="Sept"/>
    <d v="2025-09-01T00:00:00"/>
    <d v="2025-09-30T00:00:00"/>
    <d v="2025-09-30T00:00:00"/>
    <x v="0"/>
    <n v="29"/>
    <n v="29"/>
    <x v="2"/>
    <x v="6"/>
    <s v="Brasília"/>
    <s v="Education"/>
    <x v="1"/>
    <x v="8"/>
    <x v="5"/>
    <x v="614"/>
    <n v="780.59"/>
    <s v="Medium"/>
    <n v="631.57000000000005"/>
    <n v="631.57000000000005"/>
    <n v="0"/>
    <n v="12"/>
    <n v="0"/>
    <n v="7578.84"/>
    <n v="7578.84"/>
    <n v="9367.08"/>
    <n v="-1788.2399999999998"/>
    <n v="-1788.2399999999998"/>
    <n v="0.80909312186935523"/>
    <n v="0"/>
    <n v="897.67849999999999"/>
    <n v="14.399999999999999"/>
  </r>
  <r>
    <x v="617"/>
    <d v="2025-08-28T00:00:00"/>
    <s v="q3"/>
    <s v="2023"/>
    <s v="Apr"/>
    <d v="2023-04-23T00:00:00"/>
    <d v="2023-04-23T00:00:00"/>
    <d v="2023-04-22T00:00:00"/>
    <x v="1"/>
    <n v="0"/>
    <n v="-1"/>
    <x v="3"/>
    <x v="5"/>
    <s v="Nairobi"/>
    <s v="Small Business"/>
    <x v="3"/>
    <x v="2"/>
    <x v="0"/>
    <x v="615"/>
    <n v="756.51"/>
    <s v="High"/>
    <n v="850.8"/>
    <n v="850.8"/>
    <n v="7.3999999999999996E-2"/>
    <n v="9"/>
    <n v="62.959199999999996"/>
    <n v="7090.5672000000004"/>
    <n v="7027.6080000000002"/>
    <n v="6808.59"/>
    <n v="281.97720000000027"/>
    <n v="219.01800000000003"/>
    <n v="1.0414149185073562"/>
    <n v="7.3999999999999996E-2"/>
    <n v="869.98649999999998"/>
    <n v="10.799999999999999"/>
  </r>
  <r>
    <x v="618"/>
    <d v="2025-08-30T00:00:00"/>
    <s v="q3"/>
    <s v="2025"/>
    <s v="Mar"/>
    <d v="2025-03-06T00:00:00"/>
    <d v="2025-03-31T00:00:00"/>
    <d v="2025-03-31T00:00:00"/>
    <x v="0"/>
    <n v="25"/>
    <n v="25"/>
    <x v="2"/>
    <x v="6"/>
    <s v="Brasília"/>
    <s v="Non-Profit"/>
    <x v="2"/>
    <x v="5"/>
    <x v="2"/>
    <x v="616"/>
    <n v="331.57"/>
    <s v="Low"/>
    <n v="548.4"/>
    <n v="548.4"/>
    <n v="9.4E-2"/>
    <n v="10"/>
    <n v="51.549599999999998"/>
    <n v="4968.5039999999999"/>
    <n v="4916.9543999999996"/>
    <n v="3315.7"/>
    <n v="1652.8040000000001"/>
    <n v="1601.2543999999998"/>
    <n v="1.4984781494103809"/>
    <n v="9.4E-2"/>
    <n v="381.30549999999994"/>
    <n v="12"/>
  </r>
  <r>
    <x v="619"/>
    <d v="2025-08-30T00:00:00"/>
    <s v="q3"/>
    <s v="2024"/>
    <s v="Jan"/>
    <d v="2024-01-20T00:00:00"/>
    <d v="2024-02-13T00:00:00"/>
    <d v="2024-02-13T00:00:00"/>
    <x v="0"/>
    <n v="24"/>
    <n v="24"/>
    <x v="1"/>
    <x v="8"/>
    <s v="Marseille"/>
    <s v="Corporate"/>
    <x v="1"/>
    <x v="14"/>
    <x v="6"/>
    <x v="617"/>
    <n v="643.53"/>
    <s v="High"/>
    <n v="1439.01"/>
    <n v="1439.01"/>
    <n v="0"/>
    <n v="15"/>
    <n v="0"/>
    <n v="21585.15"/>
    <n v="21585.15"/>
    <n v="9652.9499999999989"/>
    <n v="11932.200000000003"/>
    <n v="11932.200000000003"/>
    <n v="2.2361195282271229"/>
    <n v="0"/>
    <n v="740.05949999999996"/>
    <n v="18"/>
  </r>
  <r>
    <x v="620"/>
    <d v="2025-09-01T00:00:00"/>
    <s v="q3"/>
    <s v="2025"/>
    <s v="Jan"/>
    <d v="2025-01-03T00:00:00"/>
    <d v="2025-01-23T00:00:00"/>
    <d v="2025-01-23T00:00:00"/>
    <x v="0"/>
    <n v="20"/>
    <n v="20"/>
    <x v="0"/>
    <x v="0"/>
    <s v="Osaka"/>
    <s v="Corporate"/>
    <x v="0"/>
    <x v="9"/>
    <x v="1"/>
    <x v="618"/>
    <n v="908.6"/>
    <s v="Medium"/>
    <n v="691.37"/>
    <n v="691.37"/>
    <n v="0.25"/>
    <n v="20"/>
    <n v="172.8425"/>
    <n v="10370.549999999999"/>
    <n v="10197.707499999999"/>
    <n v="18172"/>
    <n v="-7801.4500000000007"/>
    <n v="-7974.2925000000014"/>
    <n v="0.5706884217477437"/>
    <n v="0.2"/>
    <n v="1044.8899999999999"/>
    <n v="24"/>
  </r>
  <r>
    <x v="621"/>
    <d v="2025-09-02T00:00:00"/>
    <s v="q3"/>
    <s v="2024"/>
    <s v="Jan"/>
    <d v="2024-01-28T00:00:00"/>
    <d v="2024-02-09T00:00:00"/>
    <d v="2024-02-09T00:00:00"/>
    <x v="0"/>
    <n v="12"/>
    <n v="12"/>
    <x v="1"/>
    <x v="1"/>
    <s v="Berlin"/>
    <s v="Corporate"/>
    <x v="2"/>
    <x v="12"/>
    <x v="5"/>
    <x v="619"/>
    <n v="644.16999999999996"/>
    <s v="Medium"/>
    <n v="700.12"/>
    <n v="700.12"/>
    <n v="6.0000000000000001E-3"/>
    <n v="23"/>
    <n v="4.2007200000000005"/>
    <n v="16006.14344"/>
    <n v="16001.942719999999"/>
    <n v="14815.91"/>
    <n v="1190.23344"/>
    <n v="1186.0327199999992"/>
    <n v="1.0803348184485462"/>
    <n v="6.0000000000000001E-3"/>
    <n v="740.79549999999995"/>
    <n v="27.599999999999998"/>
  </r>
  <r>
    <x v="622"/>
    <d v="2025-09-08T00:00:00"/>
    <s v="q3"/>
    <s v="2024"/>
    <s v="May"/>
    <d v="2024-05-04T00:00:00"/>
    <d v="2024-05-29T00:00:00"/>
    <d v="2024-05-29T00:00:00"/>
    <x v="0"/>
    <n v="25"/>
    <n v="25"/>
    <x v="3"/>
    <x v="9"/>
    <s v="Abuja"/>
    <s v="Non-Profit"/>
    <x v="4"/>
    <x v="6"/>
    <x v="3"/>
    <x v="620"/>
    <n v="1295.3399999999999"/>
    <s v="High"/>
    <n v="2530.81"/>
    <n v="2530.81"/>
    <n v="3.1E-2"/>
    <n v="6"/>
    <n v="78.455110000000005"/>
    <n v="14714.12934"/>
    <n v="14635.674229999999"/>
    <n v="7772.0399999999991"/>
    <n v="6942.0893400000004"/>
    <n v="6863.6342299999997"/>
    <n v="1.8932132799110659"/>
    <n v="3.1E-2"/>
    <n v="1489.6409999999998"/>
    <n v="7.1999999999999993"/>
  </r>
  <r>
    <x v="623"/>
    <d v="2025-09-08T00:00:00"/>
    <s v="q3"/>
    <s v="2025"/>
    <s v="May"/>
    <d v="2025-05-21T00:00:00"/>
    <d v="2025-06-09T00:00:00"/>
    <d v="2025-06-09T00:00:00"/>
    <x v="0"/>
    <n v="19"/>
    <n v="19"/>
    <x v="2"/>
    <x v="6"/>
    <s v="São Paulo"/>
    <s v="Non-Profit"/>
    <x v="2"/>
    <x v="3"/>
    <x v="2"/>
    <x v="621"/>
    <n v="1331.38"/>
    <s v="High"/>
    <n v="2309.56"/>
    <n v="2309.56"/>
    <n v="0.14899999999999999"/>
    <n v="31"/>
    <n v="344.12443999999999"/>
    <n v="60928.502359999999"/>
    <n v="60584.377919999999"/>
    <n v="41272.780000000006"/>
    <n v="19655.722359999992"/>
    <n v="19311.597919999993"/>
    <n v="1.4762393606633717"/>
    <n v="0.14899999999999999"/>
    <n v="1531.087"/>
    <n v="37.199999999999996"/>
  </r>
  <r>
    <x v="624"/>
    <d v="2025-09-10T00:00:00"/>
    <s v="q3"/>
    <s v="2024"/>
    <s v="Dec"/>
    <d v="2024-12-27T00:00:00"/>
    <d v="2025-01-14T00:00:00"/>
    <d v="2025-01-14T00:00:00"/>
    <x v="0"/>
    <n v="18"/>
    <n v="18"/>
    <x v="0"/>
    <x v="4"/>
    <s v="Bengaluru"/>
    <s v="Small Business"/>
    <x v="4"/>
    <x v="2"/>
    <x v="3"/>
    <x v="622"/>
    <n v="586.07000000000005"/>
    <s v="High"/>
    <n v="845.97"/>
    <n v="845.97"/>
    <n v="0.14699999999999999"/>
    <n v="4"/>
    <n v="124.35759"/>
    <n v="2886.4496399999998"/>
    <n v="2762.0920499999997"/>
    <n v="2344.2800000000002"/>
    <n v="542.16963999999962"/>
    <n v="417.81204999999954"/>
    <n v="1.2312734144385482"/>
    <n v="0.14699999999999999"/>
    <n v="673.98050000000001"/>
    <n v="4.8"/>
  </r>
  <r>
    <x v="625"/>
    <d v="2025-09-10T00:00:00"/>
    <s v="q3"/>
    <s v="2023"/>
    <s v="Jan"/>
    <d v="2023-01-15T00:00:00"/>
    <d v="2023-01-15T00:00:00"/>
    <d v="2023-01-13T00:00:00"/>
    <x v="1"/>
    <n v="0"/>
    <n v="-2"/>
    <x v="3"/>
    <x v="9"/>
    <s v="Abuja"/>
    <s v="Education"/>
    <x v="2"/>
    <x v="6"/>
    <x v="6"/>
    <x v="623"/>
    <n v="28.38"/>
    <s v="Low"/>
    <n v="47.22"/>
    <n v="47.22"/>
    <n v="0.19400000000000001"/>
    <n v="18"/>
    <n v="9.1606799999999993"/>
    <n v="685.06776000000002"/>
    <n v="675.90708000000006"/>
    <n v="510.84"/>
    <n v="174.22776000000005"/>
    <n v="165.06708000000009"/>
    <n v="1.3410613107822411"/>
    <n v="0.19400000000000001"/>
    <n v="32.636999999999993"/>
    <n v="21.599999999999998"/>
  </r>
  <r>
    <x v="626"/>
    <d v="2025-09-11T00:00:00"/>
    <s v="q3"/>
    <s v="2023"/>
    <s v="Jan"/>
    <d v="2023-01-02T00:00:00"/>
    <d v="2023-01-05T00:00:00"/>
    <d v="2023-01-05T00:00:00"/>
    <x v="1"/>
    <n v="3"/>
    <n v="3"/>
    <x v="2"/>
    <x v="2"/>
    <s v="Toronto"/>
    <s v="Corporate"/>
    <x v="0"/>
    <x v="11"/>
    <x v="0"/>
    <x v="624"/>
    <n v="315.87"/>
    <s v="Medium"/>
    <n v="591.67999999999995"/>
    <n v="591.67999999999995"/>
    <n v="0"/>
    <n v="7"/>
    <n v="0"/>
    <n v="4141.7599999999993"/>
    <n v="4141.7599999999993"/>
    <n v="2211.09"/>
    <n v="1930.6699999999992"/>
    <n v="1930.6699999999992"/>
    <n v="1.873175673536581"/>
    <n v="0"/>
    <n v="363.25049999999999"/>
    <n v="8.4"/>
  </r>
  <r>
    <x v="627"/>
    <d v="2025-09-12T00:00:00"/>
    <s v="q3"/>
    <s v="2023"/>
    <s v="Dec"/>
    <d v="2023-12-06T00:00:00"/>
    <d v="2023-12-31T00:00:00"/>
    <d v="2023-12-31T00:00:00"/>
    <x v="0"/>
    <n v="25"/>
    <n v="25"/>
    <x v="0"/>
    <x v="0"/>
    <s v="Osaka"/>
    <s v="Consumer"/>
    <x v="1"/>
    <x v="1"/>
    <x v="6"/>
    <x v="625"/>
    <n v="663.03"/>
    <s v="High"/>
    <n v="813.51"/>
    <n v="813.51"/>
    <n v="0.10199999999999999"/>
    <n v="15"/>
    <n v="82.978020000000001"/>
    <n v="10957.9797"/>
    <n v="10875.001679999999"/>
    <n v="9945.4499999999989"/>
    <n v="1012.529700000001"/>
    <n v="929.55168000000049"/>
    <n v="1.101808334464504"/>
    <n v="0.10199999999999999"/>
    <n v="762.48449999999991"/>
    <n v="18"/>
  </r>
  <r>
    <x v="628"/>
    <d v="2025-09-14T00:00:00"/>
    <s v="q3"/>
    <s v="2023"/>
    <s v="Feb"/>
    <d v="2023-02-28T00:00:00"/>
    <d v="2023-03-25T00:00:00"/>
    <d v="2023-03-25T00:00:00"/>
    <x v="0"/>
    <n v="25"/>
    <n v="25"/>
    <x v="3"/>
    <x v="5"/>
    <s v="Nairobi"/>
    <s v="Corporate"/>
    <x v="1"/>
    <x v="7"/>
    <x v="4"/>
    <x v="626"/>
    <n v="1460.76"/>
    <s v="Low"/>
    <n v="30.66"/>
    <n v="-30.66"/>
    <n v="0.13100000000000001"/>
    <n v="12"/>
    <n v="4.0164600000000004"/>
    <n v="319.72248000000002"/>
    <n v="315.70602000000002"/>
    <n v="17529.12"/>
    <n v="-17209.397519999999"/>
    <n v="-17213.413979999998"/>
    <n v="1.8239505462909721E-2"/>
    <n v="0.13100000000000001"/>
    <n v="1679.8739999999998"/>
    <n v="14.399999999999999"/>
  </r>
  <r>
    <x v="629"/>
    <d v="2025-09-14T00:00:00"/>
    <s v="q3"/>
    <s v="2025"/>
    <s v="Mar"/>
    <d v="2025-03-29T00:00:00"/>
    <d v="2025-04-02T00:00:00"/>
    <d v="2025-04-02T00:00:00"/>
    <x v="1"/>
    <n v="4"/>
    <n v="4"/>
    <x v="3"/>
    <x v="9"/>
    <s v="Lagos"/>
    <s v="Non-Profit"/>
    <x v="4"/>
    <x v="12"/>
    <x v="1"/>
    <x v="627"/>
    <n v="259.93"/>
    <s v="Low"/>
    <n v="255.94"/>
    <n v="255.94"/>
    <n v="7.1999999999999995E-2"/>
    <n v="22"/>
    <n v="18.427679999999999"/>
    <n v="5225.2710400000005"/>
    <n v="5206.8433600000008"/>
    <n v="5718.46"/>
    <n v="-493.1889599999995"/>
    <n v="-511.61663999999928"/>
    <n v="0.91375493402069796"/>
    <n v="7.1999999999999995E-2"/>
    <n v="298.91949999999997"/>
    <n v="26.4"/>
  </r>
  <r>
    <x v="630"/>
    <d v="2025-09-15T00:00:00"/>
    <s v="q3"/>
    <s v="2024"/>
    <s v="Mar"/>
    <d v="2024-03-11T00:00:00"/>
    <d v="2024-04-06T00:00:00"/>
    <d v="2024-04-06T00:00:00"/>
    <x v="0"/>
    <n v="26"/>
    <n v="26"/>
    <x v="3"/>
    <x v="5"/>
    <s v="Kisumu"/>
    <s v="Corporate"/>
    <x v="1"/>
    <x v="4"/>
    <x v="2"/>
    <x v="628"/>
    <n v="279.24"/>
    <s v="Low"/>
    <n v="608.9"/>
    <n v="608.9"/>
    <n v="0.112"/>
    <n v="9"/>
    <n v="68.196799999999996"/>
    <n v="4866.3287999999993"/>
    <n v="4798.1319999999996"/>
    <n v="2513.16"/>
    <n v="2353.1687999999995"/>
    <n v="2284.9719999999998"/>
    <n v="2.0679896826780979"/>
    <n v="0.112"/>
    <n v="321.12599999999998"/>
    <n v="10.799999999999999"/>
  </r>
  <r>
    <x v="631"/>
    <d v="2025-09-15T00:00:00"/>
    <s v="q3"/>
    <s v="2024"/>
    <s v="Oct"/>
    <d v="2024-10-23T00:00:00"/>
    <d v="2024-10-23T00:00:00"/>
    <d v="2024-10-22T00:00:00"/>
    <x v="1"/>
    <n v="0"/>
    <n v="-1"/>
    <x v="3"/>
    <x v="9"/>
    <s v="Port Harcourt"/>
    <s v="Education"/>
    <x v="2"/>
    <x v="5"/>
    <x v="6"/>
    <x v="629"/>
    <n v="1084.3900000000001"/>
    <s v="Low"/>
    <n v="759.33"/>
    <n v="759.33"/>
    <n v="0.23699999999999999"/>
    <n v="31"/>
    <n v="179.96120999999999"/>
    <n v="17960.432489999999"/>
    <n v="17780.471279999998"/>
    <n v="33616.090000000004"/>
    <n v="-15655.657510000005"/>
    <n v="-15835.618720000006"/>
    <n v="0.5342808306974427"/>
    <n v="0.2"/>
    <n v="1247.0485000000001"/>
    <n v="37.19999999999999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39277.83032000001"/>
  </r>
  <r>
    <x v="1"/>
    <n v="109244"/>
  </r>
  <r>
    <x v="2"/>
    <n v="102122.94203999999"/>
  </r>
  <r>
    <x v="3"/>
    <n v="92715.25"/>
  </r>
  <r>
    <x v="4"/>
    <n v="87404.929919999995"/>
  </r>
  <r>
    <x v="5"/>
    <n v="85637.740319999997"/>
  </r>
  <r>
    <x v="6"/>
    <n v="84136.119600000005"/>
  </r>
  <r>
    <x v="7"/>
    <n v="82514.711519999997"/>
  </r>
  <r>
    <x v="8"/>
    <n v="82141.339799999987"/>
  </r>
  <r>
    <x v="9"/>
    <n v="79548.755999999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99E68B-92C9-46B0-9BB4-1D4D78DEA9B8}"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41" firstHeaderRow="1" firstDataRow="1" firstDataCol="1"/>
  <pivotFields count="35">
    <pivotField showAll="0"/>
    <pivotField numFmtId="17" showAll="0"/>
    <pivotField showAll="0"/>
    <pivotField showAll="0"/>
    <pivotField showAll="0"/>
    <pivotField numFmtId="14" showAll="0"/>
    <pivotField numFmtId="14" showAll="0"/>
    <pivotField numFmtId="14" showAll="0"/>
    <pivotField showAll="0"/>
    <pivotField numFmtId="1" showAll="0"/>
    <pivotField numFmtId="1" showAll="0"/>
    <pivotField showAll="0">
      <items count="5">
        <item x="3"/>
        <item x="2"/>
        <item x="0"/>
        <item x="1"/>
        <item t="default"/>
      </items>
    </pivotField>
    <pivotField showAll="0">
      <items count="13">
        <item x="6"/>
        <item x="2"/>
        <item x="3"/>
        <item x="8"/>
        <item x="1"/>
        <item x="4"/>
        <item x="0"/>
        <item x="5"/>
        <item x="9"/>
        <item x="11"/>
        <item x="7"/>
        <item x="10"/>
        <item t="default"/>
      </items>
    </pivotField>
    <pivotField showAll="0"/>
    <pivotField showAll="0"/>
    <pivotField showAll="0"/>
    <pivotField showAll="0">
      <items count="17">
        <item x="3"/>
        <item x="11"/>
        <item x="4"/>
        <item x="10"/>
        <item x="2"/>
        <item x="9"/>
        <item x="12"/>
        <item x="14"/>
        <item x="15"/>
        <item x="7"/>
        <item x="5"/>
        <item x="8"/>
        <item x="1"/>
        <item x="13"/>
        <item x="0"/>
        <item x="6"/>
        <item t="default"/>
      </items>
    </pivotField>
    <pivotField axis="axisRow" showAll="0">
      <items count="8">
        <item x="5"/>
        <item x="2"/>
        <item x="0"/>
        <item x="3"/>
        <item x="4"/>
        <item x="1"/>
        <item x="6"/>
        <item t="default"/>
      </items>
    </pivotField>
    <pivotField axis="axisRow" showAll="0" sortType="descending">
      <items count="631">
        <item x="491"/>
        <item x="9"/>
        <item x="297"/>
        <item x="214"/>
        <item x="289"/>
        <item x="238"/>
        <item x="189"/>
        <item x="337"/>
        <item x="140"/>
        <item x="42"/>
        <item x="424"/>
        <item x="614"/>
        <item x="154"/>
        <item x="571"/>
        <item x="368"/>
        <item x="569"/>
        <item x="305"/>
        <item x="528"/>
        <item x="457"/>
        <item x="557"/>
        <item x="133"/>
        <item x="215"/>
        <item x="318"/>
        <item x="311"/>
        <item x="141"/>
        <item x="298"/>
        <item x="275"/>
        <item x="116"/>
        <item x="445"/>
        <item x="85"/>
        <item x="409"/>
        <item x="371"/>
        <item x="180"/>
        <item x="109"/>
        <item x="55"/>
        <item x="360"/>
        <item x="607"/>
        <item x="473"/>
        <item x="498"/>
        <item x="476"/>
        <item x="339"/>
        <item x="553"/>
        <item x="516"/>
        <item x="60"/>
        <item x="443"/>
        <item x="11"/>
        <item x="41"/>
        <item x="403"/>
        <item x="76"/>
        <item x="78"/>
        <item x="533"/>
        <item x="170"/>
        <item x="416"/>
        <item x="279"/>
        <item x="331"/>
        <item x="572"/>
        <item x="343"/>
        <item x="580"/>
        <item x="483"/>
        <item x="193"/>
        <item x="284"/>
        <item x="450"/>
        <item x="273"/>
        <item x="486"/>
        <item x="137"/>
        <item x="74"/>
        <item x="166"/>
        <item x="23"/>
        <item x="270"/>
        <item x="37"/>
        <item x="619"/>
        <item x="352"/>
        <item x="612"/>
        <item x="292"/>
        <item x="87"/>
        <item x="338"/>
        <item x="175"/>
        <item x="605"/>
        <item x="421"/>
        <item x="535"/>
        <item x="563"/>
        <item x="554"/>
        <item x="75"/>
        <item x="92"/>
        <item x="323"/>
        <item x="448"/>
        <item x="222"/>
        <item x="520"/>
        <item x="552"/>
        <item x="461"/>
        <item x="117"/>
        <item x="159"/>
        <item x="49"/>
        <item x="22"/>
        <item x="5"/>
        <item x="595"/>
        <item x="459"/>
        <item x="2"/>
        <item x="227"/>
        <item x="504"/>
        <item x="239"/>
        <item x="506"/>
        <item x="146"/>
        <item x="107"/>
        <item x="253"/>
        <item x="604"/>
        <item x="543"/>
        <item x="547"/>
        <item x="306"/>
        <item x="118"/>
        <item x="263"/>
        <item x="172"/>
        <item x="616"/>
        <item x="494"/>
        <item x="621"/>
        <item x="336"/>
        <item x="472"/>
        <item x="165"/>
        <item x="420"/>
        <item x="315"/>
        <item x="164"/>
        <item x="544"/>
        <item x="469"/>
        <item x="370"/>
        <item x="282"/>
        <item x="375"/>
        <item x="57"/>
        <item x="410"/>
        <item x="13"/>
        <item x="35"/>
        <item x="303"/>
        <item x="555"/>
        <item x="458"/>
        <item x="40"/>
        <item x="139"/>
        <item x="113"/>
        <item x="167"/>
        <item x="251"/>
        <item x="111"/>
        <item x="61"/>
        <item x="584"/>
        <item x="502"/>
        <item x="505"/>
        <item x="521"/>
        <item x="65"/>
        <item x="126"/>
        <item x="171"/>
        <item x="178"/>
        <item x="232"/>
        <item x="599"/>
        <item x="400"/>
        <item x="568"/>
        <item x="265"/>
        <item x="408"/>
        <item x="423"/>
        <item x="560"/>
        <item x="380"/>
        <item x="594"/>
        <item x="570"/>
        <item x="525"/>
        <item x="119"/>
        <item x="530"/>
        <item x="545"/>
        <item x="396"/>
        <item x="628"/>
        <item x="592"/>
        <item x="237"/>
        <item x="194"/>
        <item x="229"/>
        <item x="341"/>
        <item x="152"/>
        <item x="391"/>
        <item x="44"/>
        <item x="453"/>
        <item x="330"/>
        <item x="363"/>
        <item x="70"/>
        <item x="307"/>
        <item x="155"/>
        <item x="153"/>
        <item x="98"/>
        <item x="464"/>
        <item x="485"/>
        <item x="335"/>
        <item x="615"/>
        <item x="103"/>
        <item x="185"/>
        <item x="47"/>
        <item x="90"/>
        <item x="281"/>
        <item x="511"/>
        <item x="351"/>
        <item x="385"/>
        <item x="247"/>
        <item x="393"/>
        <item x="258"/>
        <item x="0"/>
        <item x="150"/>
        <item x="484"/>
        <item x="610"/>
        <item x="565"/>
        <item x="366"/>
        <item x="123"/>
        <item x="59"/>
        <item x="285"/>
        <item x="532"/>
        <item x="573"/>
        <item x="267"/>
        <item x="114"/>
        <item x="48"/>
        <item x="558"/>
        <item x="319"/>
        <item x="327"/>
        <item x="88"/>
        <item x="387"/>
        <item x="174"/>
        <item x="26"/>
        <item x="606"/>
        <item x="374"/>
        <item x="122"/>
        <item x="526"/>
        <item x="440"/>
        <item x="67"/>
        <item x="94"/>
        <item x="378"/>
        <item x="479"/>
        <item x="108"/>
        <item x="36"/>
        <item x="262"/>
        <item x="576"/>
        <item x="220"/>
        <item x="355"/>
        <item x="460"/>
        <item x="527"/>
        <item x="242"/>
        <item x="96"/>
        <item x="62"/>
        <item x="205"/>
        <item x="577"/>
        <item x="438"/>
        <item x="223"/>
        <item x="512"/>
        <item x="235"/>
        <item x="206"/>
        <item x="559"/>
        <item x="624"/>
        <item x="28"/>
        <item x="198"/>
        <item x="209"/>
        <item x="347"/>
        <item x="301"/>
        <item x="244"/>
        <item x="519"/>
        <item x="406"/>
        <item x="499"/>
        <item x="609"/>
        <item x="228"/>
        <item x="348"/>
        <item x="596"/>
        <item x="291"/>
        <item x="63"/>
        <item x="316"/>
        <item x="358"/>
        <item x="39"/>
        <item x="415"/>
        <item x="444"/>
        <item x="426"/>
        <item x="534"/>
        <item x="226"/>
        <item x="463"/>
        <item x="490"/>
        <item x="561"/>
        <item x="158"/>
        <item x="121"/>
        <item x="413"/>
        <item x="515"/>
        <item x="383"/>
        <item x="32"/>
        <item x="541"/>
        <item x="302"/>
        <item x="381"/>
        <item x="495"/>
        <item x="357"/>
        <item x="204"/>
        <item x="548"/>
        <item x="233"/>
        <item x="510"/>
        <item x="4"/>
        <item x="212"/>
        <item x="14"/>
        <item x="439"/>
        <item x="278"/>
        <item x="80"/>
        <item x="332"/>
        <item x="578"/>
        <item x="379"/>
        <item x="260"/>
        <item x="200"/>
        <item x="132"/>
        <item x="575"/>
        <item x="425"/>
        <item x="173"/>
        <item x="501"/>
        <item x="567"/>
        <item x="397"/>
        <item x="451"/>
        <item x="325"/>
        <item x="183"/>
        <item x="349"/>
        <item x="333"/>
        <item x="446"/>
        <item x="268"/>
        <item x="241"/>
        <item x="68"/>
        <item x="56"/>
        <item x="110"/>
        <item x="83"/>
        <item x="320"/>
        <item x="435"/>
        <item x="465"/>
        <item x="564"/>
        <item x="177"/>
        <item x="620"/>
        <item x="455"/>
        <item x="73"/>
        <item x="184"/>
        <item x="50"/>
        <item x="441"/>
        <item x="462"/>
        <item x="246"/>
        <item x="372"/>
        <item x="419"/>
        <item x="442"/>
        <item x="551"/>
        <item x="19"/>
        <item x="84"/>
        <item x="622"/>
        <item x="359"/>
        <item x="91"/>
        <item x="199"/>
        <item x="447"/>
        <item x="135"/>
        <item x="376"/>
        <item x="542"/>
        <item x="513"/>
        <item x="99"/>
        <item x="467"/>
        <item x="131"/>
        <item x="314"/>
        <item x="234"/>
        <item x="364"/>
        <item x="470"/>
        <item x="589"/>
        <item x="134"/>
        <item x="321"/>
        <item x="136"/>
        <item x="38"/>
        <item x="248"/>
        <item x="588"/>
        <item x="407"/>
        <item x="404"/>
        <item x="328"/>
        <item x="531"/>
        <item x="290"/>
        <item x="556"/>
        <item x="151"/>
        <item x="540"/>
        <item x="585"/>
        <item x="581"/>
        <item x="488"/>
        <item x="373"/>
        <item x="6"/>
        <item x="192"/>
        <item x="66"/>
        <item x="382"/>
        <item x="147"/>
        <item x="52"/>
        <item x="517"/>
        <item x="608"/>
        <item x="231"/>
        <item x="432"/>
        <item x="254"/>
        <item x="54"/>
        <item x="124"/>
        <item x="324"/>
        <item x="53"/>
        <item x="245"/>
        <item x="272"/>
        <item x="313"/>
        <item x="500"/>
        <item x="112"/>
        <item x="518"/>
        <item x="79"/>
        <item x="309"/>
        <item x="8"/>
        <item x="7"/>
        <item x="549"/>
        <item x="308"/>
        <item x="86"/>
        <item x="582"/>
        <item x="168"/>
        <item x="17"/>
        <item x="250"/>
        <item x="354"/>
        <item x="436"/>
        <item x="18"/>
        <item x="163"/>
        <item x="427"/>
        <item x="30"/>
        <item x="127"/>
        <item x="509"/>
        <item x="522"/>
        <item x="95"/>
        <item x="217"/>
        <item x="546"/>
        <item x="81"/>
        <item x="414"/>
        <item x="252"/>
        <item x="474"/>
        <item x="598"/>
        <item x="197"/>
        <item x="129"/>
        <item x="350"/>
        <item x="508"/>
        <item x="10"/>
        <item x="475"/>
        <item x="89"/>
        <item x="15"/>
        <item x="277"/>
        <item x="299"/>
        <item x="369"/>
        <item x="64"/>
        <item x="101"/>
        <item x="286"/>
        <item x="626"/>
        <item x="600"/>
        <item x="195"/>
        <item x="342"/>
        <item x="574"/>
        <item x="211"/>
        <item x="611"/>
        <item x="346"/>
        <item x="283"/>
        <item x="418"/>
        <item x="287"/>
        <item x="602"/>
        <item x="69"/>
        <item x="120"/>
        <item x="428"/>
        <item x="259"/>
        <item x="304"/>
        <item x="523"/>
        <item x="181"/>
        <item x="392"/>
        <item x="148"/>
        <item x="399"/>
        <item x="208"/>
        <item x="497"/>
        <item x="100"/>
        <item x="362"/>
        <item x="203"/>
        <item x="430"/>
        <item x="236"/>
        <item x="538"/>
        <item x="390"/>
        <item x="344"/>
        <item x="367"/>
        <item x="296"/>
        <item x="219"/>
        <item x="191"/>
        <item x="503"/>
        <item x="58"/>
        <item x="627"/>
        <item x="45"/>
        <item x="480"/>
        <item x="562"/>
        <item x="3"/>
        <item x="384"/>
        <item x="597"/>
        <item x="255"/>
        <item x="433"/>
        <item x="326"/>
        <item x="46"/>
        <item x="269"/>
        <item x="468"/>
        <item x="179"/>
        <item x="202"/>
        <item x="224"/>
        <item x="145"/>
        <item x="77"/>
        <item x="312"/>
        <item x="300"/>
        <item x="144"/>
        <item x="176"/>
        <item x="345"/>
        <item x="353"/>
        <item x="601"/>
        <item x="264"/>
        <item x="536"/>
        <item x="618"/>
        <item x="386"/>
        <item x="405"/>
        <item x="24"/>
        <item x="449"/>
        <item x="51"/>
        <item x="294"/>
        <item x="138"/>
        <item x="507"/>
        <item x="256"/>
        <item x="493"/>
        <item x="489"/>
        <item x="97"/>
        <item x="566"/>
        <item x="529"/>
        <item x="210"/>
        <item x="218"/>
        <item x="125"/>
        <item x="394"/>
        <item x="196"/>
        <item x="524"/>
        <item x="130"/>
        <item x="1"/>
        <item x="471"/>
        <item x="310"/>
        <item x="157"/>
        <item x="43"/>
        <item x="434"/>
        <item x="128"/>
        <item x="295"/>
        <item x="398"/>
        <item x="240"/>
        <item x="156"/>
        <item x="365"/>
        <item x="142"/>
        <item x="579"/>
        <item x="104"/>
        <item x="93"/>
        <item x="221"/>
        <item x="115"/>
        <item x="106"/>
        <item x="190"/>
        <item x="402"/>
        <item x="317"/>
        <item x="182"/>
        <item x="72"/>
        <item x="201"/>
        <item x="583"/>
        <item x="105"/>
        <item x="411"/>
        <item x="377"/>
        <item x="322"/>
        <item x="417"/>
        <item x="587"/>
        <item x="161"/>
        <item x="266"/>
        <item x="261"/>
        <item x="456"/>
        <item x="149"/>
        <item x="466"/>
        <item x="603"/>
        <item x="482"/>
        <item x="487"/>
        <item x="593"/>
        <item x="102"/>
        <item x="34"/>
        <item x="496"/>
        <item x="187"/>
        <item x="288"/>
        <item x="20"/>
        <item x="492"/>
        <item x="437"/>
        <item x="389"/>
        <item x="27"/>
        <item x="454"/>
        <item x="16"/>
        <item x="293"/>
        <item x="388"/>
        <item x="25"/>
        <item x="230"/>
        <item x="412"/>
        <item x="12"/>
        <item x="143"/>
        <item x="213"/>
        <item x="249"/>
        <item x="422"/>
        <item x="31"/>
        <item x="481"/>
        <item x="623"/>
        <item x="207"/>
        <item x="514"/>
        <item x="539"/>
        <item x="329"/>
        <item x="590"/>
        <item x="71"/>
        <item x="271"/>
        <item x="361"/>
        <item x="613"/>
        <item x="169"/>
        <item x="431"/>
        <item x="401"/>
        <item x="160"/>
        <item x="477"/>
        <item x="591"/>
        <item x="280"/>
        <item x="395"/>
        <item x="334"/>
        <item x="186"/>
        <item x="625"/>
        <item x="452"/>
        <item x="478"/>
        <item x="617"/>
        <item x="429"/>
        <item x="257"/>
        <item x="356"/>
        <item x="340"/>
        <item x="243"/>
        <item x="537"/>
        <item x="21"/>
        <item x="629"/>
        <item x="225"/>
        <item x="162"/>
        <item x="276"/>
        <item x="188"/>
        <item x="82"/>
        <item x="550"/>
        <item x="586"/>
        <item x="29"/>
        <item x="33"/>
        <item x="274"/>
        <item x="216"/>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numFmtId="2" showAll="0"/>
    <pivotField numFmtId="10" showAll="0"/>
    <pivotField numFmtId="1" showAll="0"/>
    <pivotField numFmtId="2" showAll="0"/>
    <pivotField dataField="1" numFmtId="2" showAll="0"/>
    <pivotField numFmtId="2" showAll="0"/>
    <pivotField numFmtId="2" showAll="0"/>
    <pivotField numFmtId="2" showAll="0"/>
    <pivotField numFmtId="2" showAll="0"/>
    <pivotField numFmtId="9" showAll="0"/>
    <pivotField numFmtId="10" showAll="0"/>
    <pivotField showAll="0"/>
    <pivotField showAll="0"/>
  </pivotFields>
  <rowFields count="2">
    <field x="17"/>
    <field x="18"/>
  </rowFields>
  <rowItems count="638">
    <i>
      <x/>
    </i>
    <i r="1">
      <x v="60"/>
    </i>
    <i r="1">
      <x v="23"/>
    </i>
    <i r="1">
      <x v="82"/>
    </i>
    <i r="1">
      <x v="84"/>
    </i>
    <i r="1">
      <x v="72"/>
    </i>
    <i r="1">
      <x v="41"/>
    </i>
    <i r="1">
      <x v="68"/>
    </i>
    <i r="1">
      <x v="50"/>
    </i>
    <i r="1">
      <x v="81"/>
    </i>
    <i r="1">
      <x v="63"/>
    </i>
    <i r="1">
      <x v="6"/>
    </i>
    <i r="1">
      <x v="10"/>
    </i>
    <i r="1">
      <x v="56"/>
    </i>
    <i r="1">
      <x v="44"/>
    </i>
    <i r="1">
      <x v="53"/>
    </i>
    <i r="1">
      <x v="59"/>
    </i>
    <i r="1">
      <x v="86"/>
    </i>
    <i r="1">
      <x v="75"/>
    </i>
    <i r="1">
      <x v="26"/>
    </i>
    <i r="1">
      <x v="12"/>
    </i>
    <i r="1">
      <x v="33"/>
    </i>
    <i r="1">
      <x v="83"/>
    </i>
    <i r="1">
      <x v="49"/>
    </i>
    <i r="1">
      <x v="79"/>
    </i>
    <i r="1">
      <x v="32"/>
    </i>
    <i r="1">
      <x v="40"/>
    </i>
    <i r="1">
      <x v="14"/>
    </i>
    <i r="1">
      <x v="78"/>
    </i>
    <i r="1">
      <x v="4"/>
    </i>
    <i r="1">
      <x v="80"/>
    </i>
    <i r="1">
      <x v="70"/>
    </i>
    <i r="1">
      <x v="48"/>
    </i>
    <i r="1">
      <x v="29"/>
    </i>
    <i r="1">
      <x v="57"/>
    </i>
    <i r="1">
      <x v="76"/>
    </i>
    <i r="1">
      <x v="18"/>
    </i>
    <i r="1">
      <x v="5"/>
    </i>
    <i r="1">
      <x v="67"/>
    </i>
    <i r="1">
      <x v="58"/>
    </i>
    <i r="1">
      <x v="65"/>
    </i>
    <i r="1">
      <x v="54"/>
    </i>
    <i r="1">
      <x v="9"/>
    </i>
    <i r="1">
      <x v="64"/>
    </i>
    <i r="1">
      <x v="22"/>
    </i>
    <i r="1">
      <x v="39"/>
    </i>
    <i r="1">
      <x v="36"/>
    </i>
    <i r="1">
      <x v="3"/>
    </i>
    <i r="1">
      <x v="1"/>
    </i>
    <i r="1">
      <x v="19"/>
    </i>
    <i r="1">
      <x v="28"/>
    </i>
    <i r="1">
      <x v="37"/>
    </i>
    <i r="1">
      <x v="16"/>
    </i>
    <i r="1">
      <x v="46"/>
    </i>
    <i r="1">
      <x v="20"/>
    </i>
    <i r="1">
      <x v="77"/>
    </i>
    <i r="1">
      <x v="69"/>
    </i>
    <i r="1">
      <x v="21"/>
    </i>
    <i r="1">
      <x v="52"/>
    </i>
    <i r="1">
      <x v="85"/>
    </i>
    <i r="1">
      <x v="11"/>
    </i>
    <i r="1">
      <x v="31"/>
    </i>
    <i r="1">
      <x v="8"/>
    </i>
    <i r="1">
      <x v="7"/>
    </i>
    <i r="1">
      <x v="35"/>
    </i>
    <i r="1">
      <x v="25"/>
    </i>
    <i r="1">
      <x v="34"/>
    </i>
    <i r="1">
      <x v="71"/>
    </i>
    <i r="1">
      <x v="17"/>
    </i>
    <i r="1">
      <x v="2"/>
    </i>
    <i r="1">
      <x v="47"/>
    </i>
    <i r="1">
      <x v="55"/>
    </i>
    <i r="1">
      <x v="74"/>
    </i>
    <i r="1">
      <x v="43"/>
    </i>
    <i r="1">
      <x v="15"/>
    </i>
    <i r="1">
      <x v="38"/>
    </i>
    <i r="1">
      <x v="62"/>
    </i>
    <i r="1">
      <x v="73"/>
    </i>
    <i r="1">
      <x v="66"/>
    </i>
    <i r="1">
      <x v="42"/>
    </i>
    <i r="1">
      <x v="24"/>
    </i>
    <i r="1">
      <x/>
    </i>
    <i r="1">
      <x v="45"/>
    </i>
    <i r="1">
      <x v="27"/>
    </i>
    <i r="1">
      <x v="51"/>
    </i>
    <i r="1">
      <x v="30"/>
    </i>
    <i r="1">
      <x v="87"/>
    </i>
    <i r="1">
      <x v="13"/>
    </i>
    <i r="1">
      <x v="61"/>
    </i>
    <i>
      <x v="1"/>
    </i>
    <i r="1">
      <x v="171"/>
    </i>
    <i r="1">
      <x v="117"/>
    </i>
    <i r="1">
      <x v="99"/>
    </i>
    <i r="1">
      <x v="114"/>
    </i>
    <i r="1">
      <x v="160"/>
    </i>
    <i r="1">
      <x v="100"/>
    </i>
    <i r="1">
      <x v="128"/>
    </i>
    <i r="1">
      <x v="97"/>
    </i>
    <i r="1">
      <x v="158"/>
    </i>
    <i r="1">
      <x v="90"/>
    </i>
    <i r="1">
      <x v="145"/>
    </i>
    <i r="1">
      <x v="151"/>
    </i>
    <i r="1">
      <x v="143"/>
    </i>
    <i r="1">
      <x v="95"/>
    </i>
    <i r="1">
      <x v="124"/>
    </i>
    <i r="1">
      <x v="108"/>
    </i>
    <i r="1">
      <x v="174"/>
    </i>
    <i r="1">
      <x v="120"/>
    </i>
    <i r="1">
      <x v="172"/>
    </i>
    <i r="1">
      <x v="105"/>
    </i>
    <i r="1">
      <x v="111"/>
    </i>
    <i r="1">
      <x v="116"/>
    </i>
    <i r="1">
      <x v="147"/>
    </i>
    <i r="1">
      <x v="123"/>
    </i>
    <i r="1">
      <x v="137"/>
    </i>
    <i r="1">
      <x v="152"/>
    </i>
    <i r="1">
      <x v="166"/>
    </i>
    <i r="1">
      <x v="125"/>
    </i>
    <i r="1">
      <x v="157"/>
    </i>
    <i r="1">
      <x v="110"/>
    </i>
    <i r="1">
      <x v="118"/>
    </i>
    <i r="1">
      <x v="140"/>
    </i>
    <i r="1">
      <x v="175"/>
    </i>
    <i r="1">
      <x v="139"/>
    </i>
    <i r="1">
      <x v="98"/>
    </i>
    <i r="1">
      <x v="91"/>
    </i>
    <i r="1">
      <x v="104"/>
    </i>
    <i r="1">
      <x v="163"/>
    </i>
    <i r="1">
      <x v="162"/>
    </i>
    <i r="1">
      <x v="94"/>
    </i>
    <i r="1">
      <x v="127"/>
    </i>
    <i r="1">
      <x v="148"/>
    </i>
    <i r="1">
      <x v="121"/>
    </i>
    <i r="1">
      <x v="156"/>
    </i>
    <i r="1">
      <x v="159"/>
    </i>
    <i r="1">
      <x v="165"/>
    </i>
    <i r="1">
      <x v="133"/>
    </i>
    <i r="1">
      <x v="169"/>
    </i>
    <i r="1">
      <x v="149"/>
    </i>
    <i r="1">
      <x v="113"/>
    </i>
    <i r="1">
      <x v="155"/>
    </i>
    <i r="1">
      <x v="132"/>
    </i>
    <i r="1">
      <x v="142"/>
    </i>
    <i r="1">
      <x v="115"/>
    </i>
    <i r="1">
      <x v="119"/>
    </i>
    <i r="1">
      <x v="129"/>
    </i>
    <i r="1">
      <x v="168"/>
    </i>
    <i r="1">
      <x v="138"/>
    </i>
    <i r="1">
      <x v="167"/>
    </i>
    <i r="1">
      <x v="88"/>
    </i>
    <i r="1">
      <x v="176"/>
    </i>
    <i r="1">
      <x v="154"/>
    </i>
    <i r="1">
      <x v="134"/>
    </i>
    <i r="1">
      <x v="103"/>
    </i>
    <i r="1">
      <x v="161"/>
    </i>
    <i r="1">
      <x v="92"/>
    </i>
    <i r="1">
      <x v="102"/>
    </i>
    <i r="1">
      <x v="122"/>
    </i>
    <i r="1">
      <x v="107"/>
    </i>
    <i r="1">
      <x v="112"/>
    </i>
    <i r="1">
      <x v="164"/>
    </i>
    <i r="1">
      <x v="153"/>
    </i>
    <i r="1">
      <x v="131"/>
    </i>
    <i r="1">
      <x v="170"/>
    </i>
    <i r="1">
      <x v="109"/>
    </i>
    <i r="1">
      <x v="144"/>
    </i>
    <i r="1">
      <x v="130"/>
    </i>
    <i r="1">
      <x v="89"/>
    </i>
    <i r="1">
      <x v="93"/>
    </i>
    <i r="1">
      <x v="101"/>
    </i>
    <i r="1">
      <x v="136"/>
    </i>
    <i r="1">
      <x v="146"/>
    </i>
    <i r="1">
      <x v="106"/>
    </i>
    <i r="1">
      <x v="135"/>
    </i>
    <i r="1">
      <x v="141"/>
    </i>
    <i r="1">
      <x v="177"/>
    </i>
    <i r="1">
      <x v="150"/>
    </i>
    <i r="1">
      <x v="126"/>
    </i>
    <i r="1">
      <x v="173"/>
    </i>
    <i r="1">
      <x v="96"/>
    </i>
    <i>
      <x v="2"/>
    </i>
    <i r="1">
      <x v="248"/>
    </i>
    <i r="1">
      <x v="207"/>
    </i>
    <i r="1">
      <x v="241"/>
    </i>
    <i r="1">
      <x v="223"/>
    </i>
    <i r="1">
      <x v="226"/>
    </i>
    <i r="1">
      <x v="185"/>
    </i>
    <i r="1">
      <x v="247"/>
    </i>
    <i r="1">
      <x v="236"/>
    </i>
    <i r="1">
      <x v="180"/>
    </i>
    <i r="1">
      <x v="179"/>
    </i>
    <i r="1">
      <x v="209"/>
    </i>
    <i r="1">
      <x v="201"/>
    </i>
    <i r="1">
      <x v="199"/>
    </i>
    <i r="1">
      <x v="197"/>
    </i>
    <i r="1">
      <x v="214"/>
    </i>
    <i r="1">
      <x v="246"/>
    </i>
    <i r="1">
      <x v="232"/>
    </i>
    <i r="1">
      <x v="237"/>
    </i>
    <i r="1">
      <x v="252"/>
    </i>
    <i r="1">
      <x v="229"/>
    </i>
    <i r="1">
      <x v="250"/>
    </i>
    <i r="1">
      <x v="200"/>
    </i>
    <i r="1">
      <x v="205"/>
    </i>
    <i r="1">
      <x v="239"/>
    </i>
    <i r="1">
      <x v="218"/>
    </i>
    <i r="1">
      <x v="255"/>
    </i>
    <i r="1">
      <x v="193"/>
    </i>
    <i r="1">
      <x v="225"/>
    </i>
    <i r="1">
      <x v="183"/>
    </i>
    <i r="1">
      <x v="217"/>
    </i>
    <i r="1">
      <x v="244"/>
    </i>
    <i r="1">
      <x v="251"/>
    </i>
    <i r="1">
      <x v="188"/>
    </i>
    <i r="1">
      <x v="221"/>
    </i>
    <i r="1">
      <x v="203"/>
    </i>
    <i r="1">
      <x v="242"/>
    </i>
    <i r="1">
      <x v="224"/>
    </i>
    <i r="1">
      <x v="257"/>
    </i>
    <i r="1">
      <x v="253"/>
    </i>
    <i r="1">
      <x v="243"/>
    </i>
    <i r="1">
      <x v="235"/>
    </i>
    <i r="1">
      <x v="227"/>
    </i>
    <i r="1">
      <x v="181"/>
    </i>
    <i r="1">
      <x v="213"/>
    </i>
    <i r="1">
      <x v="228"/>
    </i>
    <i r="1">
      <x v="233"/>
    </i>
    <i r="1">
      <x v="204"/>
    </i>
    <i r="1">
      <x v="258"/>
    </i>
    <i r="1">
      <x v="182"/>
    </i>
    <i r="1">
      <x v="220"/>
    </i>
    <i r="1">
      <x v="189"/>
    </i>
    <i r="1">
      <x v="249"/>
    </i>
    <i r="1">
      <x v="208"/>
    </i>
    <i r="1">
      <x v="211"/>
    </i>
    <i r="1">
      <x v="192"/>
    </i>
    <i r="1">
      <x v="186"/>
    </i>
    <i r="1">
      <x v="191"/>
    </i>
    <i r="1">
      <x v="231"/>
    </i>
    <i r="1">
      <x v="254"/>
    </i>
    <i r="1">
      <x v="219"/>
    </i>
    <i r="1">
      <x v="215"/>
    </i>
    <i r="1">
      <x v="184"/>
    </i>
    <i r="1">
      <x v="216"/>
    </i>
    <i r="1">
      <x v="210"/>
    </i>
    <i r="1">
      <x v="212"/>
    </i>
    <i r="1">
      <x v="238"/>
    </i>
    <i r="1">
      <x v="230"/>
    </i>
    <i r="1">
      <x v="256"/>
    </i>
    <i r="1">
      <x v="240"/>
    </i>
    <i r="1">
      <x v="222"/>
    </i>
    <i r="1">
      <x v="245"/>
    </i>
    <i r="1">
      <x v="195"/>
    </i>
    <i r="1">
      <x v="202"/>
    </i>
    <i r="1">
      <x v="187"/>
    </i>
    <i r="1">
      <x v="194"/>
    </i>
    <i r="1">
      <x v="198"/>
    </i>
    <i r="1">
      <x v="206"/>
    </i>
    <i r="1">
      <x v="178"/>
    </i>
    <i r="1">
      <x v="190"/>
    </i>
    <i r="1">
      <x v="234"/>
    </i>
    <i r="1">
      <x v="196"/>
    </i>
    <i>
      <x v="3"/>
    </i>
    <i r="1">
      <x v="323"/>
    </i>
    <i r="1">
      <x v="270"/>
    </i>
    <i r="1">
      <x v="319"/>
    </i>
    <i r="1">
      <x v="303"/>
    </i>
    <i r="1">
      <x v="349"/>
    </i>
    <i r="1">
      <x v="307"/>
    </i>
    <i r="1">
      <x v="352"/>
    </i>
    <i r="1">
      <x v="350"/>
    </i>
    <i r="1">
      <x v="337"/>
    </i>
    <i r="1">
      <x v="296"/>
    </i>
    <i r="1">
      <x v="299"/>
    </i>
    <i r="1">
      <x v="318"/>
    </i>
    <i r="1">
      <x v="317"/>
    </i>
    <i r="1">
      <x v="338"/>
    </i>
    <i r="1">
      <x v="282"/>
    </i>
    <i r="1">
      <x v="332"/>
    </i>
    <i r="1">
      <x v="281"/>
    </i>
    <i r="1">
      <x v="340"/>
    </i>
    <i r="1">
      <x v="266"/>
    </i>
    <i r="1">
      <x v="259"/>
    </i>
    <i r="1">
      <x v="300"/>
    </i>
    <i r="1">
      <x v="260"/>
    </i>
    <i r="1">
      <x v="275"/>
    </i>
    <i r="1">
      <x v="321"/>
    </i>
    <i r="1">
      <x v="286"/>
    </i>
    <i r="1">
      <x v="351"/>
    </i>
    <i r="1">
      <x v="298"/>
    </i>
    <i r="1">
      <x v="295"/>
    </i>
    <i r="1">
      <x v="308"/>
    </i>
    <i r="1">
      <x v="347"/>
    </i>
    <i r="1">
      <x v="291"/>
    </i>
    <i r="1">
      <x v="312"/>
    </i>
    <i r="1">
      <x v="315"/>
    </i>
    <i r="1">
      <x v="329"/>
    </i>
    <i r="1">
      <x v="322"/>
    </i>
    <i r="1">
      <x v="314"/>
    </i>
    <i r="1">
      <x v="320"/>
    </i>
    <i r="1">
      <x v="283"/>
    </i>
    <i r="1">
      <x v="268"/>
    </i>
    <i r="1">
      <x v="285"/>
    </i>
    <i r="1">
      <x v="297"/>
    </i>
    <i r="1">
      <x v="269"/>
    </i>
    <i r="1">
      <x v="346"/>
    </i>
    <i r="1">
      <x v="343"/>
    </i>
    <i r="1">
      <x v="280"/>
    </i>
    <i r="1">
      <x v="316"/>
    </i>
    <i r="1">
      <x v="324"/>
    </i>
    <i r="1">
      <x v="288"/>
    </i>
    <i r="1">
      <x v="334"/>
    </i>
    <i r="1">
      <x v="273"/>
    </i>
    <i r="1">
      <x v="327"/>
    </i>
    <i r="1">
      <x v="310"/>
    </i>
    <i r="1">
      <x v="271"/>
    </i>
    <i r="1">
      <x v="290"/>
    </i>
    <i r="1">
      <x v="313"/>
    </i>
    <i r="1">
      <x v="272"/>
    </i>
    <i r="1">
      <x v="301"/>
    </i>
    <i r="1">
      <x v="264"/>
    </i>
    <i r="1">
      <x v="302"/>
    </i>
    <i r="1">
      <x v="311"/>
    </i>
    <i r="1">
      <x v="262"/>
    </i>
    <i r="1">
      <x v="305"/>
    </i>
    <i r="1">
      <x v="328"/>
    </i>
    <i r="1">
      <x v="342"/>
    </i>
    <i r="1">
      <x v="279"/>
    </i>
    <i r="1">
      <x v="277"/>
    </i>
    <i r="1">
      <x v="344"/>
    </i>
    <i r="1">
      <x v="263"/>
    </i>
    <i r="1">
      <x v="325"/>
    </i>
    <i r="1">
      <x v="304"/>
    </i>
    <i r="1">
      <x v="287"/>
    </i>
    <i r="1">
      <x v="261"/>
    </i>
    <i r="1">
      <x v="333"/>
    </i>
    <i r="1">
      <x v="265"/>
    </i>
    <i r="1">
      <x v="335"/>
    </i>
    <i r="1">
      <x v="341"/>
    </i>
    <i r="1">
      <x v="330"/>
    </i>
    <i r="1">
      <x v="293"/>
    </i>
    <i r="1">
      <x v="348"/>
    </i>
    <i r="1">
      <x v="336"/>
    </i>
    <i r="1">
      <x v="339"/>
    </i>
    <i r="1">
      <x v="274"/>
    </i>
    <i r="1">
      <x v="292"/>
    </i>
    <i r="1">
      <x v="326"/>
    </i>
    <i r="1">
      <x v="331"/>
    </i>
    <i r="1">
      <x v="306"/>
    </i>
    <i r="1">
      <x v="289"/>
    </i>
    <i r="1">
      <x v="278"/>
    </i>
    <i r="1">
      <x v="276"/>
    </i>
    <i r="1">
      <x v="294"/>
    </i>
    <i r="1">
      <x v="345"/>
    </i>
    <i r="1">
      <x v="284"/>
    </i>
    <i r="1">
      <x v="267"/>
    </i>
    <i r="1">
      <x v="309"/>
    </i>
    <i>
      <x v="4"/>
    </i>
    <i r="1">
      <x v="368"/>
    </i>
    <i r="1">
      <x v="405"/>
    </i>
    <i r="1">
      <x v="403"/>
    </i>
    <i r="1">
      <x v="359"/>
    </i>
    <i r="1">
      <x v="396"/>
    </i>
    <i r="1">
      <x v="356"/>
    </i>
    <i r="1">
      <x v="395"/>
    </i>
    <i r="1">
      <x v="387"/>
    </i>
    <i r="1">
      <x v="407"/>
    </i>
    <i r="1">
      <x v="386"/>
    </i>
    <i r="1">
      <x v="381"/>
    </i>
    <i r="1">
      <x v="365"/>
    </i>
    <i r="1">
      <x v="361"/>
    </i>
    <i r="1">
      <x v="397"/>
    </i>
    <i r="1">
      <x v="410"/>
    </i>
    <i r="1">
      <x v="399"/>
    </i>
    <i r="1">
      <x v="428"/>
    </i>
    <i r="1">
      <x v="431"/>
    </i>
    <i r="1">
      <x v="402"/>
    </i>
    <i r="1">
      <x v="371"/>
    </i>
    <i r="1">
      <x v="367"/>
    </i>
    <i r="1">
      <x v="413"/>
    </i>
    <i r="1">
      <x v="355"/>
    </i>
    <i r="1">
      <x v="360"/>
    </i>
    <i r="1">
      <x v="394"/>
    </i>
    <i r="1">
      <x v="392"/>
    </i>
    <i r="1">
      <x v="369"/>
    </i>
    <i r="1">
      <x v="353"/>
    </i>
    <i r="1">
      <x v="375"/>
    </i>
    <i r="1">
      <x v="414"/>
    </i>
    <i r="1">
      <x v="435"/>
    </i>
    <i r="1">
      <x v="437"/>
    </i>
    <i r="1">
      <x v="378"/>
    </i>
    <i r="1">
      <x v="415"/>
    </i>
    <i r="1">
      <x v="401"/>
    </i>
    <i r="1">
      <x v="379"/>
    </i>
    <i r="1">
      <x v="388"/>
    </i>
    <i r="1">
      <x v="389"/>
    </i>
    <i r="1">
      <x v="383"/>
    </i>
    <i r="1">
      <x v="416"/>
    </i>
    <i r="1">
      <x v="406"/>
    </i>
    <i r="1">
      <x v="382"/>
    </i>
    <i r="1">
      <x v="422"/>
    </i>
    <i r="1">
      <x v="357"/>
    </i>
    <i r="1">
      <x v="385"/>
    </i>
    <i r="1">
      <x v="423"/>
    </i>
    <i r="1">
      <x v="398"/>
    </i>
    <i r="1">
      <x v="427"/>
    </i>
    <i r="1">
      <x v="358"/>
    </i>
    <i r="1">
      <x v="409"/>
    </i>
    <i r="1">
      <x v="373"/>
    </i>
    <i r="1">
      <x v="390"/>
    </i>
    <i r="1">
      <x v="419"/>
    </i>
    <i r="1">
      <x v="364"/>
    </i>
    <i r="1">
      <x v="432"/>
    </i>
    <i r="1">
      <x v="418"/>
    </i>
    <i r="1">
      <x v="429"/>
    </i>
    <i r="1">
      <x v="421"/>
    </i>
    <i r="1">
      <x v="380"/>
    </i>
    <i r="1">
      <x v="366"/>
    </i>
    <i r="1">
      <x v="430"/>
    </i>
    <i r="1">
      <x v="412"/>
    </i>
    <i r="1">
      <x v="393"/>
    </i>
    <i r="1">
      <x v="425"/>
    </i>
    <i r="1">
      <x v="417"/>
    </i>
    <i r="1">
      <x v="436"/>
    </i>
    <i r="1">
      <x v="362"/>
    </i>
    <i r="1">
      <x v="376"/>
    </i>
    <i r="1">
      <x v="404"/>
    </i>
    <i r="1">
      <x v="384"/>
    </i>
    <i r="1">
      <x v="374"/>
    </i>
    <i r="1">
      <x v="426"/>
    </i>
    <i r="1">
      <x v="433"/>
    </i>
    <i r="1">
      <x v="372"/>
    </i>
    <i r="1">
      <x v="370"/>
    </i>
    <i r="1">
      <x v="424"/>
    </i>
    <i r="1">
      <x v="420"/>
    </i>
    <i r="1">
      <x v="400"/>
    </i>
    <i r="1">
      <x v="411"/>
    </i>
    <i r="1">
      <x v="377"/>
    </i>
    <i r="1">
      <x v="363"/>
    </i>
    <i r="1">
      <x v="408"/>
    </i>
    <i r="1">
      <x v="354"/>
    </i>
    <i r="1">
      <x v="434"/>
    </i>
    <i r="1">
      <x v="438"/>
    </i>
    <i r="1">
      <x v="391"/>
    </i>
    <i>
      <x v="5"/>
    </i>
    <i r="1">
      <x v="525"/>
    </i>
    <i r="1">
      <x v="513"/>
    </i>
    <i r="1">
      <x v="474"/>
    </i>
    <i r="1">
      <x v="503"/>
    </i>
    <i r="1">
      <x v="486"/>
    </i>
    <i r="1">
      <x v="479"/>
    </i>
    <i r="1">
      <x v="517"/>
    </i>
    <i r="1">
      <x v="440"/>
    </i>
    <i r="1">
      <x v="495"/>
    </i>
    <i r="1">
      <x v="516"/>
    </i>
    <i r="1">
      <x v="489"/>
    </i>
    <i r="1">
      <x v="446"/>
    </i>
    <i r="1">
      <x v="476"/>
    </i>
    <i r="1">
      <x v="508"/>
    </i>
    <i r="1">
      <x v="456"/>
    </i>
    <i r="1">
      <x v="522"/>
    </i>
    <i r="1">
      <x v="502"/>
    </i>
    <i r="1">
      <x v="505"/>
    </i>
    <i r="1">
      <x v="518"/>
    </i>
    <i r="1">
      <x v="478"/>
    </i>
    <i r="1">
      <x v="448"/>
    </i>
    <i r="1">
      <x v="443"/>
    </i>
    <i r="1">
      <x v="451"/>
    </i>
    <i r="1">
      <x v="473"/>
    </i>
    <i r="1">
      <x v="523"/>
    </i>
    <i r="1">
      <x v="526"/>
    </i>
    <i r="1">
      <x v="501"/>
    </i>
    <i r="1">
      <x v="487"/>
    </i>
    <i r="1">
      <x v="493"/>
    </i>
    <i r="1">
      <x v="460"/>
    </i>
    <i r="1">
      <x v="497"/>
    </i>
    <i r="1">
      <x v="463"/>
    </i>
    <i r="1">
      <x v="524"/>
    </i>
    <i r="1">
      <x v="449"/>
    </i>
    <i r="1">
      <x v="468"/>
    </i>
    <i r="1">
      <x v="507"/>
    </i>
    <i r="1">
      <x v="461"/>
    </i>
    <i r="1">
      <x v="514"/>
    </i>
    <i r="1">
      <x v="521"/>
    </i>
    <i r="1">
      <x v="469"/>
    </i>
    <i r="1">
      <x v="452"/>
    </i>
    <i r="1">
      <x v="500"/>
    </i>
    <i r="1">
      <x v="475"/>
    </i>
    <i r="1">
      <x v="485"/>
    </i>
    <i r="1">
      <x v="511"/>
    </i>
    <i r="1">
      <x v="480"/>
    </i>
    <i r="1">
      <x v="462"/>
    </i>
    <i r="1">
      <x v="512"/>
    </i>
    <i r="1">
      <x v="499"/>
    </i>
    <i r="1">
      <x v="439"/>
    </i>
    <i r="1">
      <x v="464"/>
    </i>
    <i r="1">
      <x v="492"/>
    </i>
    <i r="1">
      <x v="490"/>
    </i>
    <i r="1">
      <x v="444"/>
    </i>
    <i r="1">
      <x v="510"/>
    </i>
    <i r="1">
      <x v="484"/>
    </i>
    <i r="1">
      <x v="481"/>
    </i>
    <i r="1">
      <x v="520"/>
    </i>
    <i r="1">
      <x v="504"/>
    </i>
    <i r="1">
      <x v="459"/>
    </i>
    <i r="1">
      <x v="453"/>
    </i>
    <i r="1">
      <x v="455"/>
    </i>
    <i r="1">
      <x v="498"/>
    </i>
    <i r="1">
      <x v="472"/>
    </i>
    <i r="1">
      <x v="447"/>
    </i>
    <i r="1">
      <x v="488"/>
    </i>
    <i r="1">
      <x v="454"/>
    </i>
    <i r="1">
      <x v="467"/>
    </i>
    <i r="1">
      <x v="483"/>
    </i>
    <i r="1">
      <x v="509"/>
    </i>
    <i r="1">
      <x v="496"/>
    </i>
    <i r="1">
      <x v="494"/>
    </i>
    <i r="1">
      <x v="445"/>
    </i>
    <i r="1">
      <x v="450"/>
    </i>
    <i r="1">
      <x v="457"/>
    </i>
    <i r="1">
      <x v="477"/>
    </i>
    <i r="1">
      <x v="470"/>
    </i>
    <i r="1">
      <x v="491"/>
    </i>
    <i r="1">
      <x v="442"/>
    </i>
    <i r="1">
      <x v="515"/>
    </i>
    <i r="1">
      <x v="471"/>
    </i>
    <i r="1">
      <x v="441"/>
    </i>
    <i r="1">
      <x v="458"/>
    </i>
    <i r="1">
      <x v="466"/>
    </i>
    <i r="1">
      <x v="519"/>
    </i>
    <i r="1">
      <x v="482"/>
    </i>
    <i r="1">
      <x v="506"/>
    </i>
    <i r="1">
      <x v="465"/>
    </i>
    <i>
      <x v="6"/>
    </i>
    <i r="1">
      <x v="536"/>
    </i>
    <i r="1">
      <x v="588"/>
    </i>
    <i r="1">
      <x v="598"/>
    </i>
    <i r="1">
      <x v="544"/>
    </i>
    <i r="1">
      <x v="621"/>
    </i>
    <i r="1">
      <x v="616"/>
    </i>
    <i r="1">
      <x v="542"/>
    </i>
    <i r="1">
      <x v="585"/>
    </i>
    <i r="1">
      <x v="575"/>
    </i>
    <i r="1">
      <x v="583"/>
    </i>
    <i r="1">
      <x v="600"/>
    </i>
    <i r="1">
      <x v="569"/>
    </i>
    <i r="1">
      <x v="534"/>
    </i>
    <i r="1">
      <x v="563"/>
    </i>
    <i r="1">
      <x v="623"/>
    </i>
    <i r="1">
      <x v="552"/>
    </i>
    <i r="1">
      <x v="601"/>
    </i>
    <i r="1">
      <x v="533"/>
    </i>
    <i r="1">
      <x v="548"/>
    </i>
    <i r="1">
      <x v="531"/>
    </i>
    <i r="1">
      <x v="596"/>
    </i>
    <i r="1">
      <x v="549"/>
    </i>
    <i r="1">
      <x v="580"/>
    </i>
    <i r="1">
      <x v="619"/>
    </i>
    <i r="1">
      <x v="538"/>
    </i>
    <i r="1">
      <x v="622"/>
    </i>
    <i r="1">
      <x v="610"/>
    </i>
    <i r="1">
      <x v="540"/>
    </i>
    <i r="1">
      <x v="567"/>
    </i>
    <i r="1">
      <x v="629"/>
    </i>
    <i r="1">
      <x v="624"/>
    </i>
    <i r="1">
      <x v="568"/>
    </i>
    <i r="1">
      <x v="618"/>
    </i>
    <i r="1">
      <x v="578"/>
    </i>
    <i r="1">
      <x v="604"/>
    </i>
    <i r="1">
      <x v="541"/>
    </i>
    <i r="1">
      <x v="553"/>
    </i>
    <i r="1">
      <x v="528"/>
    </i>
    <i r="1">
      <x v="584"/>
    </i>
    <i r="1">
      <x v="573"/>
    </i>
    <i r="1">
      <x v="602"/>
    </i>
    <i r="1">
      <x v="560"/>
    </i>
    <i r="1">
      <x v="594"/>
    </i>
    <i r="1">
      <x v="593"/>
    </i>
    <i r="1">
      <x v="545"/>
    </i>
    <i r="1">
      <x v="554"/>
    </i>
    <i r="1">
      <x v="532"/>
    </i>
    <i r="1">
      <x v="543"/>
    </i>
    <i r="1">
      <x v="565"/>
    </i>
    <i r="1">
      <x v="558"/>
    </i>
    <i r="1">
      <x v="613"/>
    </i>
    <i r="1">
      <x v="535"/>
    </i>
    <i r="1">
      <x v="607"/>
    </i>
    <i r="1">
      <x v="527"/>
    </i>
    <i r="1">
      <x v="625"/>
    </i>
    <i r="1">
      <x v="574"/>
    </i>
    <i r="1">
      <x v="620"/>
    </i>
    <i r="1">
      <x v="617"/>
    </i>
    <i r="1">
      <x v="590"/>
    </i>
    <i r="1">
      <x v="561"/>
    </i>
    <i r="1">
      <x v="591"/>
    </i>
    <i r="1">
      <x v="615"/>
    </i>
    <i r="1">
      <x v="547"/>
    </i>
    <i r="1">
      <x v="586"/>
    </i>
    <i r="1">
      <x v="595"/>
    </i>
    <i r="1">
      <x v="626"/>
    </i>
    <i r="1">
      <x v="599"/>
    </i>
    <i r="1">
      <x v="546"/>
    </i>
    <i r="1">
      <x v="551"/>
    </i>
    <i r="1">
      <x v="537"/>
    </i>
    <i r="1">
      <x v="562"/>
    </i>
    <i r="1">
      <x v="579"/>
    </i>
    <i r="1">
      <x v="566"/>
    </i>
    <i r="1">
      <x v="572"/>
    </i>
    <i r="1">
      <x v="550"/>
    </i>
    <i r="1">
      <x v="557"/>
    </i>
    <i r="1">
      <x v="611"/>
    </i>
    <i r="1">
      <x v="555"/>
    </i>
    <i r="1">
      <x v="571"/>
    </i>
    <i r="1">
      <x v="608"/>
    </i>
    <i r="1">
      <x v="627"/>
    </i>
    <i r="1">
      <x v="570"/>
    </i>
    <i r="1">
      <x v="605"/>
    </i>
    <i r="1">
      <x v="609"/>
    </i>
    <i r="1">
      <x v="603"/>
    </i>
    <i r="1">
      <x v="612"/>
    </i>
    <i r="1">
      <x v="597"/>
    </i>
    <i r="1">
      <x v="581"/>
    </i>
    <i r="1">
      <x v="592"/>
    </i>
    <i r="1">
      <x v="564"/>
    </i>
    <i r="1">
      <x v="529"/>
    </i>
    <i r="1">
      <x v="577"/>
    </i>
    <i r="1">
      <x v="530"/>
    </i>
    <i r="1">
      <x v="539"/>
    </i>
    <i r="1">
      <x v="556"/>
    </i>
    <i r="1">
      <x v="606"/>
    </i>
    <i r="1">
      <x v="559"/>
    </i>
    <i r="1">
      <x v="628"/>
    </i>
    <i r="1">
      <x v="614"/>
    </i>
    <i r="1">
      <x v="589"/>
    </i>
    <i r="1">
      <x v="576"/>
    </i>
    <i r="1">
      <x v="582"/>
    </i>
    <i r="1">
      <x v="587"/>
    </i>
    <i t="grand">
      <x/>
    </i>
  </rowItems>
  <colItems count="1">
    <i/>
  </colItems>
  <dataFields count="1">
    <dataField name="Sum of Gross Revenue(KES)" fld="26" baseField="0" baseItem="0" numFmtId="2"/>
  </dataFields>
  <conditionalFormats count="34">
    <conditionalFormat type="all" priority="36">
      <pivotAreas count="1">
        <pivotArea type="data" collapsedLevelsAreSubtotals="1" fieldPosition="0">
          <references count="3">
            <reference field="4294967294" count="1" selected="0">
              <x v="0"/>
            </reference>
            <reference field="17" count="1" selected="0">
              <x v="0"/>
            </reference>
            <reference field="18" count="8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reference>
          </references>
        </pivotArea>
      </pivotAreas>
    </conditionalFormat>
    <conditionalFormat type="all" priority="33">
      <pivotAreas count="1">
        <pivotArea type="data" collapsedLevelsAreSubtotals="1" fieldPosition="0">
          <references count="3">
            <reference field="4294967294" count="1" selected="0">
              <x v="0"/>
            </reference>
            <reference field="17" count="1" selected="0">
              <x v="1"/>
            </reference>
            <reference field="18" count="90">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reference>
          </references>
        </pivotArea>
      </pivotAreas>
    </conditionalFormat>
    <conditionalFormat type="all" priority="32">
      <pivotAreas count="1">
        <pivotArea type="data" collapsedLevelsAreSubtotals="1" fieldPosition="0">
          <references count="3">
            <reference field="4294967294" count="1" selected="0">
              <x v="0"/>
            </reference>
            <reference field="17" count="1" selected="0">
              <x v="1"/>
            </reference>
            <reference field="18" count="90">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reference>
          </references>
        </pivotArea>
      </pivotAreas>
    </conditionalFormat>
    <conditionalFormat type="all" priority="31">
      <pivotAreas count="1">
        <pivotArea type="data" collapsedLevelsAreSubtotals="1" fieldPosition="0">
          <references count="3">
            <reference field="4294967294" count="1" selected="0">
              <x v="0"/>
            </reference>
            <reference field="17" count="1" selected="0">
              <x v="1"/>
            </reference>
            <reference field="18" count="90">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reference>
          </references>
        </pivotArea>
      </pivotAreas>
    </conditionalFormat>
    <conditionalFormat type="all" priority="30">
      <pivotAreas count="1">
        <pivotArea type="data" collapsedLevelsAreSubtotals="1" fieldPosition="0">
          <references count="3">
            <reference field="4294967294" count="1" selected="0">
              <x v="0"/>
            </reference>
            <reference field="17" count="1" selected="0">
              <x v="2"/>
            </reference>
            <reference field="18" count="81">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reference>
          </references>
        </pivotArea>
      </pivotAreas>
    </conditionalFormat>
    <conditionalFormat type="all" priority="29">
      <pivotAreas count="1">
        <pivotArea type="data" collapsedLevelsAreSubtotals="1" fieldPosition="0">
          <references count="3">
            <reference field="4294967294" count="1" selected="0">
              <x v="0"/>
            </reference>
            <reference field="17" count="1" selected="0">
              <x v="2"/>
            </reference>
            <reference field="18" count="81">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reference>
          </references>
        </pivotArea>
      </pivotAreas>
    </conditionalFormat>
    <conditionalFormat type="all" priority="28">
      <pivotAreas count="1">
        <pivotArea type="data" collapsedLevelsAreSubtotals="1" fieldPosition="0">
          <references count="3">
            <reference field="4294967294" count="1" selected="0">
              <x v="0"/>
            </reference>
            <reference field="17" count="1" selected="0">
              <x v="2"/>
            </reference>
            <reference field="18" count="81">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reference>
          </references>
        </pivotArea>
      </pivotAreas>
    </conditionalFormat>
    <conditionalFormat type="all" priority="27">
      <pivotAreas count="1">
        <pivotArea type="data" collapsedLevelsAreSubtotals="1" fieldPosition="0">
          <references count="3">
            <reference field="4294967294" count="1" selected="0">
              <x v="0"/>
            </reference>
            <reference field="17" count="1" selected="0">
              <x v="2"/>
            </reference>
            <reference field="18" count="81">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reference>
          </references>
        </pivotArea>
      </pivotAreas>
    </conditionalFormat>
    <conditionalFormat type="all" priority="26">
      <pivotAreas count="1">
        <pivotArea type="data" collapsedLevelsAreSubtotals="1" fieldPosition="0">
          <references count="3">
            <reference field="4294967294" count="1" selected="0">
              <x v="0"/>
            </reference>
            <reference field="17" count="1" selected="0">
              <x v="2"/>
            </reference>
            <reference field="18" count="81">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reference>
          </references>
        </pivotArea>
      </pivotAreas>
    </conditionalFormat>
    <conditionalFormat type="all" priority="25">
      <pivotAreas count="1">
        <pivotArea type="data" collapsedLevelsAreSubtotals="1" fieldPosition="0">
          <references count="3">
            <reference field="4294967294" count="1" selected="0">
              <x v="0"/>
            </reference>
            <reference field="17" count="1" selected="0">
              <x v="3"/>
            </reference>
            <reference field="18" count="94">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reference>
          </references>
        </pivotArea>
      </pivotAreas>
    </conditionalFormat>
    <conditionalFormat type="all" priority="24">
      <pivotAreas count="1">
        <pivotArea type="data" collapsedLevelsAreSubtotals="1" fieldPosition="0">
          <references count="3">
            <reference field="4294967294" count="1" selected="0">
              <x v="0"/>
            </reference>
            <reference field="17" count="1" selected="0">
              <x v="3"/>
            </reference>
            <reference field="18" count="94">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reference>
          </references>
        </pivotArea>
      </pivotAreas>
    </conditionalFormat>
    <conditionalFormat type="all" priority="23">
      <pivotAreas count="1">
        <pivotArea type="data" collapsedLevelsAreSubtotals="1" fieldPosition="0">
          <references count="3">
            <reference field="4294967294" count="1" selected="0">
              <x v="0"/>
            </reference>
            <reference field="17" count="1" selected="0">
              <x v="3"/>
            </reference>
            <reference field="18" count="94">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reference>
          </references>
        </pivotArea>
      </pivotAreas>
    </conditionalFormat>
    <conditionalFormat type="all" priority="22">
      <pivotAreas count="1">
        <pivotArea type="data" collapsedLevelsAreSubtotals="1" fieldPosition="0">
          <references count="3">
            <reference field="4294967294" count="1" selected="0">
              <x v="0"/>
            </reference>
            <reference field="17" count="1" selected="0">
              <x v="3"/>
            </reference>
            <reference field="18" count="94">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reference>
          </references>
        </pivotArea>
      </pivotAreas>
    </conditionalFormat>
    <conditionalFormat type="all" priority="21">
      <pivotAreas count="1">
        <pivotArea type="data" collapsedLevelsAreSubtotals="1" fieldPosition="0">
          <references count="3">
            <reference field="4294967294" count="1" selected="0">
              <x v="0"/>
            </reference>
            <reference field="17" count="1" selected="0">
              <x v="3"/>
            </reference>
            <reference field="18" count="94">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reference>
          </references>
        </pivotArea>
      </pivotAreas>
    </conditionalFormat>
    <conditionalFormat type="all" priority="20">
      <pivotAreas count="1">
        <pivotArea type="data" collapsedLevelsAreSubtotals="1" fieldPosition="0">
          <references count="3">
            <reference field="4294967294" count="1" selected="0">
              <x v="0"/>
            </reference>
            <reference field="17" count="1" selected="0">
              <x v="0"/>
            </reference>
            <reference field="18" count="8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reference>
          </references>
        </pivotArea>
      </pivotAreas>
    </conditionalFormat>
    <conditionalFormat type="all" priority="19">
      <pivotAreas count="1">
        <pivotArea type="data" collapsedLevelsAreSubtotals="1" fieldPosition="0">
          <references count="3">
            <reference field="4294967294" count="1" selected="0">
              <x v="0"/>
            </reference>
            <reference field="17" count="1" selected="0">
              <x v="0"/>
            </reference>
            <reference field="18" count="8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reference>
          </references>
        </pivotArea>
      </pivotAreas>
    </conditionalFormat>
    <conditionalFormat type="all" priority="18">
      <pivotAreas count="1">
        <pivotArea type="data" collapsedLevelsAreSubtotals="1" fieldPosition="0">
          <references count="3">
            <reference field="4294967294" count="1" selected="0">
              <x v="0"/>
            </reference>
            <reference field="17" count="1" selected="0">
              <x v="0"/>
            </reference>
            <reference field="18" count="8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reference>
          </references>
        </pivotArea>
      </pivotAreas>
    </conditionalFormat>
    <conditionalFormat type="all" priority="17">
      <pivotAreas count="1">
        <pivotArea type="data" collapsedLevelsAreSubtotals="1" fieldPosition="0">
          <references count="3">
            <reference field="4294967294" count="1" selected="0">
              <x v="0"/>
            </reference>
            <reference field="17" count="1" selected="0">
              <x v="2"/>
            </reference>
            <reference field="18" count="81">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reference>
          </references>
        </pivotArea>
      </pivotAreas>
    </conditionalFormat>
    <conditionalFormat type="all" priority="16">
      <pivotAreas count="1">
        <pivotArea type="data" collapsedLevelsAreSubtotals="1" fieldPosition="0">
          <references count="3">
            <reference field="4294967294" count="1" selected="0">
              <x v="0"/>
            </reference>
            <reference field="17" count="1" selected="0">
              <x v="2"/>
            </reference>
            <reference field="18" count="81">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reference>
          </references>
        </pivotArea>
      </pivotAreas>
    </conditionalFormat>
    <conditionalFormat type="all" priority="15">
      <pivotAreas count="1">
        <pivotArea type="data" collapsedLevelsAreSubtotals="1" fieldPosition="0">
          <references count="3">
            <reference field="4294967294" count="1" selected="0">
              <x v="0"/>
            </reference>
            <reference field="17" count="1" selected="0">
              <x v="2"/>
            </reference>
            <reference field="18" count="81">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reference>
          </references>
        </pivotArea>
      </pivotAreas>
    </conditionalFormat>
    <conditionalFormat type="all" priority="14">
      <pivotAreas count="1">
        <pivotArea type="data" collapsedLevelsAreSubtotals="1" fieldPosition="0">
          <references count="3">
            <reference field="4294967294" count="1" selected="0">
              <x v="0"/>
            </reference>
            <reference field="17" count="1" selected="0">
              <x v="3"/>
            </reference>
            <reference field="18" count="94">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reference>
          </references>
        </pivotArea>
      </pivotAreas>
    </conditionalFormat>
    <conditionalFormat type="all" priority="13">
      <pivotAreas count="1">
        <pivotArea type="data" collapsedLevelsAreSubtotals="1" fieldPosition="0">
          <references count="3">
            <reference field="4294967294" count="1" selected="0">
              <x v="0"/>
            </reference>
            <reference field="17" count="1" selected="0">
              <x v="3"/>
            </reference>
            <reference field="18" count="94">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reference>
          </references>
        </pivotArea>
      </pivotAreas>
    </conditionalFormat>
    <conditionalFormat type="all" priority="12">
      <pivotAreas count="1">
        <pivotArea type="data" collapsedLevelsAreSubtotals="1" fieldPosition="0">
          <references count="3">
            <reference field="4294967294" count="1" selected="0">
              <x v="0"/>
            </reference>
            <reference field="17" count="1" selected="0">
              <x v="3"/>
            </reference>
            <reference field="18" count="94">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reference>
          </references>
        </pivotArea>
      </pivotAreas>
    </conditionalFormat>
    <conditionalFormat type="all" priority="11">
      <pivotAreas count="1">
        <pivotArea type="data" collapsedLevelsAreSubtotals="1" fieldPosition="0">
          <references count="3">
            <reference field="4294967294" count="1" selected="0">
              <x v="0"/>
            </reference>
            <reference field="17" count="1" selected="0">
              <x v="4"/>
            </reference>
            <reference field="18" count="86">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reference>
          </references>
        </pivotArea>
      </pivotAreas>
    </conditionalFormat>
    <conditionalFormat type="all" priority="10">
      <pivotAreas count="1">
        <pivotArea type="data" collapsedLevelsAreSubtotals="1" fieldPosition="0">
          <references count="3">
            <reference field="4294967294" count="1" selected="0">
              <x v="0"/>
            </reference>
            <reference field="17" count="1" selected="0">
              <x v="4"/>
            </reference>
            <reference field="18" count="86">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reference>
          </references>
        </pivotArea>
      </pivotAreas>
    </conditionalFormat>
    <conditionalFormat type="all" priority="9">
      <pivotAreas count="1">
        <pivotArea type="data" collapsedLevelsAreSubtotals="1" fieldPosition="0">
          <references count="3">
            <reference field="4294967294" count="1" selected="0">
              <x v="0"/>
            </reference>
            <reference field="17" count="1" selected="0">
              <x v="4"/>
            </reference>
            <reference field="18" count="86">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reference>
          </references>
        </pivotArea>
      </pivotAreas>
    </conditionalFormat>
    <conditionalFormat type="all" priority="8">
      <pivotAreas count="1">
        <pivotArea type="data" collapsedLevelsAreSubtotals="1" fieldPosition="0">
          <references count="3">
            <reference field="4294967294" count="1" selected="0">
              <x v="0"/>
            </reference>
            <reference field="17" count="1" selected="0">
              <x v="5"/>
            </reference>
            <reference field="18" count="8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reference>
          </references>
        </pivotArea>
      </pivotAreas>
    </conditionalFormat>
    <conditionalFormat type="all" priority="7">
      <pivotAreas count="1">
        <pivotArea type="data" collapsedLevelsAreSubtotals="1" fieldPosition="0">
          <references count="3">
            <reference field="4294967294" count="1" selected="0">
              <x v="0"/>
            </reference>
            <reference field="17" count="1" selected="0">
              <x v="5"/>
            </reference>
            <reference field="18" count="8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reference>
          </references>
        </pivotArea>
      </pivotAreas>
    </conditionalFormat>
    <conditionalFormat type="all" priority="6">
      <pivotAreas count="1">
        <pivotArea type="data" collapsedLevelsAreSubtotals="1" fieldPosition="0">
          <references count="3">
            <reference field="4294967294" count="1" selected="0">
              <x v="0"/>
            </reference>
            <reference field="17" count="1" selected="0">
              <x v="5"/>
            </reference>
            <reference field="18" count="8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reference>
          </references>
        </pivotArea>
      </pivotAreas>
    </conditionalFormat>
    <conditionalFormat type="all" priority="5">
      <pivotAreas count="1">
        <pivotArea type="data" collapsedLevelsAreSubtotals="1" fieldPosition="0">
          <references count="3">
            <reference field="4294967294" count="1" selected="0">
              <x v="0"/>
            </reference>
            <reference field="17" count="1" selected="0">
              <x v="5"/>
            </reference>
            <reference field="18" count="8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reference>
          </references>
        </pivotArea>
      </pivotAreas>
    </conditionalFormat>
    <conditionalFormat type="all" priority="4">
      <pivotAreas count="1">
        <pivotArea type="data" collapsedLevelsAreSubtotals="1" fieldPosition="0">
          <references count="3">
            <reference field="4294967294" count="1" selected="0">
              <x v="0"/>
            </reference>
            <reference field="17" count="1" selected="0">
              <x v="6"/>
            </reference>
            <reference field="18" count="103">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reference>
          </references>
        </pivotArea>
      </pivotAreas>
    </conditionalFormat>
    <conditionalFormat type="all" priority="3">
      <pivotAreas count="1">
        <pivotArea type="data" collapsedLevelsAreSubtotals="1" fieldPosition="0">
          <references count="3">
            <reference field="4294967294" count="1" selected="0">
              <x v="0"/>
            </reference>
            <reference field="17" count="1" selected="0">
              <x v="6"/>
            </reference>
            <reference field="18" count="103">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reference>
          </references>
        </pivotArea>
      </pivotAreas>
    </conditionalFormat>
    <conditionalFormat type="all" priority="2">
      <pivotAreas count="1">
        <pivotArea type="data" collapsedLevelsAreSubtotals="1" fieldPosition="0">
          <references count="3">
            <reference field="4294967294" count="1" selected="0">
              <x v="0"/>
            </reference>
            <reference field="17" count="1" selected="0">
              <x v="6"/>
            </reference>
            <reference field="18" count="103">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reference>
          </references>
        </pivotArea>
      </pivotAreas>
    </conditionalFormat>
    <conditionalFormat type="all" priority="1">
      <pivotAreas count="1">
        <pivotArea type="data" collapsedLevelsAreSubtotals="1" fieldPosition="0">
          <references count="3">
            <reference field="4294967294" count="1" selected="0">
              <x v="0"/>
            </reference>
            <reference field="17" count="1" selected="0">
              <x v="6"/>
            </reference>
            <reference field="18" count="103">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DE45A3-116F-4DE9-9E70-3682B9290B70}"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34" firstHeaderRow="1" firstDataRow="1" firstDataCol="1"/>
  <pivotFields count="35">
    <pivotField showAll="0"/>
    <pivotField numFmtId="17" showAll="0"/>
    <pivotField showAll="0"/>
    <pivotField showAll="0"/>
    <pivotField showAll="0"/>
    <pivotField numFmtId="14" showAll="0"/>
    <pivotField numFmtId="14" showAll="0"/>
    <pivotField numFmtId="14" showAll="0"/>
    <pivotField showAll="0"/>
    <pivotField numFmtId="1" showAll="0"/>
    <pivotField numFmtId="1" showAll="0"/>
    <pivotField showAll="0">
      <items count="5">
        <item x="3"/>
        <item x="2"/>
        <item x="0"/>
        <item x="1"/>
        <item t="default"/>
      </items>
    </pivotField>
    <pivotField showAll="0">
      <items count="13">
        <item x="6"/>
        <item x="2"/>
        <item x="3"/>
        <item x="8"/>
        <item x="1"/>
        <item x="4"/>
        <item x="0"/>
        <item x="5"/>
        <item x="9"/>
        <item x="11"/>
        <item x="7"/>
        <item x="10"/>
        <item t="default"/>
      </items>
    </pivotField>
    <pivotField showAll="0"/>
    <pivotField showAll="0"/>
    <pivotField showAll="0"/>
    <pivotField showAll="0">
      <items count="17">
        <item x="3"/>
        <item x="11"/>
        <item x="4"/>
        <item x="10"/>
        <item x="2"/>
        <item x="9"/>
        <item x="12"/>
        <item x="14"/>
        <item x="15"/>
        <item x="7"/>
        <item x="5"/>
        <item x="8"/>
        <item x="1"/>
        <item x="13"/>
        <item x="0"/>
        <item x="6"/>
        <item t="default"/>
      </items>
    </pivotField>
    <pivotField showAll="0"/>
    <pivotField axis="axisRow" showAll="0" sortType="descending">
      <items count="631">
        <item x="491"/>
        <item x="9"/>
        <item x="297"/>
        <item x="214"/>
        <item x="289"/>
        <item x="238"/>
        <item x="189"/>
        <item x="337"/>
        <item x="140"/>
        <item x="42"/>
        <item x="424"/>
        <item x="614"/>
        <item x="154"/>
        <item x="571"/>
        <item x="368"/>
        <item x="569"/>
        <item x="305"/>
        <item x="528"/>
        <item x="457"/>
        <item x="557"/>
        <item x="133"/>
        <item x="215"/>
        <item x="318"/>
        <item x="311"/>
        <item x="141"/>
        <item x="298"/>
        <item x="275"/>
        <item x="116"/>
        <item x="445"/>
        <item x="85"/>
        <item x="409"/>
        <item x="371"/>
        <item x="180"/>
        <item x="109"/>
        <item x="55"/>
        <item x="360"/>
        <item x="607"/>
        <item x="473"/>
        <item x="498"/>
        <item x="476"/>
        <item x="339"/>
        <item x="553"/>
        <item x="516"/>
        <item x="60"/>
        <item x="443"/>
        <item x="11"/>
        <item x="41"/>
        <item x="403"/>
        <item x="76"/>
        <item x="78"/>
        <item x="533"/>
        <item x="170"/>
        <item x="416"/>
        <item x="279"/>
        <item x="331"/>
        <item x="572"/>
        <item x="343"/>
        <item x="580"/>
        <item x="483"/>
        <item x="193"/>
        <item x="284"/>
        <item x="450"/>
        <item x="273"/>
        <item x="486"/>
        <item x="137"/>
        <item x="74"/>
        <item x="166"/>
        <item x="23"/>
        <item x="270"/>
        <item x="37"/>
        <item x="619"/>
        <item x="352"/>
        <item x="612"/>
        <item x="292"/>
        <item x="87"/>
        <item x="338"/>
        <item x="175"/>
        <item x="605"/>
        <item x="421"/>
        <item x="535"/>
        <item x="563"/>
        <item x="554"/>
        <item x="75"/>
        <item x="92"/>
        <item x="323"/>
        <item x="448"/>
        <item x="222"/>
        <item x="520"/>
        <item x="552"/>
        <item x="461"/>
        <item x="117"/>
        <item x="159"/>
        <item x="49"/>
        <item x="22"/>
        <item x="5"/>
        <item x="595"/>
        <item x="459"/>
        <item x="2"/>
        <item x="227"/>
        <item x="504"/>
        <item x="239"/>
        <item x="506"/>
        <item x="146"/>
        <item x="107"/>
        <item x="253"/>
        <item x="604"/>
        <item x="543"/>
        <item x="547"/>
        <item x="306"/>
        <item x="118"/>
        <item x="263"/>
        <item x="172"/>
        <item x="616"/>
        <item x="494"/>
        <item x="621"/>
        <item x="336"/>
        <item x="472"/>
        <item x="165"/>
        <item x="420"/>
        <item x="315"/>
        <item x="164"/>
        <item x="544"/>
        <item x="469"/>
        <item x="370"/>
        <item x="282"/>
        <item x="375"/>
        <item x="57"/>
        <item x="410"/>
        <item x="13"/>
        <item x="35"/>
        <item x="303"/>
        <item x="555"/>
        <item x="458"/>
        <item x="40"/>
        <item x="139"/>
        <item x="113"/>
        <item x="167"/>
        <item x="251"/>
        <item x="111"/>
        <item x="61"/>
        <item x="584"/>
        <item x="502"/>
        <item x="505"/>
        <item x="521"/>
        <item x="65"/>
        <item x="126"/>
        <item x="171"/>
        <item x="178"/>
        <item x="232"/>
        <item x="599"/>
        <item x="400"/>
        <item x="568"/>
        <item x="265"/>
        <item x="408"/>
        <item x="423"/>
        <item x="560"/>
        <item x="380"/>
        <item x="594"/>
        <item x="570"/>
        <item x="525"/>
        <item x="119"/>
        <item x="530"/>
        <item x="545"/>
        <item x="396"/>
        <item x="628"/>
        <item x="592"/>
        <item x="237"/>
        <item x="194"/>
        <item x="229"/>
        <item x="341"/>
        <item x="152"/>
        <item x="391"/>
        <item x="44"/>
        <item x="453"/>
        <item x="330"/>
        <item x="363"/>
        <item x="70"/>
        <item x="307"/>
        <item x="155"/>
        <item x="153"/>
        <item x="98"/>
        <item x="464"/>
        <item x="485"/>
        <item x="335"/>
        <item x="615"/>
        <item x="103"/>
        <item x="185"/>
        <item x="47"/>
        <item x="90"/>
        <item x="281"/>
        <item x="511"/>
        <item x="351"/>
        <item x="385"/>
        <item x="247"/>
        <item x="393"/>
        <item x="258"/>
        <item x="0"/>
        <item x="150"/>
        <item x="484"/>
        <item x="610"/>
        <item x="565"/>
        <item x="366"/>
        <item x="123"/>
        <item x="59"/>
        <item x="285"/>
        <item x="532"/>
        <item x="573"/>
        <item x="267"/>
        <item x="114"/>
        <item x="48"/>
        <item x="558"/>
        <item x="319"/>
        <item x="327"/>
        <item x="88"/>
        <item x="387"/>
        <item x="174"/>
        <item x="26"/>
        <item x="606"/>
        <item x="374"/>
        <item x="122"/>
        <item x="526"/>
        <item x="440"/>
        <item x="67"/>
        <item x="94"/>
        <item x="378"/>
        <item x="479"/>
        <item x="108"/>
        <item x="36"/>
        <item x="262"/>
        <item x="576"/>
        <item x="220"/>
        <item x="355"/>
        <item x="460"/>
        <item x="527"/>
        <item x="242"/>
        <item x="96"/>
        <item x="62"/>
        <item x="205"/>
        <item x="577"/>
        <item x="438"/>
        <item x="223"/>
        <item x="512"/>
        <item x="235"/>
        <item x="206"/>
        <item x="559"/>
        <item x="624"/>
        <item x="28"/>
        <item x="198"/>
        <item x="209"/>
        <item x="347"/>
        <item x="301"/>
        <item x="244"/>
        <item x="519"/>
        <item x="406"/>
        <item x="499"/>
        <item x="609"/>
        <item x="228"/>
        <item x="348"/>
        <item x="596"/>
        <item x="291"/>
        <item x="63"/>
        <item x="316"/>
        <item x="358"/>
        <item x="39"/>
        <item x="415"/>
        <item x="444"/>
        <item x="426"/>
        <item x="534"/>
        <item x="226"/>
        <item x="463"/>
        <item x="490"/>
        <item x="561"/>
        <item x="158"/>
        <item x="121"/>
        <item x="413"/>
        <item x="515"/>
        <item x="383"/>
        <item x="32"/>
        <item x="541"/>
        <item x="302"/>
        <item x="381"/>
        <item x="495"/>
        <item x="357"/>
        <item x="204"/>
        <item x="548"/>
        <item x="233"/>
        <item x="510"/>
        <item x="4"/>
        <item x="212"/>
        <item x="14"/>
        <item x="439"/>
        <item x="278"/>
        <item x="80"/>
        <item x="332"/>
        <item x="578"/>
        <item x="379"/>
        <item x="260"/>
        <item x="200"/>
        <item x="132"/>
        <item x="575"/>
        <item x="425"/>
        <item x="173"/>
        <item x="501"/>
        <item x="567"/>
        <item x="397"/>
        <item x="451"/>
        <item x="325"/>
        <item x="183"/>
        <item x="349"/>
        <item x="333"/>
        <item x="446"/>
        <item x="268"/>
        <item x="241"/>
        <item x="68"/>
        <item x="56"/>
        <item x="110"/>
        <item x="83"/>
        <item x="320"/>
        <item x="435"/>
        <item x="465"/>
        <item x="564"/>
        <item x="177"/>
        <item x="620"/>
        <item x="455"/>
        <item x="73"/>
        <item x="184"/>
        <item x="50"/>
        <item x="441"/>
        <item x="462"/>
        <item x="246"/>
        <item x="372"/>
        <item x="419"/>
        <item x="442"/>
        <item x="551"/>
        <item x="19"/>
        <item x="84"/>
        <item x="622"/>
        <item x="359"/>
        <item x="91"/>
        <item x="199"/>
        <item x="447"/>
        <item x="135"/>
        <item x="376"/>
        <item x="542"/>
        <item x="513"/>
        <item x="99"/>
        <item x="467"/>
        <item x="131"/>
        <item x="314"/>
        <item x="234"/>
        <item x="364"/>
        <item x="470"/>
        <item x="589"/>
        <item x="134"/>
        <item x="321"/>
        <item x="136"/>
        <item x="38"/>
        <item x="248"/>
        <item x="588"/>
        <item x="407"/>
        <item x="404"/>
        <item x="328"/>
        <item x="531"/>
        <item x="290"/>
        <item x="556"/>
        <item x="151"/>
        <item x="540"/>
        <item x="585"/>
        <item x="581"/>
        <item x="488"/>
        <item x="373"/>
        <item x="6"/>
        <item x="192"/>
        <item x="66"/>
        <item x="382"/>
        <item x="147"/>
        <item x="52"/>
        <item x="517"/>
        <item x="608"/>
        <item x="231"/>
        <item x="432"/>
        <item x="254"/>
        <item x="54"/>
        <item x="124"/>
        <item x="324"/>
        <item x="53"/>
        <item x="245"/>
        <item x="272"/>
        <item x="313"/>
        <item x="500"/>
        <item x="112"/>
        <item x="518"/>
        <item x="79"/>
        <item x="309"/>
        <item x="8"/>
        <item x="7"/>
        <item x="549"/>
        <item x="308"/>
        <item x="86"/>
        <item x="582"/>
        <item x="168"/>
        <item x="17"/>
        <item x="250"/>
        <item x="354"/>
        <item x="436"/>
        <item x="18"/>
        <item x="163"/>
        <item x="427"/>
        <item x="30"/>
        <item x="127"/>
        <item x="509"/>
        <item x="522"/>
        <item x="95"/>
        <item x="217"/>
        <item x="546"/>
        <item x="81"/>
        <item x="414"/>
        <item x="252"/>
        <item x="474"/>
        <item x="598"/>
        <item x="197"/>
        <item x="129"/>
        <item x="350"/>
        <item x="508"/>
        <item x="10"/>
        <item x="475"/>
        <item x="89"/>
        <item x="15"/>
        <item x="277"/>
        <item x="299"/>
        <item x="369"/>
        <item x="64"/>
        <item x="101"/>
        <item x="286"/>
        <item x="626"/>
        <item x="600"/>
        <item x="195"/>
        <item x="342"/>
        <item x="574"/>
        <item x="211"/>
        <item x="611"/>
        <item x="346"/>
        <item x="283"/>
        <item x="418"/>
        <item x="287"/>
        <item x="602"/>
        <item x="69"/>
        <item x="120"/>
        <item x="428"/>
        <item x="259"/>
        <item x="304"/>
        <item x="523"/>
        <item x="181"/>
        <item x="392"/>
        <item x="148"/>
        <item x="399"/>
        <item x="208"/>
        <item x="497"/>
        <item x="100"/>
        <item x="362"/>
        <item x="203"/>
        <item x="430"/>
        <item x="236"/>
        <item x="538"/>
        <item x="390"/>
        <item x="344"/>
        <item x="367"/>
        <item x="296"/>
        <item x="219"/>
        <item x="191"/>
        <item x="503"/>
        <item x="58"/>
        <item x="627"/>
        <item x="45"/>
        <item x="480"/>
        <item x="562"/>
        <item x="3"/>
        <item x="384"/>
        <item x="597"/>
        <item x="255"/>
        <item x="433"/>
        <item x="326"/>
        <item x="46"/>
        <item x="269"/>
        <item x="468"/>
        <item x="179"/>
        <item x="202"/>
        <item x="224"/>
        <item x="145"/>
        <item x="77"/>
        <item x="312"/>
        <item x="300"/>
        <item x="144"/>
        <item x="176"/>
        <item x="345"/>
        <item x="353"/>
        <item x="601"/>
        <item x="264"/>
        <item x="536"/>
        <item x="618"/>
        <item x="386"/>
        <item x="405"/>
        <item x="24"/>
        <item x="449"/>
        <item x="51"/>
        <item x="294"/>
        <item x="138"/>
        <item x="507"/>
        <item x="256"/>
        <item x="493"/>
        <item x="489"/>
        <item x="97"/>
        <item x="566"/>
        <item x="529"/>
        <item x="210"/>
        <item x="218"/>
        <item x="125"/>
        <item x="394"/>
        <item x="196"/>
        <item x="524"/>
        <item x="130"/>
        <item x="1"/>
        <item x="471"/>
        <item x="310"/>
        <item x="157"/>
        <item x="43"/>
        <item x="434"/>
        <item x="128"/>
        <item x="295"/>
        <item x="398"/>
        <item x="240"/>
        <item x="156"/>
        <item x="365"/>
        <item x="142"/>
        <item x="579"/>
        <item x="104"/>
        <item x="93"/>
        <item x="221"/>
        <item x="115"/>
        <item x="106"/>
        <item x="190"/>
        <item x="402"/>
        <item x="317"/>
        <item x="182"/>
        <item x="72"/>
        <item x="201"/>
        <item x="583"/>
        <item x="105"/>
        <item x="411"/>
        <item x="377"/>
        <item x="322"/>
        <item x="417"/>
        <item x="587"/>
        <item x="161"/>
        <item x="266"/>
        <item x="261"/>
        <item x="456"/>
        <item x="149"/>
        <item x="466"/>
        <item x="603"/>
        <item x="482"/>
        <item x="487"/>
        <item x="593"/>
        <item x="102"/>
        <item x="34"/>
        <item x="496"/>
        <item x="187"/>
        <item x="288"/>
        <item x="20"/>
        <item x="492"/>
        <item x="437"/>
        <item x="389"/>
        <item x="27"/>
        <item x="454"/>
        <item x="16"/>
        <item x="293"/>
        <item x="388"/>
        <item x="25"/>
        <item x="230"/>
        <item x="412"/>
        <item x="12"/>
        <item x="143"/>
        <item x="213"/>
        <item x="249"/>
        <item x="422"/>
        <item x="31"/>
        <item x="481"/>
        <item x="623"/>
        <item x="207"/>
        <item x="514"/>
        <item x="539"/>
        <item x="329"/>
        <item x="590"/>
        <item x="71"/>
        <item x="271"/>
        <item x="361"/>
        <item x="613"/>
        <item x="169"/>
        <item x="431"/>
        <item x="401"/>
        <item x="160"/>
        <item x="477"/>
        <item x="591"/>
        <item x="280"/>
        <item x="395"/>
        <item x="334"/>
        <item x="186"/>
        <item x="625"/>
        <item x="452"/>
        <item x="478"/>
        <item x="617"/>
        <item x="429"/>
        <item x="257"/>
        <item x="356"/>
        <item x="340"/>
        <item x="243"/>
        <item x="537"/>
        <item x="21"/>
        <item x="629"/>
        <item x="225"/>
        <item x="162"/>
        <item x="276"/>
        <item x="188"/>
        <item x="82"/>
        <item x="550"/>
        <item x="586"/>
        <item x="29"/>
        <item x="33"/>
        <item x="274"/>
        <item x="216"/>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numFmtId="2" showAll="0"/>
    <pivotField numFmtId="10" showAll="0"/>
    <pivotField numFmtId="1" showAll="0"/>
    <pivotField numFmtId="2" showAll="0"/>
    <pivotField dataField="1" numFmtId="2" showAll="0"/>
    <pivotField numFmtId="2" showAll="0"/>
    <pivotField numFmtId="2" showAll="0"/>
    <pivotField numFmtId="2" showAll="0"/>
    <pivotField numFmtId="2" showAll="0"/>
    <pivotField numFmtId="9" showAll="0"/>
    <pivotField numFmtId="10" showAll="0"/>
    <pivotField showAll="0"/>
    <pivotField showAll="0"/>
  </pivotFields>
  <rowFields count="1">
    <field x="18"/>
  </rowFields>
  <rowItems count="631">
    <i>
      <x v="171"/>
    </i>
    <i>
      <x v="368"/>
    </i>
    <i>
      <x v="248"/>
    </i>
    <i>
      <x v="323"/>
    </i>
    <i>
      <x v="270"/>
    </i>
    <i>
      <x v="319"/>
    </i>
    <i>
      <x v="117"/>
    </i>
    <i>
      <x v="207"/>
    </i>
    <i>
      <x v="405"/>
    </i>
    <i>
      <x v="403"/>
    </i>
    <i>
      <x v="60"/>
    </i>
    <i>
      <x v="303"/>
    </i>
    <i>
      <x v="525"/>
    </i>
    <i>
      <x v="359"/>
    </i>
    <i>
      <x v="536"/>
    </i>
    <i>
      <x v="241"/>
    </i>
    <i>
      <x v="99"/>
    </i>
    <i>
      <x v="223"/>
    </i>
    <i>
      <x v="226"/>
    </i>
    <i>
      <x v="114"/>
    </i>
    <i>
      <x v="396"/>
    </i>
    <i>
      <x v="185"/>
    </i>
    <i>
      <x v="588"/>
    </i>
    <i>
      <x v="247"/>
    </i>
    <i>
      <x v="349"/>
    </i>
    <i>
      <x v="598"/>
    </i>
    <i>
      <x v="23"/>
    </i>
    <i>
      <x v="513"/>
    </i>
    <i>
      <x v="356"/>
    </i>
    <i>
      <x v="544"/>
    </i>
    <i>
      <x v="160"/>
    </i>
    <i>
      <x v="395"/>
    </i>
    <i>
      <x v="387"/>
    </i>
    <i>
      <x v="100"/>
    </i>
    <i>
      <x v="407"/>
    </i>
    <i>
      <x v="386"/>
    </i>
    <i>
      <x v="82"/>
    </i>
    <i>
      <x v="307"/>
    </i>
    <i>
      <x v="236"/>
    </i>
    <i>
      <x v="621"/>
    </i>
    <i>
      <x v="381"/>
    </i>
    <i>
      <x v="616"/>
    </i>
    <i>
      <x v="84"/>
    </i>
    <i>
      <x v="474"/>
    </i>
    <i>
      <x v="180"/>
    </i>
    <i>
      <x v="179"/>
    </i>
    <i>
      <x v="128"/>
    </i>
    <i>
      <x v="503"/>
    </i>
    <i>
      <x v="486"/>
    </i>
    <i>
      <x v="352"/>
    </i>
    <i>
      <x v="209"/>
    </i>
    <i>
      <x v="365"/>
    </i>
    <i>
      <x v="97"/>
    </i>
    <i>
      <x v="542"/>
    </i>
    <i>
      <x v="201"/>
    </i>
    <i>
      <x v="585"/>
    </i>
    <i>
      <x v="361"/>
    </i>
    <i>
      <x v="397"/>
    </i>
    <i>
      <x v="410"/>
    </i>
    <i>
      <x v="199"/>
    </i>
    <i>
      <x v="350"/>
    </i>
    <i>
      <x v="575"/>
    </i>
    <i>
      <x v="479"/>
    </i>
    <i>
      <x v="72"/>
    </i>
    <i>
      <x v="583"/>
    </i>
    <i>
      <x v="517"/>
    </i>
    <i>
      <x v="600"/>
    </i>
    <i>
      <x v="197"/>
    </i>
    <i>
      <x v="399"/>
    </i>
    <i>
      <x v="569"/>
    </i>
    <i>
      <x v="41"/>
    </i>
    <i>
      <x v="440"/>
    </i>
    <i>
      <x v="68"/>
    </i>
    <i>
      <x v="495"/>
    </i>
    <i>
      <x v="428"/>
    </i>
    <i>
      <x v="516"/>
    </i>
    <i>
      <x v="337"/>
    </i>
    <i>
      <x v="534"/>
    </i>
    <i>
      <x v="431"/>
    </i>
    <i>
      <x v="50"/>
    </i>
    <i>
      <x v="214"/>
    </i>
    <i>
      <x v="246"/>
    </i>
    <i>
      <x v="158"/>
    </i>
    <i>
      <x v="489"/>
    </i>
    <i>
      <x v="563"/>
    </i>
    <i>
      <x v="90"/>
    </i>
    <i>
      <x v="402"/>
    </i>
    <i>
      <x v="446"/>
    </i>
    <i>
      <x v="81"/>
    </i>
    <i>
      <x v="476"/>
    </i>
    <i>
      <x v="371"/>
    </i>
    <i>
      <x v="367"/>
    </i>
    <i>
      <x v="145"/>
    </i>
    <i>
      <x v="296"/>
    </i>
    <i>
      <x v="63"/>
    </i>
    <i>
      <x v="623"/>
    </i>
    <i>
      <x v="299"/>
    </i>
    <i>
      <x v="232"/>
    </i>
    <i>
      <x v="413"/>
    </i>
    <i>
      <x v="6"/>
    </i>
    <i>
      <x v="318"/>
    </i>
    <i>
      <x v="508"/>
    </i>
    <i>
      <x v="317"/>
    </i>
    <i>
      <x v="355"/>
    </i>
    <i>
      <x v="338"/>
    </i>
    <i>
      <x v="552"/>
    </i>
    <i>
      <x v="360"/>
    </i>
    <i>
      <x v="237"/>
    </i>
    <i>
      <x v="394"/>
    </i>
    <i>
      <x v="252"/>
    </i>
    <i>
      <x v="392"/>
    </i>
    <i>
      <x v="229"/>
    </i>
    <i>
      <x v="601"/>
    </i>
    <i>
      <x v="456"/>
    </i>
    <i>
      <x v="282"/>
    </i>
    <i>
      <x v="522"/>
    </i>
    <i>
      <x v="502"/>
    </i>
    <i>
      <x v="533"/>
    </i>
    <i>
      <x v="10"/>
    </i>
    <i>
      <x v="505"/>
    </i>
    <i>
      <x v="548"/>
    </i>
    <i>
      <x v="332"/>
    </i>
    <i>
      <x v="250"/>
    </i>
    <i>
      <x v="151"/>
    </i>
    <i>
      <x v="143"/>
    </i>
    <i>
      <x v="281"/>
    </i>
    <i>
      <x v="95"/>
    </i>
    <i>
      <x v="518"/>
    </i>
    <i>
      <x v="531"/>
    </i>
    <i>
      <x v="124"/>
    </i>
    <i>
      <x v="56"/>
    </i>
    <i>
      <x v="44"/>
    </i>
    <i>
      <x v="53"/>
    </i>
    <i>
      <x v="340"/>
    </i>
    <i>
      <x v="200"/>
    </i>
    <i>
      <x v="478"/>
    </i>
    <i>
      <x v="266"/>
    </i>
    <i>
      <x v="259"/>
    </i>
    <i>
      <x v="108"/>
    </i>
    <i>
      <x v="596"/>
    </i>
    <i>
      <x v="369"/>
    </i>
    <i>
      <x v="174"/>
    </i>
    <i>
      <x v="300"/>
    </i>
    <i>
      <x v="205"/>
    </i>
    <i>
      <x v="549"/>
    </i>
    <i>
      <x v="448"/>
    </i>
    <i>
      <x v="120"/>
    </i>
    <i>
      <x v="353"/>
    </i>
    <i>
      <x v="580"/>
    </i>
    <i>
      <x v="172"/>
    </i>
    <i>
      <x v="260"/>
    </i>
    <i>
      <x v="105"/>
    </i>
    <i>
      <x v="275"/>
    </i>
    <i>
      <x v="239"/>
    </i>
    <i>
      <x v="111"/>
    </i>
    <i>
      <x v="59"/>
    </i>
    <i>
      <x v="443"/>
    </i>
    <i>
      <x v="218"/>
    </i>
    <i>
      <x v="116"/>
    </i>
    <i>
      <x v="255"/>
    </i>
    <i>
      <x v="147"/>
    </i>
    <i>
      <x v="451"/>
    </i>
    <i>
      <x v="86"/>
    </i>
    <i>
      <x v="75"/>
    </i>
    <i>
      <x v="26"/>
    </i>
    <i>
      <x v="321"/>
    </i>
    <i>
      <x v="286"/>
    </i>
    <i>
      <x v="123"/>
    </i>
    <i>
      <x v="473"/>
    </i>
    <i>
      <x v="12"/>
    </i>
    <i>
      <x v="33"/>
    </i>
    <i>
      <x v="619"/>
    </i>
    <i>
      <x v="523"/>
    </i>
    <i>
      <x v="538"/>
    </i>
    <i>
      <x v="193"/>
    </i>
    <i>
      <x v="351"/>
    </i>
    <i>
      <x v="375"/>
    </i>
    <i>
      <x v="137"/>
    </i>
    <i>
      <x v="526"/>
    </i>
    <i>
      <x v="622"/>
    </i>
    <i>
      <x v="610"/>
    </i>
    <i>
      <x v="152"/>
    </i>
    <i>
      <x v="501"/>
    </i>
    <i>
      <x v="225"/>
    </i>
    <i>
      <x v="487"/>
    </i>
    <i>
      <x v="414"/>
    </i>
    <i>
      <x v="493"/>
    </i>
    <i>
      <x v="540"/>
    </i>
    <i>
      <x v="183"/>
    </i>
    <i>
      <x v="83"/>
    </i>
    <i>
      <x v="298"/>
    </i>
    <i>
      <x v="217"/>
    </i>
    <i>
      <x v="244"/>
    </i>
    <i>
      <x v="49"/>
    </i>
    <i>
      <x v="435"/>
    </i>
    <i>
      <x v="79"/>
    </i>
    <i>
      <x v="567"/>
    </i>
    <i>
      <x v="437"/>
    </i>
    <i>
      <x v="378"/>
    </i>
    <i>
      <x v="166"/>
    </i>
    <i>
      <x v="251"/>
    </i>
    <i>
      <x v="460"/>
    </i>
    <i>
      <x v="32"/>
    </i>
    <i>
      <x v="188"/>
    </i>
    <i>
      <x v="497"/>
    </i>
    <i>
      <x v="221"/>
    </i>
    <i>
      <x v="463"/>
    </i>
    <i>
      <x v="524"/>
    </i>
    <i>
      <x v="203"/>
    </i>
    <i>
      <x v="125"/>
    </i>
    <i>
      <x v="40"/>
    </i>
    <i>
      <x v="157"/>
    </i>
    <i>
      <x v="415"/>
    </i>
    <i>
      <x v="242"/>
    </i>
    <i>
      <x v="110"/>
    </i>
    <i>
      <x v="401"/>
    </i>
    <i>
      <x v="629"/>
    </i>
    <i>
      <x v="624"/>
    </i>
    <i>
      <x v="118"/>
    </i>
    <i>
      <x v="568"/>
    </i>
    <i>
      <x v="14"/>
    </i>
    <i>
      <x v="618"/>
    </i>
    <i>
      <x v="140"/>
    </i>
    <i>
      <x v="78"/>
    </i>
    <i>
      <x v="379"/>
    </i>
    <i>
      <x v="295"/>
    </i>
    <i>
      <x v="175"/>
    </i>
    <i>
      <x v="139"/>
    </i>
    <i>
      <x v="224"/>
    </i>
    <i>
      <x v="308"/>
    </i>
    <i>
      <x v="578"/>
    </i>
    <i>
      <x v="604"/>
    </i>
    <i>
      <x v="4"/>
    </i>
    <i>
      <x v="98"/>
    </i>
    <i>
      <x v="449"/>
    </i>
    <i>
      <x v="541"/>
    </i>
    <i>
      <x v="347"/>
    </i>
    <i>
      <x v="291"/>
    </i>
    <i>
      <x v="388"/>
    </i>
    <i>
      <x v="553"/>
    </i>
    <i>
      <x v="528"/>
    </i>
    <i>
      <x v="312"/>
    </i>
    <i>
      <x v="468"/>
    </i>
    <i>
      <x v="315"/>
    </i>
    <i>
      <x v="389"/>
    </i>
    <i>
      <x v="507"/>
    </i>
    <i>
      <x v="80"/>
    </i>
    <i>
      <x v="70"/>
    </i>
    <i>
      <x v="48"/>
    </i>
    <i>
      <x v="584"/>
    </i>
    <i>
      <x v="573"/>
    </i>
    <i>
      <x v="29"/>
    </i>
    <i>
      <x v="257"/>
    </i>
    <i>
      <x v="253"/>
    </i>
    <i>
      <x v="91"/>
    </i>
    <i>
      <x v="243"/>
    </i>
    <i>
      <x v="104"/>
    </i>
    <i>
      <x v="383"/>
    </i>
    <i>
      <x v="329"/>
    </i>
    <i>
      <x v="416"/>
    </i>
    <i>
      <x v="235"/>
    </i>
    <i>
      <x v="602"/>
    </i>
    <i>
      <x v="461"/>
    </i>
    <i>
      <x v="227"/>
    </i>
    <i>
      <x v="57"/>
    </i>
    <i>
      <x v="560"/>
    </i>
    <i>
      <x v="594"/>
    </i>
    <i>
      <x v="76"/>
    </i>
    <i>
      <x v="322"/>
    </i>
    <i>
      <x v="18"/>
    </i>
    <i>
      <x v="514"/>
    </i>
    <i>
      <x v="314"/>
    </i>
    <i>
      <x v="181"/>
    </i>
    <i>
      <x v="5"/>
    </i>
    <i>
      <x v="320"/>
    </i>
    <i>
      <x v="163"/>
    </i>
    <i>
      <x v="406"/>
    </i>
    <i>
      <x v="162"/>
    </i>
    <i>
      <x v="213"/>
    </i>
    <i>
      <x v="94"/>
    </i>
    <i>
      <x v="382"/>
    </i>
    <i>
      <x v="67"/>
    </i>
    <i>
      <x v="228"/>
    </i>
    <i>
      <x v="233"/>
    </i>
    <i>
      <x v="204"/>
    </i>
    <i>
      <x v="127"/>
    </i>
    <i>
      <x v="283"/>
    </i>
    <i>
      <x v="268"/>
    </i>
    <i>
      <x v="58"/>
    </i>
    <i>
      <x v="593"/>
    </i>
    <i>
      <x v="258"/>
    </i>
    <i>
      <x v="148"/>
    </i>
    <i>
      <x v="121"/>
    </i>
    <i>
      <x v="65"/>
    </i>
    <i>
      <x v="422"/>
    </i>
    <i>
      <x v="285"/>
    </i>
    <i>
      <x v="297"/>
    </i>
    <i>
      <x v="545"/>
    </i>
    <i>
      <x v="182"/>
    </i>
    <i>
      <x v="357"/>
    </i>
    <i>
      <x v="521"/>
    </i>
    <i>
      <x v="554"/>
    </i>
    <i>
      <x v="54"/>
    </i>
    <i>
      <x v="469"/>
    </i>
    <i>
      <x v="532"/>
    </i>
    <i>
      <x v="543"/>
    </i>
    <i>
      <x v="269"/>
    </i>
    <i>
      <x v="220"/>
    </i>
    <i>
      <x v="452"/>
    </i>
    <i>
      <x v="500"/>
    </i>
    <i>
      <x v="189"/>
    </i>
    <i>
      <x v="346"/>
    </i>
    <i>
      <x v="156"/>
    </i>
    <i>
      <x v="475"/>
    </i>
    <i>
      <x v="385"/>
    </i>
    <i>
      <x v="159"/>
    </i>
    <i>
      <x v="9"/>
    </i>
    <i>
      <x v="565"/>
    </i>
    <i>
      <x v="165"/>
    </i>
    <i>
      <x v="485"/>
    </i>
    <i>
      <x v="511"/>
    </i>
    <i>
      <x v="64"/>
    </i>
    <i>
      <x v="558"/>
    </i>
    <i>
      <x v="343"/>
    </i>
    <i>
      <x v="280"/>
    </i>
    <i>
      <x v="133"/>
    </i>
    <i>
      <x v="249"/>
    </i>
    <i>
      <x v="613"/>
    </i>
    <i>
      <x v="535"/>
    </i>
    <i>
      <x v="480"/>
    </i>
    <i>
      <x v="462"/>
    </i>
    <i>
      <x v="22"/>
    </i>
    <i>
      <x v="39"/>
    </i>
    <i>
      <x v="607"/>
    </i>
    <i>
      <x v="512"/>
    </i>
    <i>
      <x v="316"/>
    </i>
    <i>
      <x v="36"/>
    </i>
    <i>
      <x v="3"/>
    </i>
    <i>
      <x v="527"/>
    </i>
    <i>
      <x v="208"/>
    </i>
    <i>
      <x v="423"/>
    </i>
    <i>
      <x v="398"/>
    </i>
    <i>
      <x v="427"/>
    </i>
    <i>
      <x v="1"/>
    </i>
    <i>
      <x v="625"/>
    </i>
    <i>
      <x v="19"/>
    </i>
    <i>
      <x v="358"/>
    </i>
    <i>
      <x v="324"/>
    </i>
    <i>
      <x v="574"/>
    </i>
    <i>
      <x v="169"/>
    </i>
    <i>
      <x v="620"/>
    </i>
    <i>
      <x v="28"/>
    </i>
    <i>
      <x v="37"/>
    </i>
    <i>
      <x v="499"/>
    </i>
    <i>
      <x v="617"/>
    </i>
    <i>
      <x v="409"/>
    </i>
    <i>
      <x v="373"/>
    </i>
    <i>
      <x v="590"/>
    </i>
    <i>
      <x v="439"/>
    </i>
    <i>
      <x v="561"/>
    </i>
    <i>
      <x v="591"/>
    </i>
    <i>
      <x v="211"/>
    </i>
    <i>
      <x v="16"/>
    </i>
    <i>
      <x v="390"/>
    </i>
    <i>
      <x v="149"/>
    </i>
    <i>
      <x v="192"/>
    </i>
    <i>
      <x v="186"/>
    </i>
    <i>
      <x v="113"/>
    </i>
    <i>
      <x v="464"/>
    </i>
    <i>
      <x v="419"/>
    </i>
    <i>
      <x v="492"/>
    </i>
    <i>
      <x v="615"/>
    </i>
    <i>
      <x v="288"/>
    </i>
    <i>
      <x v="364"/>
    </i>
    <i>
      <x v="432"/>
    </i>
    <i>
      <x v="334"/>
    </i>
    <i>
      <x v="273"/>
    </i>
    <i>
      <x v="490"/>
    </i>
    <i>
      <x v="46"/>
    </i>
    <i>
      <x v="444"/>
    </i>
    <i>
      <x v="155"/>
    </i>
    <i>
      <x v="132"/>
    </i>
    <i>
      <x v="142"/>
    </i>
    <i>
      <x v="418"/>
    </i>
    <i>
      <x v="191"/>
    </i>
    <i>
      <x v="115"/>
    </i>
    <i>
      <x v="119"/>
    </i>
    <i>
      <x v="429"/>
    </i>
    <i>
      <x v="327"/>
    </i>
    <i>
      <x v="310"/>
    </i>
    <i>
      <x v="271"/>
    </i>
    <i>
      <x v="20"/>
    </i>
    <i>
      <x v="421"/>
    </i>
    <i>
      <x v="77"/>
    </i>
    <i>
      <x v="290"/>
    </i>
    <i>
      <x v="231"/>
    </i>
    <i>
      <x v="313"/>
    </i>
    <i>
      <x v="69"/>
    </i>
    <i>
      <x v="380"/>
    </i>
    <i>
      <x v="254"/>
    </i>
    <i>
      <x v="272"/>
    </i>
    <i>
      <x v="547"/>
    </i>
    <i>
      <x v="366"/>
    </i>
    <i>
      <x v="219"/>
    </i>
    <i>
      <x v="510"/>
    </i>
    <i>
      <x v="430"/>
    </i>
    <i>
      <x v="484"/>
    </i>
    <i>
      <x v="129"/>
    </i>
    <i>
      <x v="481"/>
    </i>
    <i>
      <x v="21"/>
    </i>
    <i>
      <x v="586"/>
    </i>
    <i>
      <x v="301"/>
    </i>
    <i>
      <x v="52"/>
    </i>
    <i>
      <x v="168"/>
    </i>
    <i>
      <x v="412"/>
    </i>
    <i>
      <x v="264"/>
    </i>
    <i>
      <x v="302"/>
    </i>
    <i>
      <x v="85"/>
    </i>
    <i>
      <x v="595"/>
    </i>
    <i>
      <x v="215"/>
    </i>
    <i>
      <x v="11"/>
    </i>
    <i>
      <x v="31"/>
    </i>
    <i>
      <x v="8"/>
    </i>
    <i>
      <x v="393"/>
    </i>
    <i>
      <x v="626"/>
    </i>
    <i>
      <x v="599"/>
    </i>
    <i>
      <x v="520"/>
    </i>
    <i>
      <x v="138"/>
    </i>
    <i>
      <x v="7"/>
    </i>
    <i>
      <x v="167"/>
    </i>
    <i>
      <x v="311"/>
    </i>
    <i>
      <x v="35"/>
    </i>
    <i>
      <x v="425"/>
    </i>
    <i>
      <x v="504"/>
    </i>
    <i>
      <x v="546"/>
    </i>
    <i>
      <x v="262"/>
    </i>
    <i>
      <x v="25"/>
    </i>
    <i>
      <x v="305"/>
    </i>
    <i>
      <x v="184"/>
    </i>
    <i>
      <x v="216"/>
    </i>
    <i>
      <x v="551"/>
    </i>
    <i>
      <x v="459"/>
    </i>
    <i>
      <x v="537"/>
    </i>
    <i>
      <x v="88"/>
    </i>
    <i>
      <x v="328"/>
    </i>
    <i>
      <x v="176"/>
    </i>
    <i>
      <x v="34"/>
    </i>
    <i>
      <x v="154"/>
    </i>
    <i>
      <x v="453"/>
    </i>
    <i>
      <x v="134"/>
    </i>
    <i>
      <x v="562"/>
    </i>
    <i>
      <x v="417"/>
    </i>
    <i>
      <x v="579"/>
    </i>
    <i>
      <x v="342"/>
    </i>
    <i>
      <x v="103"/>
    </i>
    <i>
      <x v="210"/>
    </i>
    <i>
      <x v="161"/>
    </i>
    <i>
      <x v="279"/>
    </i>
    <i>
      <x v="92"/>
    </i>
    <i>
      <x v="71"/>
    </i>
    <i>
      <x v="102"/>
    </i>
    <i>
      <x v="277"/>
    </i>
    <i>
      <x v="17"/>
    </i>
    <i>
      <x v="566"/>
    </i>
    <i>
      <x v="212"/>
    </i>
    <i>
      <x v="455"/>
    </i>
    <i>
      <x v="238"/>
    </i>
    <i>
      <x v="344"/>
    </i>
    <i>
      <x v="263"/>
    </i>
    <i>
      <x v="122"/>
    </i>
    <i>
      <x v="2"/>
    </i>
    <i>
      <x v="325"/>
    </i>
    <i>
      <x v="436"/>
    </i>
    <i>
      <x v="47"/>
    </i>
    <i>
      <x v="498"/>
    </i>
    <i>
      <x v="572"/>
    </i>
    <i>
      <x v="550"/>
    </i>
    <i>
      <x v="107"/>
    </i>
    <i>
      <x v="362"/>
    </i>
    <i>
      <x v="230"/>
    </i>
    <i>
      <x v="304"/>
    </i>
    <i>
      <x v="256"/>
    </i>
    <i>
      <x v="472"/>
    </i>
    <i>
      <x v="447"/>
    </i>
    <i>
      <x v="488"/>
    </i>
    <i>
      <x v="454"/>
    </i>
    <i>
      <x v="287"/>
    </i>
    <i>
      <x v="261"/>
    </i>
    <i>
      <x v="112"/>
    </i>
    <i>
      <x v="333"/>
    </i>
    <i>
      <x v="164"/>
    </i>
    <i>
      <x v="467"/>
    </i>
    <i>
      <x v="265"/>
    </i>
    <i>
      <x v="335"/>
    </i>
    <i>
      <x v="483"/>
    </i>
    <i>
      <x v="55"/>
    </i>
    <i>
      <x v="557"/>
    </i>
    <i>
      <x v="74"/>
    </i>
    <i>
      <x v="341"/>
    </i>
    <i>
      <x v="240"/>
    </i>
    <i>
      <x v="611"/>
    </i>
    <i>
      <x v="43"/>
    </i>
    <i>
      <x v="15"/>
    </i>
    <i>
      <x v="555"/>
    </i>
    <i>
      <x v="153"/>
    </i>
    <i>
      <x v="571"/>
    </i>
    <i>
      <x v="131"/>
    </i>
    <i>
      <x v="608"/>
    </i>
    <i>
      <x v="38"/>
    </i>
    <i>
      <x v="627"/>
    </i>
    <i>
      <x v="570"/>
    </i>
    <i>
      <x v="330"/>
    </i>
    <i>
      <x v="509"/>
    </i>
    <i>
      <x v="376"/>
    </i>
    <i>
      <x v="605"/>
    </i>
    <i>
      <x v="222"/>
    </i>
    <i>
      <x v="170"/>
    </i>
    <i>
      <x v="245"/>
    </i>
    <i>
      <x v="609"/>
    </i>
    <i>
      <x v="195"/>
    </i>
    <i>
      <x v="603"/>
    </i>
    <i>
      <x v="612"/>
    </i>
    <i>
      <x v="62"/>
    </i>
    <i>
      <x v="597"/>
    </i>
    <i>
      <x v="581"/>
    </i>
    <i>
      <x v="496"/>
    </i>
    <i>
      <x v="494"/>
    </i>
    <i>
      <x v="404"/>
    </i>
    <i>
      <x v="202"/>
    </i>
    <i>
      <x v="445"/>
    </i>
    <i>
      <x v="187"/>
    </i>
    <i>
      <x v="194"/>
    </i>
    <i>
      <x v="450"/>
    </i>
    <i>
      <x v="384"/>
    </i>
    <i>
      <x v="374"/>
    </i>
    <i>
      <x v="198"/>
    </i>
    <i>
      <x v="592"/>
    </i>
    <i>
      <x v="109"/>
    </i>
    <i>
      <x v="457"/>
    </i>
    <i>
      <x v="144"/>
    </i>
    <i>
      <x v="426"/>
    </i>
    <i>
      <x v="293"/>
    </i>
    <i>
      <x v="433"/>
    </i>
    <i>
      <x v="564"/>
    </i>
    <i>
      <x v="73"/>
    </i>
    <i>
      <x v="348"/>
    </i>
    <i>
      <x v="477"/>
    </i>
    <i>
      <x v="336"/>
    </i>
    <i>
      <x v="529"/>
    </i>
    <i>
      <x v="372"/>
    </i>
    <i>
      <x v="577"/>
    </i>
    <i>
      <x v="66"/>
    </i>
    <i>
      <x v="470"/>
    </i>
    <i>
      <x v="339"/>
    </i>
    <i>
      <x v="491"/>
    </i>
    <i>
      <x v="530"/>
    </i>
    <i>
      <x v="206"/>
    </i>
    <i>
      <x v="370"/>
    </i>
    <i>
      <x v="130"/>
    </i>
    <i>
      <x v="424"/>
    </i>
    <i>
      <x v="89"/>
    </i>
    <i>
      <x v="274"/>
    </i>
    <i>
      <x v="442"/>
    </i>
    <i>
      <x v="539"/>
    </i>
    <i>
      <x v="42"/>
    </i>
    <i>
      <x v="93"/>
    </i>
    <i>
      <x v="101"/>
    </i>
    <i>
      <x v="515"/>
    </i>
    <i>
      <x v="556"/>
    </i>
    <i>
      <x v="420"/>
    </i>
    <i>
      <x v="606"/>
    </i>
    <i>
      <x v="400"/>
    </i>
    <i>
      <x v="292"/>
    </i>
    <i>
      <x v="136"/>
    </i>
    <i>
      <x v="326"/>
    </i>
    <i>
      <x v="331"/>
    </i>
    <i>
      <x v="559"/>
    </i>
    <i>
      <x v="146"/>
    </i>
    <i>
      <x v="411"/>
    </i>
    <i>
      <x v="106"/>
    </i>
    <i>
      <x v="306"/>
    </i>
    <i>
      <x v="24"/>
    </i>
    <i>
      <x v="377"/>
    </i>
    <i>
      <x/>
    </i>
    <i>
      <x v="628"/>
    </i>
    <i>
      <x v="363"/>
    </i>
    <i>
      <x v="614"/>
    </i>
    <i>
      <x v="408"/>
    </i>
    <i>
      <x v="45"/>
    </i>
    <i>
      <x v="27"/>
    </i>
    <i>
      <x v="178"/>
    </i>
    <i>
      <x v="51"/>
    </i>
    <i>
      <x v="30"/>
    </i>
    <i>
      <x v="354"/>
    </i>
    <i>
      <x v="135"/>
    </i>
    <i>
      <x v="141"/>
    </i>
    <i>
      <x v="289"/>
    </i>
    <i>
      <x v="471"/>
    </i>
    <i>
      <x v="589"/>
    </i>
    <i>
      <x v="576"/>
    </i>
    <i>
      <x v="582"/>
    </i>
    <i>
      <x v="177"/>
    </i>
    <i>
      <x v="587"/>
    </i>
    <i>
      <x v="441"/>
    </i>
    <i>
      <x v="150"/>
    </i>
    <i>
      <x v="278"/>
    </i>
    <i>
      <x v="458"/>
    </i>
    <i>
      <x v="276"/>
    </i>
    <i>
      <x v="294"/>
    </i>
    <i>
      <x v="190"/>
    </i>
    <i>
      <x v="466"/>
    </i>
    <i>
      <x v="87"/>
    </i>
    <i>
      <x v="345"/>
    </i>
    <i>
      <x v="284"/>
    </i>
    <i>
      <x v="519"/>
    </i>
    <i>
      <x v="126"/>
    </i>
    <i>
      <x v="234"/>
    </i>
    <i>
      <x v="482"/>
    </i>
    <i>
      <x v="173"/>
    </i>
    <i>
      <x v="434"/>
    </i>
    <i>
      <x v="13"/>
    </i>
    <i>
      <x v="196"/>
    </i>
    <i>
      <x v="438"/>
    </i>
    <i>
      <x v="267"/>
    </i>
    <i>
      <x v="506"/>
    </i>
    <i>
      <x v="96"/>
    </i>
    <i>
      <x v="465"/>
    </i>
    <i>
      <x v="309"/>
    </i>
    <i>
      <x v="391"/>
    </i>
    <i>
      <x v="61"/>
    </i>
    <i t="grand">
      <x/>
    </i>
  </rowItems>
  <colItems count="1">
    <i/>
  </colItems>
  <dataFields count="1">
    <dataField name="Sum of Gross Revenue(KES)" fld="26" baseField="18" baseItem="0" numFmtId="2"/>
  </dataFields>
  <conditionalFormats count="1">
    <conditionalFormat type="all" priority="1">
      <pivotAreas count="1">
        <pivotArea type="data" collapsedLevelsAreSubtotals="1" fieldPosition="0">
          <references count="2">
            <reference field="4294967294" count="1" selected="0">
              <x v="0"/>
            </reference>
            <reference field="18" count="63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12DB9F-C4FF-48F8-B619-6E99556F5D7F}"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2">
    <pivotField axis="axisRow" showAll="0">
      <items count="11">
        <item x="6"/>
        <item x="0"/>
        <item x="7"/>
        <item x="2"/>
        <item x="4"/>
        <item x="5"/>
        <item x="3"/>
        <item x="1"/>
        <item x="9"/>
        <item x="8"/>
        <item t="default"/>
      </items>
    </pivotField>
    <pivotField dataField="1" numFmtId="2" showAll="0"/>
  </pivotFields>
  <rowFields count="1">
    <field x="0"/>
  </rowFields>
  <rowItems count="11">
    <i>
      <x/>
    </i>
    <i>
      <x v="1"/>
    </i>
    <i>
      <x v="2"/>
    </i>
    <i>
      <x v="3"/>
    </i>
    <i>
      <x v="4"/>
    </i>
    <i>
      <x v="5"/>
    </i>
    <i>
      <x v="6"/>
    </i>
    <i>
      <x v="7"/>
    </i>
    <i>
      <x v="8"/>
    </i>
    <i>
      <x v="9"/>
    </i>
    <i t="grand">
      <x/>
    </i>
  </rowItems>
  <colItems count="1">
    <i/>
  </colItems>
  <dataFields count="1">
    <dataField name="Sum of Sum of Gross Revenue(KES)" fld="1" baseField="0" baseItem="0" numFmtId="2"/>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54AF05-8716-4808-A00E-07177FA671C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9" firstHeaderRow="0" firstDataRow="1" firstDataCol="1"/>
  <pivotFields count="35">
    <pivotField showAll="0"/>
    <pivotField numFmtId="17" showAll="0"/>
    <pivotField showAll="0"/>
    <pivotField showAll="0"/>
    <pivotField showAll="0"/>
    <pivotField numFmtId="14" showAll="0"/>
    <pivotField numFmtId="14" showAll="0"/>
    <pivotField numFmtId="14" showAll="0"/>
    <pivotField showAll="0"/>
    <pivotField numFmtId="1" showAll="0"/>
    <pivotField numFmtId="1" showAll="0"/>
    <pivotField showAll="0">
      <items count="5">
        <item x="3"/>
        <item x="2"/>
        <item x="0"/>
        <item x="1"/>
        <item t="default"/>
      </items>
    </pivotField>
    <pivotField showAll="0">
      <items count="13">
        <item x="6"/>
        <item x="2"/>
        <item x="3"/>
        <item x="8"/>
        <item x="1"/>
        <item x="4"/>
        <item x="0"/>
        <item x="5"/>
        <item x="9"/>
        <item x="11"/>
        <item x="7"/>
        <item x="10"/>
        <item t="default"/>
      </items>
    </pivotField>
    <pivotField showAll="0"/>
    <pivotField showAll="0"/>
    <pivotField axis="axisRow" showAll="0">
      <items count="6">
        <item x="3"/>
        <item x="0"/>
        <item x="4"/>
        <item x="2"/>
        <item x="1"/>
        <item t="default"/>
      </items>
    </pivotField>
    <pivotField showAll="0">
      <items count="17">
        <item x="3"/>
        <item x="11"/>
        <item x="4"/>
        <item x="10"/>
        <item x="2"/>
        <item x="9"/>
        <item x="12"/>
        <item x="14"/>
        <item x="15"/>
        <item x="7"/>
        <item x="5"/>
        <item x="8"/>
        <item x="1"/>
        <item x="13"/>
        <item x="0"/>
        <item x="6"/>
        <item t="default"/>
      </items>
    </pivotField>
    <pivotField showAll="0"/>
    <pivotField showAll="0"/>
    <pivotField numFmtId="164" showAll="0"/>
    <pivotField showAll="0"/>
    <pivotField showAll="0"/>
    <pivotField numFmtId="2" showAll="0"/>
    <pivotField numFmtId="10" showAll="0"/>
    <pivotField numFmtId="1" showAll="0"/>
    <pivotField numFmtId="2" showAll="0"/>
    <pivotField dataField="1" numFmtId="2" showAll="0"/>
    <pivotField numFmtId="2" showAll="0"/>
    <pivotField numFmtId="2" showAll="0"/>
    <pivotField dataField="1" numFmtId="2" showAll="0"/>
    <pivotField numFmtId="2" showAll="0"/>
    <pivotField numFmtId="9" showAll="0"/>
    <pivotField numFmtId="10" showAll="0"/>
    <pivotField showAll="0"/>
    <pivotField showAll="0"/>
  </pivotFields>
  <rowFields count="1">
    <field x="15"/>
  </rowFields>
  <rowItems count="6">
    <i>
      <x/>
    </i>
    <i>
      <x v="1"/>
    </i>
    <i>
      <x v="2"/>
    </i>
    <i>
      <x v="3"/>
    </i>
    <i>
      <x v="4"/>
    </i>
    <i t="grand">
      <x/>
    </i>
  </rowItems>
  <colFields count="1">
    <field x="-2"/>
  </colFields>
  <colItems count="2">
    <i>
      <x/>
    </i>
    <i i="1">
      <x v="1"/>
    </i>
  </colItems>
  <dataFields count="2">
    <dataField name="Sum of Gross Revenue(KES)" fld="26" baseField="0" baseItem="0" numFmtId="2"/>
    <dataField name="Sum of Gross Profit(KES)" fld="29" baseField="0"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0212E4-2EC9-42DF-82F7-63C261167EAB}"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4" firstHeaderRow="0" firstDataRow="1" firstDataCol="1"/>
  <pivotFields count="35">
    <pivotField dataField="1" showAll="0"/>
    <pivotField numFmtId="17" showAll="0"/>
    <pivotField showAll="0"/>
    <pivotField showAll="0"/>
    <pivotField showAll="0"/>
    <pivotField numFmtId="14" showAll="0"/>
    <pivotField numFmtId="14" showAll="0"/>
    <pivotField numFmtId="14" showAll="0"/>
    <pivotField axis="axisRow" dataField="1" showAll="0">
      <items count="3">
        <item x="0"/>
        <item x="1"/>
        <item t="default"/>
      </items>
    </pivotField>
    <pivotField numFmtId="1" showAll="0"/>
    <pivotField numFmtId="1" showAll="0"/>
    <pivotField axis="axisRow" showAll="0">
      <items count="5">
        <item x="3"/>
        <item x="2"/>
        <item x="0"/>
        <item x="1"/>
        <item t="default"/>
      </items>
    </pivotField>
    <pivotField showAll="0">
      <items count="13">
        <item x="6"/>
        <item x="2"/>
        <item x="3"/>
        <item x="8"/>
        <item x="1"/>
        <item x="4"/>
        <item x="0"/>
        <item x="5"/>
        <item x="9"/>
        <item x="11"/>
        <item x="7"/>
        <item x="10"/>
        <item t="default"/>
      </items>
    </pivotField>
    <pivotField showAll="0"/>
    <pivotField showAll="0"/>
    <pivotField showAll="0"/>
    <pivotField showAll="0">
      <items count="17">
        <item x="3"/>
        <item x="11"/>
        <item x="4"/>
        <item x="10"/>
        <item x="2"/>
        <item x="9"/>
        <item x="12"/>
        <item x="14"/>
        <item x="15"/>
        <item x="7"/>
        <item x="5"/>
        <item x="8"/>
        <item x="1"/>
        <item x="13"/>
        <item x="0"/>
        <item x="6"/>
        <item t="default"/>
      </items>
    </pivotField>
    <pivotField showAll="0">
      <items count="8">
        <item h="1" x="5"/>
        <item x="2"/>
        <item h="1" x="0"/>
        <item h="1" x="3"/>
        <item h="1" x="4"/>
        <item h="1" x="1"/>
        <item h="1" x="6"/>
        <item t="default"/>
      </items>
    </pivotField>
    <pivotField showAll="0"/>
    <pivotField numFmtId="164" showAll="0"/>
    <pivotField showAll="0"/>
    <pivotField showAll="0"/>
    <pivotField numFmtId="2" showAll="0"/>
    <pivotField numFmtId="10" showAll="0"/>
    <pivotField numFmtId="1" showAll="0"/>
    <pivotField numFmtId="2" showAll="0"/>
    <pivotField numFmtId="2" showAll="0"/>
    <pivotField numFmtId="2" showAll="0"/>
    <pivotField numFmtId="2" showAll="0"/>
    <pivotField numFmtId="2" showAll="0"/>
    <pivotField numFmtId="2" showAll="0"/>
    <pivotField numFmtId="9" showAll="0"/>
    <pivotField numFmtId="10" showAll="0"/>
    <pivotField showAll="0"/>
    <pivotField showAll="0"/>
  </pivotFields>
  <rowFields count="2">
    <field x="8"/>
    <field x="11"/>
  </rowFields>
  <rowItems count="11">
    <i>
      <x/>
    </i>
    <i r="1">
      <x/>
    </i>
    <i r="1">
      <x v="1"/>
    </i>
    <i r="1">
      <x v="2"/>
    </i>
    <i r="1">
      <x v="3"/>
    </i>
    <i>
      <x v="1"/>
    </i>
    <i r="1">
      <x/>
    </i>
    <i r="1">
      <x v="1"/>
    </i>
    <i r="1">
      <x v="2"/>
    </i>
    <i r="1">
      <x v="3"/>
    </i>
    <i t="grand">
      <x/>
    </i>
  </rowItems>
  <colFields count="1">
    <field x="-2"/>
  </colFields>
  <colItems count="2">
    <i>
      <x/>
    </i>
    <i i="1">
      <x v="1"/>
    </i>
  </colItems>
  <dataFields count="2">
    <dataField name="Count of %leadtime &gt;7days" fld="8" subtotal="count" showDataAs="percentOfTotal" baseField="8" baseItem="0" numFmtId="10"/>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64A3C9-7237-43D9-BDEB-C12ED5E3E1ED}"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G17" firstHeaderRow="1" firstDataRow="2" firstDataCol="1"/>
  <pivotFields count="35">
    <pivotField showAll="0"/>
    <pivotField numFmtId="17" showAll="0"/>
    <pivotField showAll="0"/>
    <pivotField showAll="0"/>
    <pivotField showAll="0"/>
    <pivotField numFmtId="14" showAll="0"/>
    <pivotField numFmtId="14" showAll="0"/>
    <pivotField numFmtId="14" showAll="0"/>
    <pivotField showAll="0"/>
    <pivotField numFmtId="1" showAll="0"/>
    <pivotField numFmtId="1" showAll="0"/>
    <pivotField showAll="0">
      <items count="5">
        <item x="3"/>
        <item x="2"/>
        <item x="0"/>
        <item x="1"/>
        <item t="default"/>
      </items>
    </pivotField>
    <pivotField axis="axisRow" showAll="0">
      <items count="13">
        <item x="6"/>
        <item x="2"/>
        <item x="3"/>
        <item x="8"/>
        <item x="1"/>
        <item x="4"/>
        <item x="0"/>
        <item x="5"/>
        <item x="9"/>
        <item x="11"/>
        <item x="7"/>
        <item x="10"/>
        <item t="default"/>
      </items>
    </pivotField>
    <pivotField showAll="0"/>
    <pivotField showAll="0"/>
    <pivotField axis="axisCol" showAll="0">
      <items count="6">
        <item x="3"/>
        <item x="0"/>
        <item x="4"/>
        <item x="2"/>
        <item x="1"/>
        <item t="default"/>
      </items>
    </pivotField>
    <pivotField showAll="0">
      <items count="17">
        <item x="3"/>
        <item x="11"/>
        <item x="4"/>
        <item x="10"/>
        <item x="2"/>
        <item x="9"/>
        <item x="12"/>
        <item x="14"/>
        <item x="15"/>
        <item x="7"/>
        <item x="5"/>
        <item x="8"/>
        <item x="1"/>
        <item x="13"/>
        <item x="0"/>
        <item x="6"/>
        <item t="default"/>
      </items>
    </pivotField>
    <pivotField showAll="0"/>
    <pivotField showAll="0"/>
    <pivotField numFmtId="164" showAll="0"/>
    <pivotField showAll="0"/>
    <pivotField showAll="0"/>
    <pivotField numFmtId="2" showAll="0"/>
    <pivotField numFmtId="10" showAll="0"/>
    <pivotField numFmtId="1" showAll="0"/>
    <pivotField numFmtId="2" showAll="0"/>
    <pivotField numFmtId="2" showAll="0"/>
    <pivotField numFmtId="2" showAll="0"/>
    <pivotField numFmtId="2" showAll="0"/>
    <pivotField dataField="1" numFmtId="2" showAll="0"/>
    <pivotField numFmtId="2" showAll="0"/>
    <pivotField numFmtId="9" showAll="0"/>
    <pivotField numFmtId="10" showAll="0"/>
    <pivotField showAll="0"/>
    <pivotField showAll="0"/>
  </pivotFields>
  <rowFields count="1">
    <field x="12"/>
  </rowFields>
  <rowItems count="13">
    <i>
      <x/>
    </i>
    <i>
      <x v="1"/>
    </i>
    <i>
      <x v="2"/>
    </i>
    <i>
      <x v="3"/>
    </i>
    <i>
      <x v="4"/>
    </i>
    <i>
      <x v="5"/>
    </i>
    <i>
      <x v="6"/>
    </i>
    <i>
      <x v="7"/>
    </i>
    <i>
      <x v="8"/>
    </i>
    <i>
      <x v="9"/>
    </i>
    <i>
      <x v="10"/>
    </i>
    <i>
      <x v="11"/>
    </i>
    <i t="grand">
      <x/>
    </i>
  </rowItems>
  <colFields count="1">
    <field x="15"/>
  </colFields>
  <colItems count="6">
    <i>
      <x/>
    </i>
    <i>
      <x v="1"/>
    </i>
    <i>
      <x v="2"/>
    </i>
    <i>
      <x v="3"/>
    </i>
    <i>
      <x v="4"/>
    </i>
    <i t="grand">
      <x/>
    </i>
  </colItems>
  <dataFields count="1">
    <dataField name="Sum of Gross Profit(KES)" fld="29" baseField="0" baseItem="0" numFmtId="2"/>
  </dataFields>
  <chartFormats count="10">
    <chartFormat chart="1" format="0" series="1">
      <pivotArea type="data" outline="0" fieldPosition="0">
        <references count="2">
          <reference field="4294967294" count="1" selected="0">
            <x v="0"/>
          </reference>
          <reference field="15" count="1" selected="0">
            <x v="0"/>
          </reference>
        </references>
      </pivotArea>
    </chartFormat>
    <chartFormat chart="1" format="1" series="1">
      <pivotArea type="data" outline="0" fieldPosition="0">
        <references count="2">
          <reference field="4294967294" count="1" selected="0">
            <x v="0"/>
          </reference>
          <reference field="15" count="1" selected="0">
            <x v="1"/>
          </reference>
        </references>
      </pivotArea>
    </chartFormat>
    <chartFormat chart="1" format="2" series="1">
      <pivotArea type="data" outline="0" fieldPosition="0">
        <references count="2">
          <reference field="4294967294" count="1" selected="0">
            <x v="0"/>
          </reference>
          <reference field="15" count="1" selected="0">
            <x v="2"/>
          </reference>
        </references>
      </pivotArea>
    </chartFormat>
    <chartFormat chart="1" format="3" series="1">
      <pivotArea type="data" outline="0" fieldPosition="0">
        <references count="2">
          <reference field="4294967294" count="1" selected="0">
            <x v="0"/>
          </reference>
          <reference field="15" count="1" selected="0">
            <x v="3"/>
          </reference>
        </references>
      </pivotArea>
    </chartFormat>
    <chartFormat chart="1" format="4" series="1">
      <pivotArea type="data" outline="0" fieldPosition="0">
        <references count="2">
          <reference field="4294967294" count="1" selected="0">
            <x v="0"/>
          </reference>
          <reference field="15" count="1" selected="0">
            <x v="4"/>
          </reference>
        </references>
      </pivotArea>
    </chartFormat>
    <chartFormat chart="4" format="10" series="1">
      <pivotArea type="data" outline="0" fieldPosition="0">
        <references count="2">
          <reference field="4294967294" count="1" selected="0">
            <x v="0"/>
          </reference>
          <reference field="15" count="1" selected="0">
            <x v="0"/>
          </reference>
        </references>
      </pivotArea>
    </chartFormat>
    <chartFormat chart="4" format="11" series="1">
      <pivotArea type="data" outline="0" fieldPosition="0">
        <references count="2">
          <reference field="4294967294" count="1" selected="0">
            <x v="0"/>
          </reference>
          <reference field="15" count="1" selected="0">
            <x v="1"/>
          </reference>
        </references>
      </pivotArea>
    </chartFormat>
    <chartFormat chart="4" format="12" series="1">
      <pivotArea type="data" outline="0" fieldPosition="0">
        <references count="2">
          <reference field="4294967294" count="1" selected="0">
            <x v="0"/>
          </reference>
          <reference field="15" count="1" selected="0">
            <x v="2"/>
          </reference>
        </references>
      </pivotArea>
    </chartFormat>
    <chartFormat chart="4" format="13" series="1">
      <pivotArea type="data" outline="0" fieldPosition="0">
        <references count="2">
          <reference field="4294967294" count="1" selected="0">
            <x v="0"/>
          </reference>
          <reference field="15" count="1" selected="0">
            <x v="3"/>
          </reference>
        </references>
      </pivotArea>
    </chartFormat>
    <chartFormat chart="4" format="14" series="1">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C7F053-A901-4F9E-870D-15EE98283D0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1" firstHeaderRow="1" firstDataRow="1" firstDataCol="1"/>
  <pivotFields count="30">
    <pivotField showAll="0"/>
    <pivotField showAll="0"/>
    <pivotField axis="axisRow" showAll="0">
      <items count="6">
        <item x="0"/>
        <item sd="0" x="1"/>
        <item sd="0" x="2"/>
        <item sd="0" x="3"/>
        <item sd="0" x="4"/>
        <item t="default"/>
      </items>
    </pivotField>
    <pivotField axis="axisRow" showAll="0">
      <items count="5">
        <item x="1"/>
        <item x="2"/>
        <item x="0"/>
        <item x="3"/>
        <item t="default"/>
      </items>
    </pivotField>
    <pivotField showAll="0" minSubtotal="1">
      <items count="14">
        <item h="1" x="10"/>
        <item sd="0" x="0"/>
        <item h="1" sd="0" x="9"/>
        <item h="1" sd="0" x="6"/>
        <item h="1" x="11"/>
        <item h="1" x="3"/>
        <item h="1" x="5"/>
        <item h="1" x="4"/>
        <item h="1" x="7"/>
        <item h="1" x="8"/>
        <item h="1" x="1"/>
        <item h="1" x="2"/>
        <item h="1" x="12"/>
        <item t="min"/>
      </items>
    </pivotField>
    <pivotField showAll="0"/>
    <pivotField showAll="0"/>
    <pivotField showAll="0"/>
    <pivotField showAll="0"/>
    <pivotField showAll="0"/>
    <pivotField axis="axisRow" showAll="0">
      <items count="14">
        <item x="6"/>
        <item sd="0" x="2"/>
        <item x="3"/>
        <item x="8"/>
        <item x="1"/>
        <item x="4"/>
        <item x="0"/>
        <item x="5"/>
        <item x="9"/>
        <item x="11"/>
        <item x="7"/>
        <item x="10"/>
        <item x="12"/>
        <item t="default"/>
      </items>
    </pivotField>
    <pivotField showAll="0"/>
    <pivotField showAll="0"/>
    <pivotField showAll="0">
      <items count="7">
        <item x="3"/>
        <item x="0"/>
        <item x="4"/>
        <item x="2"/>
        <item x="1"/>
        <item x="5"/>
        <item t="default"/>
      </items>
    </pivotField>
    <pivotField showAll="0"/>
    <pivotField showAll="0">
      <items count="9">
        <item x="5"/>
        <item x="2"/>
        <item x="0"/>
        <item x="3"/>
        <item x="4"/>
        <item x="1"/>
        <item x="6"/>
        <item x="7"/>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3">
    <field x="2"/>
    <field x="10"/>
    <field x="3"/>
  </rowFields>
  <rowItems count="28">
    <i>
      <x/>
    </i>
    <i r="1">
      <x/>
    </i>
    <i r="2">
      <x v="2"/>
    </i>
    <i r="1">
      <x v="1"/>
    </i>
    <i r="1">
      <x v="2"/>
    </i>
    <i r="2">
      <x v="1"/>
    </i>
    <i r="1">
      <x v="3"/>
    </i>
    <i r="2">
      <x v="1"/>
    </i>
    <i r="2">
      <x v="2"/>
    </i>
    <i r="1">
      <x v="4"/>
    </i>
    <i r="2">
      <x/>
    </i>
    <i r="2">
      <x v="2"/>
    </i>
    <i r="1">
      <x v="5"/>
    </i>
    <i r="2">
      <x/>
    </i>
    <i r="2">
      <x v="1"/>
    </i>
    <i r="1">
      <x v="6"/>
    </i>
    <i r="2">
      <x v="2"/>
    </i>
    <i r="1">
      <x v="7"/>
    </i>
    <i r="2">
      <x v="1"/>
    </i>
    <i r="1">
      <x v="10"/>
    </i>
    <i r="2">
      <x/>
    </i>
    <i r="1">
      <x v="11"/>
    </i>
    <i r="2">
      <x/>
    </i>
    <i r="2">
      <x v="1"/>
    </i>
    <i>
      <x v="1"/>
    </i>
    <i>
      <x v="2"/>
    </i>
    <i>
      <x v="3"/>
    </i>
    <i t="grand">
      <x/>
    </i>
  </rowItems>
  <colItems count="1">
    <i/>
  </colItems>
  <dataFields count="1">
    <dataField name="Sum of Gross Revenue"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32D21F-90FA-4AC5-A41B-34304919CAD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1" firstHeaderRow="1"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3"/>
        <item x="0"/>
        <item x="4"/>
        <item x="2"/>
        <item x="1"/>
        <item x="5"/>
        <item t="default"/>
      </items>
    </pivotField>
    <pivotField showAll="0"/>
    <pivotField axis="axisRow" showAll="0">
      <items count="9">
        <item x="5"/>
        <item sd="0" x="2"/>
        <item sd="0" x="0"/>
        <item sd="0" x="3"/>
        <item sd="0" x="4"/>
        <item sd="0" x="1"/>
        <item sd="0" x="6"/>
        <item x="7"/>
        <item t="default"/>
      </items>
    </pivotField>
    <pivotField axis="axisRow" showAll="0" sortType="descending">
      <items count="632">
        <item x="491"/>
        <item x="9"/>
        <item x="297"/>
        <item x="214"/>
        <item x="289"/>
        <item x="238"/>
        <item x="189"/>
        <item x="337"/>
        <item x="140"/>
        <item x="42"/>
        <item x="424"/>
        <item x="614"/>
        <item x="154"/>
        <item x="571"/>
        <item x="368"/>
        <item x="569"/>
        <item x="305"/>
        <item x="528"/>
        <item x="457"/>
        <item x="557"/>
        <item x="133"/>
        <item x="215"/>
        <item x="318"/>
        <item x="311"/>
        <item x="141"/>
        <item x="298"/>
        <item x="275"/>
        <item x="116"/>
        <item x="445"/>
        <item x="85"/>
        <item x="409"/>
        <item x="371"/>
        <item x="180"/>
        <item x="109"/>
        <item x="55"/>
        <item x="360"/>
        <item x="607"/>
        <item x="473"/>
        <item x="498"/>
        <item x="476"/>
        <item x="339"/>
        <item x="553"/>
        <item x="516"/>
        <item x="60"/>
        <item x="443"/>
        <item x="11"/>
        <item x="41"/>
        <item x="403"/>
        <item x="76"/>
        <item x="78"/>
        <item x="533"/>
        <item x="170"/>
        <item x="416"/>
        <item x="279"/>
        <item x="331"/>
        <item x="572"/>
        <item x="343"/>
        <item x="580"/>
        <item x="483"/>
        <item x="193"/>
        <item x="284"/>
        <item x="450"/>
        <item x="273"/>
        <item x="486"/>
        <item x="137"/>
        <item x="74"/>
        <item x="166"/>
        <item x="23"/>
        <item x="270"/>
        <item x="37"/>
        <item x="619"/>
        <item x="352"/>
        <item x="612"/>
        <item x="292"/>
        <item x="87"/>
        <item x="338"/>
        <item x="175"/>
        <item x="605"/>
        <item x="421"/>
        <item x="535"/>
        <item x="563"/>
        <item x="554"/>
        <item x="75"/>
        <item x="92"/>
        <item x="323"/>
        <item x="448"/>
        <item x="222"/>
        <item x="520"/>
        <item x="552"/>
        <item x="461"/>
        <item x="117"/>
        <item x="159"/>
        <item x="49"/>
        <item x="22"/>
        <item x="5"/>
        <item x="595"/>
        <item x="459"/>
        <item x="2"/>
        <item x="227"/>
        <item x="504"/>
        <item x="239"/>
        <item x="506"/>
        <item x="146"/>
        <item x="107"/>
        <item x="253"/>
        <item x="604"/>
        <item x="543"/>
        <item x="547"/>
        <item x="306"/>
        <item x="118"/>
        <item x="263"/>
        <item x="172"/>
        <item x="616"/>
        <item x="494"/>
        <item x="621"/>
        <item x="336"/>
        <item x="472"/>
        <item x="165"/>
        <item x="420"/>
        <item x="315"/>
        <item x="164"/>
        <item x="544"/>
        <item x="469"/>
        <item x="370"/>
        <item x="282"/>
        <item x="375"/>
        <item x="57"/>
        <item x="410"/>
        <item x="13"/>
        <item x="35"/>
        <item x="303"/>
        <item x="555"/>
        <item x="458"/>
        <item x="40"/>
        <item x="139"/>
        <item x="113"/>
        <item x="167"/>
        <item x="251"/>
        <item x="111"/>
        <item x="61"/>
        <item x="584"/>
        <item x="502"/>
        <item x="505"/>
        <item x="521"/>
        <item x="65"/>
        <item x="126"/>
        <item x="171"/>
        <item x="178"/>
        <item x="232"/>
        <item x="599"/>
        <item x="400"/>
        <item x="568"/>
        <item x="265"/>
        <item x="408"/>
        <item x="423"/>
        <item x="560"/>
        <item x="380"/>
        <item x="594"/>
        <item x="570"/>
        <item x="525"/>
        <item x="119"/>
        <item x="530"/>
        <item x="545"/>
        <item x="396"/>
        <item x="628"/>
        <item x="592"/>
        <item x="237"/>
        <item x="194"/>
        <item x="229"/>
        <item x="341"/>
        <item x="152"/>
        <item x="391"/>
        <item x="44"/>
        <item x="453"/>
        <item x="330"/>
        <item x="363"/>
        <item x="70"/>
        <item x="307"/>
        <item x="155"/>
        <item x="153"/>
        <item x="98"/>
        <item x="464"/>
        <item x="485"/>
        <item x="335"/>
        <item x="615"/>
        <item x="103"/>
        <item x="185"/>
        <item x="47"/>
        <item x="90"/>
        <item x="281"/>
        <item x="511"/>
        <item x="351"/>
        <item x="385"/>
        <item x="247"/>
        <item x="393"/>
        <item x="258"/>
        <item x="0"/>
        <item x="150"/>
        <item x="484"/>
        <item x="610"/>
        <item x="565"/>
        <item x="366"/>
        <item x="123"/>
        <item x="59"/>
        <item x="285"/>
        <item x="532"/>
        <item x="573"/>
        <item x="267"/>
        <item x="114"/>
        <item x="48"/>
        <item x="558"/>
        <item x="319"/>
        <item x="327"/>
        <item x="88"/>
        <item x="387"/>
        <item x="174"/>
        <item x="26"/>
        <item x="606"/>
        <item x="374"/>
        <item x="122"/>
        <item x="526"/>
        <item x="440"/>
        <item x="67"/>
        <item x="94"/>
        <item x="378"/>
        <item x="479"/>
        <item x="108"/>
        <item x="36"/>
        <item x="262"/>
        <item x="576"/>
        <item x="220"/>
        <item x="355"/>
        <item x="460"/>
        <item x="527"/>
        <item x="242"/>
        <item x="96"/>
        <item x="62"/>
        <item x="205"/>
        <item x="577"/>
        <item x="438"/>
        <item x="223"/>
        <item x="512"/>
        <item x="235"/>
        <item x="206"/>
        <item x="559"/>
        <item x="624"/>
        <item x="28"/>
        <item x="198"/>
        <item x="209"/>
        <item x="347"/>
        <item x="301"/>
        <item x="244"/>
        <item x="519"/>
        <item x="406"/>
        <item x="499"/>
        <item x="609"/>
        <item x="228"/>
        <item x="348"/>
        <item x="596"/>
        <item x="291"/>
        <item x="63"/>
        <item x="316"/>
        <item x="358"/>
        <item x="39"/>
        <item x="415"/>
        <item x="444"/>
        <item x="426"/>
        <item x="534"/>
        <item x="226"/>
        <item x="463"/>
        <item x="490"/>
        <item x="561"/>
        <item x="158"/>
        <item x="121"/>
        <item x="413"/>
        <item x="515"/>
        <item x="383"/>
        <item x="32"/>
        <item x="541"/>
        <item x="302"/>
        <item x="381"/>
        <item x="495"/>
        <item x="357"/>
        <item x="204"/>
        <item x="548"/>
        <item x="233"/>
        <item x="510"/>
        <item x="4"/>
        <item x="212"/>
        <item x="14"/>
        <item x="439"/>
        <item x="278"/>
        <item x="80"/>
        <item x="332"/>
        <item x="578"/>
        <item x="379"/>
        <item x="260"/>
        <item x="200"/>
        <item x="132"/>
        <item x="575"/>
        <item x="425"/>
        <item x="173"/>
        <item x="501"/>
        <item x="567"/>
        <item x="397"/>
        <item x="451"/>
        <item x="325"/>
        <item x="183"/>
        <item x="349"/>
        <item x="333"/>
        <item x="446"/>
        <item x="268"/>
        <item x="241"/>
        <item x="68"/>
        <item x="56"/>
        <item x="110"/>
        <item x="83"/>
        <item x="320"/>
        <item x="435"/>
        <item x="465"/>
        <item x="564"/>
        <item x="177"/>
        <item x="620"/>
        <item x="455"/>
        <item x="73"/>
        <item x="184"/>
        <item x="50"/>
        <item x="441"/>
        <item x="462"/>
        <item x="246"/>
        <item x="372"/>
        <item x="419"/>
        <item x="442"/>
        <item x="551"/>
        <item x="19"/>
        <item x="84"/>
        <item x="622"/>
        <item x="359"/>
        <item x="91"/>
        <item x="199"/>
        <item x="447"/>
        <item x="135"/>
        <item x="376"/>
        <item x="542"/>
        <item x="513"/>
        <item x="99"/>
        <item x="467"/>
        <item x="131"/>
        <item x="314"/>
        <item x="234"/>
        <item x="364"/>
        <item x="470"/>
        <item x="589"/>
        <item x="134"/>
        <item x="321"/>
        <item x="136"/>
        <item x="38"/>
        <item x="248"/>
        <item x="588"/>
        <item x="407"/>
        <item x="404"/>
        <item x="328"/>
        <item x="531"/>
        <item x="290"/>
        <item x="556"/>
        <item x="151"/>
        <item x="540"/>
        <item x="585"/>
        <item x="581"/>
        <item x="488"/>
        <item x="373"/>
        <item x="6"/>
        <item x="192"/>
        <item x="66"/>
        <item x="382"/>
        <item x="147"/>
        <item x="52"/>
        <item x="517"/>
        <item x="608"/>
        <item x="231"/>
        <item x="432"/>
        <item x="254"/>
        <item x="54"/>
        <item x="124"/>
        <item x="324"/>
        <item x="53"/>
        <item x="245"/>
        <item x="272"/>
        <item x="313"/>
        <item x="500"/>
        <item x="112"/>
        <item x="518"/>
        <item x="79"/>
        <item x="309"/>
        <item x="8"/>
        <item x="7"/>
        <item x="549"/>
        <item x="308"/>
        <item x="86"/>
        <item x="582"/>
        <item x="168"/>
        <item x="17"/>
        <item x="250"/>
        <item x="354"/>
        <item x="436"/>
        <item x="18"/>
        <item x="163"/>
        <item x="427"/>
        <item x="30"/>
        <item x="127"/>
        <item x="509"/>
        <item x="522"/>
        <item x="95"/>
        <item x="217"/>
        <item x="546"/>
        <item x="81"/>
        <item x="414"/>
        <item x="252"/>
        <item x="474"/>
        <item x="598"/>
        <item x="197"/>
        <item x="129"/>
        <item x="350"/>
        <item x="508"/>
        <item x="10"/>
        <item x="475"/>
        <item x="89"/>
        <item x="15"/>
        <item x="277"/>
        <item x="299"/>
        <item x="369"/>
        <item x="64"/>
        <item x="101"/>
        <item x="286"/>
        <item x="626"/>
        <item x="600"/>
        <item x="195"/>
        <item x="342"/>
        <item x="574"/>
        <item x="211"/>
        <item x="611"/>
        <item x="346"/>
        <item x="283"/>
        <item x="418"/>
        <item x="287"/>
        <item x="602"/>
        <item x="69"/>
        <item x="120"/>
        <item x="428"/>
        <item x="259"/>
        <item x="304"/>
        <item x="523"/>
        <item x="181"/>
        <item x="392"/>
        <item x="148"/>
        <item x="399"/>
        <item x="208"/>
        <item x="497"/>
        <item x="100"/>
        <item x="362"/>
        <item x="203"/>
        <item x="430"/>
        <item x="236"/>
        <item x="538"/>
        <item x="390"/>
        <item x="344"/>
        <item x="367"/>
        <item x="296"/>
        <item x="219"/>
        <item x="191"/>
        <item x="503"/>
        <item x="58"/>
        <item x="627"/>
        <item x="45"/>
        <item x="480"/>
        <item x="562"/>
        <item x="3"/>
        <item x="384"/>
        <item x="597"/>
        <item x="255"/>
        <item x="433"/>
        <item x="326"/>
        <item x="46"/>
        <item x="269"/>
        <item x="468"/>
        <item x="179"/>
        <item x="202"/>
        <item x="224"/>
        <item x="145"/>
        <item x="77"/>
        <item x="312"/>
        <item x="300"/>
        <item x="144"/>
        <item x="176"/>
        <item x="345"/>
        <item x="353"/>
        <item x="601"/>
        <item x="264"/>
        <item x="536"/>
        <item x="618"/>
        <item x="386"/>
        <item x="405"/>
        <item x="24"/>
        <item x="449"/>
        <item x="51"/>
        <item x="294"/>
        <item x="138"/>
        <item x="507"/>
        <item x="256"/>
        <item x="493"/>
        <item x="489"/>
        <item x="97"/>
        <item x="566"/>
        <item x="529"/>
        <item x="210"/>
        <item x="218"/>
        <item x="125"/>
        <item x="394"/>
        <item x="196"/>
        <item x="524"/>
        <item x="130"/>
        <item x="1"/>
        <item x="471"/>
        <item x="310"/>
        <item x="157"/>
        <item x="43"/>
        <item x="434"/>
        <item x="128"/>
        <item x="295"/>
        <item x="398"/>
        <item x="240"/>
        <item x="156"/>
        <item x="365"/>
        <item x="142"/>
        <item x="579"/>
        <item x="104"/>
        <item x="93"/>
        <item x="221"/>
        <item x="115"/>
        <item x="106"/>
        <item x="190"/>
        <item x="402"/>
        <item x="317"/>
        <item x="182"/>
        <item x="72"/>
        <item x="201"/>
        <item x="583"/>
        <item x="105"/>
        <item x="411"/>
        <item x="377"/>
        <item x="322"/>
        <item x="417"/>
        <item x="587"/>
        <item x="161"/>
        <item x="266"/>
        <item x="261"/>
        <item x="456"/>
        <item x="149"/>
        <item x="466"/>
        <item x="603"/>
        <item x="482"/>
        <item x="487"/>
        <item x="593"/>
        <item x="102"/>
        <item x="34"/>
        <item x="496"/>
        <item x="187"/>
        <item x="288"/>
        <item x="20"/>
        <item x="492"/>
        <item x="437"/>
        <item x="389"/>
        <item x="27"/>
        <item x="454"/>
        <item x="16"/>
        <item x="293"/>
        <item x="388"/>
        <item x="25"/>
        <item x="230"/>
        <item x="412"/>
        <item x="12"/>
        <item x="143"/>
        <item x="213"/>
        <item x="249"/>
        <item x="422"/>
        <item x="31"/>
        <item x="481"/>
        <item x="623"/>
        <item x="207"/>
        <item x="514"/>
        <item x="539"/>
        <item x="329"/>
        <item x="590"/>
        <item x="71"/>
        <item x="271"/>
        <item x="361"/>
        <item x="613"/>
        <item x="169"/>
        <item x="431"/>
        <item x="401"/>
        <item x="160"/>
        <item x="477"/>
        <item x="591"/>
        <item x="280"/>
        <item x="395"/>
        <item x="334"/>
        <item x="186"/>
        <item x="625"/>
        <item x="452"/>
        <item x="478"/>
        <item x="617"/>
        <item x="429"/>
        <item x="257"/>
        <item x="356"/>
        <item x="340"/>
        <item x="243"/>
        <item x="537"/>
        <item x="21"/>
        <item x="629"/>
        <item x="225"/>
        <item x="162"/>
        <item x="276"/>
        <item x="188"/>
        <item x="82"/>
        <item x="550"/>
        <item x="586"/>
        <item x="29"/>
        <item x="33"/>
        <item x="274"/>
        <item x="216"/>
        <item x="63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2">
    <field x="15"/>
    <field x="16"/>
  </rowFields>
  <rowItems count="98">
    <i>
      <x/>
    </i>
    <i r="1">
      <x v="60"/>
    </i>
    <i r="1">
      <x v="23"/>
    </i>
    <i r="1">
      <x v="82"/>
    </i>
    <i r="1">
      <x v="84"/>
    </i>
    <i r="1">
      <x v="72"/>
    </i>
    <i r="1">
      <x v="41"/>
    </i>
    <i r="1">
      <x v="68"/>
    </i>
    <i r="1">
      <x v="50"/>
    </i>
    <i r="1">
      <x v="81"/>
    </i>
    <i r="1">
      <x v="63"/>
    </i>
    <i r="1">
      <x v="6"/>
    </i>
    <i r="1">
      <x v="10"/>
    </i>
    <i r="1">
      <x v="56"/>
    </i>
    <i r="1">
      <x v="44"/>
    </i>
    <i r="1">
      <x v="53"/>
    </i>
    <i r="1">
      <x v="59"/>
    </i>
    <i r="1">
      <x v="86"/>
    </i>
    <i r="1">
      <x v="75"/>
    </i>
    <i r="1">
      <x v="26"/>
    </i>
    <i r="1">
      <x v="12"/>
    </i>
    <i r="1">
      <x v="33"/>
    </i>
    <i r="1">
      <x v="83"/>
    </i>
    <i r="1">
      <x v="49"/>
    </i>
    <i r="1">
      <x v="79"/>
    </i>
    <i r="1">
      <x v="32"/>
    </i>
    <i r="1">
      <x v="40"/>
    </i>
    <i r="1">
      <x v="14"/>
    </i>
    <i r="1">
      <x v="78"/>
    </i>
    <i r="1">
      <x v="4"/>
    </i>
    <i r="1">
      <x v="80"/>
    </i>
    <i r="1">
      <x v="70"/>
    </i>
    <i r="1">
      <x v="48"/>
    </i>
    <i r="1">
      <x v="29"/>
    </i>
    <i r="1">
      <x v="57"/>
    </i>
    <i r="1">
      <x v="76"/>
    </i>
    <i r="1">
      <x v="18"/>
    </i>
    <i r="1">
      <x v="5"/>
    </i>
    <i r="1">
      <x v="67"/>
    </i>
    <i r="1">
      <x v="58"/>
    </i>
    <i r="1">
      <x v="65"/>
    </i>
    <i r="1">
      <x v="54"/>
    </i>
    <i r="1">
      <x v="9"/>
    </i>
    <i r="1">
      <x v="64"/>
    </i>
    <i r="1">
      <x v="22"/>
    </i>
    <i r="1">
      <x v="39"/>
    </i>
    <i r="1">
      <x v="36"/>
    </i>
    <i r="1">
      <x v="3"/>
    </i>
    <i r="1">
      <x v="1"/>
    </i>
    <i r="1">
      <x v="19"/>
    </i>
    <i r="1">
      <x v="28"/>
    </i>
    <i r="1">
      <x v="37"/>
    </i>
    <i r="1">
      <x v="16"/>
    </i>
    <i r="1">
      <x v="46"/>
    </i>
    <i r="1">
      <x v="20"/>
    </i>
    <i r="1">
      <x v="77"/>
    </i>
    <i r="1">
      <x v="69"/>
    </i>
    <i r="1">
      <x v="21"/>
    </i>
    <i r="1">
      <x v="52"/>
    </i>
    <i r="1">
      <x v="85"/>
    </i>
    <i r="1">
      <x v="11"/>
    </i>
    <i r="1">
      <x v="31"/>
    </i>
    <i r="1">
      <x v="8"/>
    </i>
    <i r="1">
      <x v="7"/>
    </i>
    <i r="1">
      <x v="35"/>
    </i>
    <i r="1">
      <x v="25"/>
    </i>
    <i r="1">
      <x v="34"/>
    </i>
    <i r="1">
      <x v="71"/>
    </i>
    <i r="1">
      <x v="17"/>
    </i>
    <i r="1">
      <x v="2"/>
    </i>
    <i r="1">
      <x v="47"/>
    </i>
    <i r="1">
      <x v="55"/>
    </i>
    <i r="1">
      <x v="74"/>
    </i>
    <i r="1">
      <x v="43"/>
    </i>
    <i r="1">
      <x v="15"/>
    </i>
    <i r="1">
      <x v="38"/>
    </i>
    <i r="1">
      <x v="62"/>
    </i>
    <i r="1">
      <x v="73"/>
    </i>
    <i r="1">
      <x v="66"/>
    </i>
    <i r="1">
      <x v="42"/>
    </i>
    <i r="1">
      <x v="24"/>
    </i>
    <i r="1">
      <x/>
    </i>
    <i r="1">
      <x v="45"/>
    </i>
    <i r="1">
      <x v="27"/>
    </i>
    <i r="1">
      <x v="51"/>
    </i>
    <i r="1">
      <x v="30"/>
    </i>
    <i r="1">
      <x v="87"/>
    </i>
    <i r="1">
      <x v="13"/>
    </i>
    <i r="1">
      <x v="61"/>
    </i>
    <i>
      <x v="1"/>
    </i>
    <i>
      <x v="2"/>
    </i>
    <i>
      <x v="3"/>
    </i>
    <i>
      <x v="4"/>
    </i>
    <i>
      <x v="5"/>
    </i>
    <i>
      <x v="6"/>
    </i>
    <i>
      <x v="7"/>
    </i>
    <i r="1">
      <x v="630"/>
    </i>
    <i t="grand">
      <x/>
    </i>
  </rowItems>
  <colItems count="1">
    <i/>
  </colItems>
  <dataFields count="1">
    <dataField name="Sum of Gross Revenue" fld="24" baseField="0" baseItem="0"/>
  </dataFields>
  <formats count="2">
    <format dxfId="9">
      <pivotArea collapsedLevelsAreSubtotals="1" fieldPosition="0">
        <references count="2">
          <reference field="15" count="1" selected="0">
            <x v="0"/>
          </reference>
          <reference field="16" count="70">
            <x v="1"/>
            <x v="2"/>
            <x v="3"/>
            <x v="4"/>
            <x v="5"/>
            <x v="6"/>
            <x v="7"/>
            <x v="8"/>
            <x v="9"/>
            <x v="10"/>
            <x v="11"/>
            <x v="12"/>
            <x v="14"/>
            <x v="16"/>
            <x v="17"/>
            <x v="18"/>
            <x v="19"/>
            <x v="20"/>
            <x v="21"/>
            <x v="22"/>
            <x v="23"/>
            <x v="25"/>
            <x v="26"/>
            <x v="28"/>
            <x v="29"/>
            <x v="31"/>
            <x v="32"/>
            <x v="33"/>
            <x v="34"/>
            <x v="35"/>
            <x v="36"/>
            <x v="37"/>
            <x v="39"/>
            <x v="40"/>
            <x v="41"/>
            <x v="44"/>
            <x v="46"/>
            <x v="47"/>
            <x v="48"/>
            <x v="49"/>
            <x v="50"/>
            <x v="52"/>
            <x v="53"/>
            <x v="54"/>
            <x v="56"/>
            <x v="57"/>
            <x v="58"/>
            <x v="59"/>
            <x v="60"/>
            <x v="63"/>
            <x v="64"/>
            <x v="65"/>
            <x v="67"/>
            <x v="68"/>
            <x v="69"/>
            <x v="70"/>
            <x v="71"/>
            <x v="72"/>
            <x v="75"/>
            <x v="76"/>
            <x v="77"/>
            <x v="78"/>
            <x v="79"/>
            <x v="80"/>
            <x v="81"/>
            <x v="82"/>
            <x v="83"/>
            <x v="84"/>
            <x v="85"/>
            <x v="86"/>
          </reference>
        </references>
      </pivotArea>
    </format>
    <format dxfId="8">
      <pivotArea collapsedLevelsAreSubtotals="1" fieldPosition="0">
        <references count="2">
          <reference field="15" count="1" selected="0">
            <x v="0"/>
          </reference>
          <reference field="16" count="15">
            <x v="0"/>
            <x v="15"/>
            <x v="24"/>
            <x v="27"/>
            <x v="30"/>
            <x v="38"/>
            <x v="42"/>
            <x v="43"/>
            <x v="45"/>
            <x v="51"/>
            <x v="55"/>
            <x v="62"/>
            <x v="66"/>
            <x v="73"/>
            <x v="7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034549-3535-4000-B9BF-3D12953C2A7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1" firstHeaderRow="1" firstDataRow="1" firstDataCol="1"/>
  <pivotFields count="30">
    <pivotField showAll="0"/>
    <pivotField showAll="0"/>
    <pivotField showAll="0"/>
    <pivotField showAll="0">
      <items count="5">
        <item x="1"/>
        <item x="2"/>
        <item x="0"/>
        <item x="3"/>
        <item t="default"/>
      </items>
    </pivotField>
    <pivotField showAll="0">
      <items count="14">
        <item x="10"/>
        <item x="0"/>
        <item x="9"/>
        <item x="6"/>
        <item x="11"/>
        <item x="3"/>
        <item x="5"/>
        <item x="4"/>
        <item x="7"/>
        <item x="8"/>
        <item x="1"/>
        <item x="2"/>
        <item x="12"/>
        <item t="default"/>
      </items>
    </pivotField>
    <pivotField showAll="0"/>
    <pivotField showAll="0"/>
    <pivotField showAll="0"/>
    <pivotField showAll="0"/>
    <pivotField showAll="0"/>
    <pivotField showAll="0"/>
    <pivotField showAll="0"/>
    <pivotField showAll="0"/>
    <pivotField showAll="0">
      <items count="7">
        <item x="3"/>
        <item x="0"/>
        <item x="4"/>
        <item x="2"/>
        <item x="1"/>
        <item x="5"/>
        <item t="default"/>
      </items>
    </pivotField>
    <pivotField axis="axisRow" showAll="0">
      <items count="18">
        <item sd="0" x="3"/>
        <item sd="0" x="11"/>
        <item sd="0" x="4"/>
        <item sd="0" x="10"/>
        <item sd="0" x="2"/>
        <item sd="0" x="9"/>
        <item sd="0" x="12"/>
        <item sd="0" x="14"/>
        <item sd="0" x="15"/>
        <item sd="0" x="7"/>
        <item sd="0" x="5"/>
        <item sd="0" x="8"/>
        <item sd="0" x="1"/>
        <item sd="0" x="13"/>
        <item sd="0" x="0"/>
        <item sd="0" x="6"/>
        <item x="16"/>
        <item t="default"/>
      </items>
    </pivotField>
    <pivotField showAll="0">
      <items count="9">
        <item x="5"/>
        <item x="2"/>
        <item x="0"/>
        <item x="3"/>
        <item x="4"/>
        <item x="1"/>
        <item x="6"/>
        <item x="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Sum of Gross Profit" fld="27"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03CEB8-1281-4A3F-B701-ABD93ACF44E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30">
    <pivotField showAll="0"/>
    <pivotField showAll="0"/>
    <pivotField showAll="0"/>
    <pivotField showAll="0"/>
    <pivotField axis="axisRow" showAll="0">
      <items count="14">
        <item x="10"/>
        <item x="0"/>
        <item x="9"/>
        <item x="6"/>
        <item x="11"/>
        <item x="3"/>
        <item x="5"/>
        <item x="4"/>
        <item x="7"/>
        <item x="8"/>
        <item x="1"/>
        <item x="2"/>
        <item x="12"/>
        <item t="default"/>
      </items>
    </pivotField>
    <pivotField showAll="0"/>
    <pivotField showAll="0"/>
    <pivotField showAll="0"/>
    <pivotField showAll="0"/>
    <pivotField showAll="0"/>
    <pivotField showAll="0">
      <items count="14">
        <item h="1" x="6"/>
        <item h="1" x="2"/>
        <item x="3"/>
        <item h="1" x="8"/>
        <item h="1" x="1"/>
        <item h="1" x="4"/>
        <item h="1" x="0"/>
        <item h="1" x="5"/>
        <item h="1" x="9"/>
        <item h="1" x="11"/>
        <item h="1" x="7"/>
        <item h="1" x="10"/>
        <item h="1" x="12"/>
        <item t="default"/>
      </items>
    </pivotField>
    <pivotField showAll="0"/>
    <pivotField showAll="0"/>
    <pivotField showAll="0">
      <items count="7">
        <item x="3"/>
        <item x="0"/>
        <item x="4"/>
        <item x="2"/>
        <item x="1"/>
        <item x="5"/>
        <item t="default"/>
      </items>
    </pivotField>
    <pivotField showAll="0"/>
    <pivotField showAll="0">
      <items count="9">
        <item x="5"/>
        <item x="2"/>
        <item x="0"/>
        <item x="3"/>
        <item x="4"/>
        <item x="1"/>
        <item x="6"/>
        <item x="7"/>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Gross Revenue" fld="24"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9E6CFC-0787-4792-A748-EFA48560DB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3:F8" firstHeaderRow="1" firstDataRow="2" firstDataCol="1"/>
  <pivotFields count="30">
    <pivotField dataField="1" showAll="0"/>
    <pivotField axis="axisRow" numFmtId="17" showAll="0">
      <items count="4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umFmtId="14" showAll="0"/>
    <pivotField numFmtId="14" showAll="0"/>
    <pivotField numFmtId="14" showAll="0"/>
    <pivotField numFmtId="1" showAll="0"/>
    <pivotField showAll="0"/>
    <pivotField showAll="0"/>
    <pivotField showAll="0"/>
    <pivotField showAll="0"/>
    <pivotField showAll="0"/>
    <pivotField showAll="0"/>
    <pivotField showAll="0"/>
    <pivotField showAll="0"/>
    <pivotField numFmtId="164" showAll="0"/>
    <pivotField showAll="0"/>
    <pivotField numFmtId="164" showAll="0"/>
    <pivotField numFmtId="2" showAll="0"/>
    <pivotField numFmtId="10" showAll="0"/>
    <pivotField numFmtId="1" showAll="0"/>
    <pivotField numFmtId="164" showAll="0"/>
    <pivotField numFmtId="164" showAll="0"/>
    <pivotField numFmtId="164" showAll="0"/>
    <pivotField numFmtId="164" showAll="0"/>
    <pivotField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29"/>
    <field x="1"/>
  </rowFields>
  <rowItems count="4">
    <i>
      <x v="1"/>
    </i>
    <i>
      <x v="2"/>
    </i>
    <i>
      <x v="3"/>
    </i>
    <i t="grand">
      <x/>
    </i>
  </rowItems>
  <colFields count="1">
    <field x="28"/>
  </colFields>
  <colItems count="5">
    <i>
      <x v="1"/>
    </i>
    <i>
      <x v="2"/>
    </i>
    <i>
      <x v="3"/>
    </i>
    <i>
      <x v="4"/>
    </i>
    <i t="grand">
      <x/>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AE8659B-CF3B-4847-AA08-B99938EEAED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rowPageCount="1" colPageCount="1"/>
  <pivotFields count="30">
    <pivotField dataField="1" showAll="0"/>
    <pivotField numFmtId="17" showAll="0">
      <items count="4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umFmtId="14" showAll="0"/>
    <pivotField numFmtId="14" showAll="0"/>
    <pivotField numFmtId="14" showAll="0"/>
    <pivotField numFmtId="1" showAll="0"/>
    <pivotField axis="axisPage" showAll="0">
      <items count="5">
        <item x="3"/>
        <item x="2"/>
        <item x="0"/>
        <item x="1"/>
        <item t="default"/>
      </items>
    </pivotField>
    <pivotField axis="axisRow" showAll="0">
      <items count="13">
        <item sd="0" x="6"/>
        <item sd="0" x="2"/>
        <item sd="0" x="3"/>
        <item sd="0" x="8"/>
        <item sd="0" x="1"/>
        <item sd="0" x="4"/>
        <item sd="0" x="0"/>
        <item sd="0" x="5"/>
        <item sd="0" x="9"/>
        <item sd="0" x="11"/>
        <item sd="0" x="7"/>
        <item sd="0" x="10"/>
        <item t="default"/>
      </items>
    </pivotField>
    <pivotField axis="axisRow" showAll="0">
      <items count="40">
        <item x="25"/>
        <item x="17"/>
        <item x="37"/>
        <item x="31"/>
        <item x="33"/>
        <item x="38"/>
        <item x="28"/>
        <item x="18"/>
        <item x="16"/>
        <item x="6"/>
        <item x="34"/>
        <item x="2"/>
        <item x="5"/>
        <item x="19"/>
        <item x="15"/>
        <item x="36"/>
        <item x="10"/>
        <item x="24"/>
        <item x="12"/>
        <item x="22"/>
        <item x="20"/>
        <item x="29"/>
        <item x="30"/>
        <item x="32"/>
        <item x="1"/>
        <item x="7"/>
        <item x="9"/>
        <item x="27"/>
        <item x="0"/>
        <item x="11"/>
        <item x="13"/>
        <item x="8"/>
        <item x="23"/>
        <item x="26"/>
        <item x="4"/>
        <item x="35"/>
        <item x="14"/>
        <item x="21"/>
        <item x="3"/>
        <item t="default"/>
      </items>
    </pivotField>
    <pivotField showAll="0"/>
    <pivotField showAll="0"/>
    <pivotField showAll="0"/>
    <pivotField showAll="0"/>
    <pivotField showAll="0"/>
    <pivotField numFmtId="164" showAll="0"/>
    <pivotField showAll="0"/>
    <pivotField numFmtId="164" showAll="0"/>
    <pivotField numFmtId="2" showAll="0"/>
    <pivotField numFmtId="10" showAll="0"/>
    <pivotField numFmtId="1" showAll="0"/>
    <pivotField numFmtId="164" showAll="0"/>
    <pivotField numFmtId="164" showAll="0"/>
    <pivotField numFmtId="164" showAll="0"/>
    <pivotField numFmtId="164" showAll="0"/>
    <pivotField numFmtId="164" showAll="0"/>
    <pivotField numFmtId="164" showAll="0"/>
    <pivotField numFmtId="9" showAll="0"/>
    <pivotField showAll="0" defaultSubtotal="0"/>
    <pivotField showAll="0" defaultSubtotal="0"/>
    <pivotField showAll="0" defaultSubtotal="0">
      <items count="5">
        <item x="0"/>
        <item x="1"/>
        <item x="2"/>
        <item x="3"/>
        <item x="4"/>
      </items>
    </pivotField>
  </pivotFields>
  <rowFields count="2">
    <field x="7"/>
    <field x="8"/>
  </rowFields>
  <rowItems count="13">
    <i>
      <x/>
    </i>
    <i>
      <x v="1"/>
    </i>
    <i>
      <x v="2"/>
    </i>
    <i>
      <x v="3"/>
    </i>
    <i>
      <x v="4"/>
    </i>
    <i>
      <x v="5"/>
    </i>
    <i>
      <x v="6"/>
    </i>
    <i>
      <x v="7"/>
    </i>
    <i>
      <x v="8"/>
    </i>
    <i>
      <x v="9"/>
    </i>
    <i>
      <x v="10"/>
    </i>
    <i>
      <x v="11"/>
    </i>
    <i t="grand">
      <x/>
    </i>
  </rowItems>
  <colFields count="1">
    <field x="-2"/>
  </colFields>
  <colItems count="2">
    <i>
      <x/>
    </i>
    <i i="1">
      <x v="1"/>
    </i>
  </colItems>
  <pageFields count="1">
    <pageField fld="6" hier="-1"/>
  </pageFields>
  <dataFields count="2">
    <dataField name="Count of OrderID" fld="0" subtotal="count" baseField="7" baseItem="0"/>
    <dataField name="Count of OrderID2"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745E81D-4B9A-4DFA-90F4-9115D3550CC7}" sourceName="Region">
  <pivotTables>
    <pivotTable tabId="5" name="PivotTable2"/>
  </pivotTables>
  <data>
    <tabular pivotCacheId="1071863017">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02CE60F-63BE-4611-AED1-3E4A03506F67}" sourceName="Country">
  <pivotTables>
    <pivotTable tabId="5" name="PivotTable2"/>
  </pivotTables>
  <data>
    <tabular pivotCacheId="1071863017">
      <items count="12">
        <i x="6" s="1"/>
        <i x="2" s="1"/>
        <i x="3" s="1"/>
        <i x="8" s="1"/>
        <i x="1" s="1"/>
        <i x="4" s="1"/>
        <i x="0" s="1"/>
        <i x="5" s="1"/>
        <i x="9" s="1"/>
        <i x="11" s="1"/>
        <i x="7"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A5B272D4-1EBC-47A0-88F7-F48A045DFD4C}" sourceName="Country">
  <pivotTables>
    <pivotTable tabId="11" name="PivotTable8"/>
  </pivotTables>
  <data>
    <tabular pivotCacheId="220594239">
      <items count="13">
        <i x="6"/>
        <i x="2"/>
        <i x="3" s="1"/>
        <i x="8"/>
        <i x="1"/>
        <i x="4"/>
        <i x="0"/>
        <i x="5"/>
        <i x="9"/>
        <i x="11"/>
        <i x="7"/>
        <i x="10"/>
        <i x="1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FFE929C6-36BA-409A-BB7D-4C6EBAA028F8}" sourceName="ProductCategory">
  <pivotTables>
    <pivotTable tabId="26" name="PivotTable3"/>
    <pivotTable tabId="24" name="PivotTable2"/>
    <pivotTable tabId="11" name="PivotTable8"/>
    <pivotTable tabId="27" name="PivotTable4"/>
  </pivotTables>
  <data>
    <tabular pivotCacheId="220594239">
      <items count="8">
        <i x="5" s="1"/>
        <i x="2" s="1"/>
        <i x="0" s="1"/>
        <i x="3" s="1"/>
        <i x="4" s="1"/>
        <i x="1" s="1"/>
        <i x="6" s="1"/>
        <i x="7"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24C23F8D-2824-4E48-946C-68DA3FBCBBD9}" sourceName="Channel">
  <pivotTables>
    <pivotTable tabId="26" name="PivotTable3"/>
    <pivotTable tabId="24" name="PivotTable2"/>
    <pivotTable tabId="11" name="PivotTable8"/>
    <pivotTable tabId="27" name="PivotTable4"/>
  </pivotTables>
  <data>
    <tabular pivotCacheId="220594239">
      <items count="6">
        <i x="3" s="1"/>
        <i x="0" s="1"/>
        <i x="4" s="1"/>
        <i x="2" s="1"/>
        <i x="1" s="1"/>
        <i x="5"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1" xr10:uid="{0F98CC64-D912-4B3D-B2DD-792567016D17}" sourceName="ProductCategory">
  <pivotTables>
    <pivotTable tabId="30" name="PivotTable7"/>
  </pivotTables>
  <data>
    <tabular pivotCacheId="516643528">
      <items count="7">
        <i x="5"/>
        <i x="2" s="1"/>
        <i x="0"/>
        <i x="3"/>
        <i x="4"/>
        <i x="1"/>
        <i x="6"/>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CEACF35-BC63-4699-8E43-943957635A1C}" sourceName="Region">
  <pivotTables>
    <pivotTable tabId="50" name="PivotTable1"/>
    <pivotTable tabId="43" name="PivotTable10"/>
    <pivotTable tabId="30" name="PivotTable7"/>
    <pivotTable tabId="42" name="PivotTable9"/>
    <pivotTable tabId="44" name="PivotTable11"/>
  </pivotTables>
  <data>
    <tabular pivotCacheId="516643528">
      <items count="4">
        <i x="3" s="1"/>
        <i x="2" s="1"/>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3" xr10:uid="{FBEDFD0C-726B-448E-BCBD-83C654F68006}" sourceName="Country">
  <pivotTables>
    <pivotTable tabId="50" name="PivotTable1"/>
    <pivotTable tabId="43" name="PivotTable10"/>
    <pivotTable tabId="30" name="PivotTable7"/>
    <pivotTable tabId="42" name="PivotTable9"/>
    <pivotTable tabId="44" name="PivotTable11"/>
  </pivotTables>
  <data>
    <tabular pivotCacheId="516643528">
      <items count="12">
        <i x="6" s="1"/>
        <i x="2" s="1"/>
        <i x="3" s="1"/>
        <i x="8" s="1"/>
        <i x="1" s="1"/>
        <i x="4" s="1"/>
        <i x="0" s="1"/>
        <i x="5" s="1"/>
        <i x="9" s="1"/>
        <i x="11" s="1"/>
        <i x="7" s="1"/>
        <i x="1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BA738283-5BD4-46A2-A833-A185B09AEAF0}" sourceName="Salesperson">
  <pivotTables>
    <pivotTable tabId="50" name="PivotTable1"/>
    <pivotTable tabId="43" name="PivotTable10"/>
    <pivotTable tabId="30" name="PivotTable7"/>
    <pivotTable tabId="42" name="PivotTable9"/>
    <pivotTable tabId="44" name="PivotTable11"/>
  </pivotTables>
  <data>
    <tabular pivotCacheId="516643528">
      <items count="16">
        <i x="3" s="1"/>
        <i x="11" s="1"/>
        <i x="4" s="1"/>
        <i x="10" s="1"/>
        <i x="2" s="1"/>
        <i x="9" s="1"/>
        <i x="12" s="1"/>
        <i x="14" s="1"/>
        <i x="15" s="1"/>
        <i x="7" s="1"/>
        <i x="5" s="1"/>
        <i x="8" s="1"/>
        <i x="1" s="1"/>
        <i x="13" s="1"/>
        <i x="0" s="1"/>
        <i x="6"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2ACCF8C-6B10-4BE1-94F3-9904C00609AC}" sourceName="Month">
  <pivotTables>
    <pivotTable tabId="24" name="PivotTable2"/>
  </pivotTables>
  <data>
    <tabular pivotCacheId="220594239">
      <items count="13">
        <i x="10"/>
        <i x="0" s="1"/>
        <i x="9"/>
        <i x="6"/>
        <i x="11"/>
        <i x="3"/>
        <i x="5"/>
        <i x="4"/>
        <i x="7"/>
        <i x="8"/>
        <i x="1"/>
        <i x="2"/>
        <i x="12"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0B510515-0899-41FC-B540-E2736E90DFCF}" sourceName="Channel">
  <data>
    <tabular pivotCacheId="220594239">
      <items count="6">
        <i x="3" s="1"/>
        <i x="0" s="1"/>
        <i x="4" s="1"/>
        <i x="2" s="1"/>
        <i x="1"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1" xr10:uid="{2FCF2CD3-865F-47CD-8C54-18334E8E747B}" cache="Slicer_ProductCategory" caption="ProductCategory" rowHeight="234950"/>
  <slicer name="Channel 1" xr10:uid="{BEDBAE07-4329-49E8-8E6E-448860502591}" cache="Slicer_Channel" caption="Channel" rowHeight="234950"/>
  <slicer name="Region 2" xr10:uid="{1B141FFC-164B-46E4-BE59-04508260C1B0}" cache="Slicer_Region1" caption="Region" rowHeight="234950"/>
  <slicer name="Country 4" xr10:uid="{183FA7C7-86A2-4985-B3F6-D8089D79B41C}" cache="Slicer_Country3" caption="Country" rowHeight="234950"/>
  <slicer name="Salesperson 1" xr10:uid="{90109D2C-92F1-4AA6-B058-40B899D2F5FC}" cache="Slicer_Salesperson" caption="Salesperson" rowHeight="234950"/>
  <slicer name="Month 1" xr10:uid="{A8AC1A10-9B09-4C92-9BA6-4D580A48EB62}"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A5A4FBD-1FC7-46D8-BAA2-E8257D20D9BA}" cache="Slicer_Region1" caption="Region" rowHeight="234950"/>
  <slicer name="Country 2" xr10:uid="{A76EEC62-C6CC-49E5-B073-734AEB416037}" cache="Slicer_Country3" caption="Country" rowHeight="234950"/>
  <slicer name="Salesperson" xr10:uid="{E81D71A3-0B2A-4478-9307-07DEFD5AD5C3}" cache="Slicer_Salesperson" caption="Salesper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2" xr10:uid="{A27FD16D-98AC-4E7E-AB08-6E606E9A00CC}" cache="Slicer_ProductCategory1" caption="ProductCategory"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0F3819F-9976-4BE0-8612-7135F7A9C741}" cache="Slicer_Month" caption="Month" rowHeight="234950"/>
  <slicer name="Channel" xr10:uid="{1C449A40-831F-4272-BA07-639897B701F1}" cache="Slicer_Channel1" caption="Channel"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FFFEE147-97CD-46B3-8672-39E93BA34CE7}" cache="Slicer_Country1" caption="Country"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93410FC-5B34-4558-81F9-55953FFB012B}" cache="Slicer_Region" caption="Region" rowHeight="234950"/>
  <slicer name="Country" xr10:uid="{8F49A285-68A5-44C2-A6F7-11C68D6EF59B}" cache="Slicer_Country" caption="Country"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7"/>
  <sheetViews>
    <sheetView topLeftCell="J5" workbookViewId="0">
      <selection activeCell="A57" sqref="A57"/>
    </sheetView>
  </sheetViews>
  <sheetFormatPr defaultRowHeight="14.4" x14ac:dyDescent="0.3"/>
  <cols>
    <col min="1" max="1" width="142.88671875" bestFit="1" customWidth="1"/>
  </cols>
  <sheetData>
    <row r="1" spans="1:1" x14ac:dyDescent="0.3">
      <c r="A1" s="1" t="s">
        <v>1363</v>
      </c>
    </row>
    <row r="2" spans="1:1" x14ac:dyDescent="0.3">
      <c r="A2" t="s">
        <v>1364</v>
      </c>
    </row>
    <row r="4" spans="1:1" x14ac:dyDescent="0.3">
      <c r="A4" t="s">
        <v>1365</v>
      </c>
    </row>
    <row r="5" spans="1:1" x14ac:dyDescent="0.3">
      <c r="A5" t="s">
        <v>1366</v>
      </c>
    </row>
    <row r="6" spans="1:1" x14ac:dyDescent="0.3">
      <c r="A6" t="s">
        <v>1367</v>
      </c>
    </row>
    <row r="8" spans="1:1" x14ac:dyDescent="0.3">
      <c r="A8" t="s">
        <v>1368</v>
      </c>
    </row>
    <row r="9" spans="1:1" x14ac:dyDescent="0.3">
      <c r="A9" t="s">
        <v>1369</v>
      </c>
    </row>
    <row r="10" spans="1:1" x14ac:dyDescent="0.3">
      <c r="A10" t="s">
        <v>1370</v>
      </c>
    </row>
    <row r="11" spans="1:1" x14ac:dyDescent="0.3">
      <c r="A11" t="s">
        <v>1371</v>
      </c>
    </row>
    <row r="12" spans="1:1" x14ac:dyDescent="0.3">
      <c r="A12" t="s">
        <v>1372</v>
      </c>
    </row>
    <row r="13" spans="1:1" x14ac:dyDescent="0.3">
      <c r="A13" t="s">
        <v>1373</v>
      </c>
    </row>
    <row r="14" spans="1:1" x14ac:dyDescent="0.3">
      <c r="A14" t="s">
        <v>1374</v>
      </c>
    </row>
    <row r="15" spans="1:1" x14ac:dyDescent="0.3">
      <c r="A15" t="s">
        <v>1375</v>
      </c>
    </row>
    <row r="17" spans="1:1" x14ac:dyDescent="0.3">
      <c r="A17" t="s">
        <v>1376</v>
      </c>
    </row>
    <row r="18" spans="1:1" x14ac:dyDescent="0.3">
      <c r="A18" t="s">
        <v>1377</v>
      </c>
    </row>
    <row r="19" spans="1:1" x14ac:dyDescent="0.3">
      <c r="A19" t="s">
        <v>1378</v>
      </c>
    </row>
    <row r="20" spans="1:1" x14ac:dyDescent="0.3">
      <c r="A20" t="s">
        <v>1379</v>
      </c>
    </row>
    <row r="21" spans="1:1" x14ac:dyDescent="0.3">
      <c r="A21" t="s">
        <v>1380</v>
      </c>
    </row>
    <row r="23" spans="1:1" x14ac:dyDescent="0.3">
      <c r="A23" t="s">
        <v>1381</v>
      </c>
    </row>
    <row r="24" spans="1:1" x14ac:dyDescent="0.3">
      <c r="A24" t="s">
        <v>1382</v>
      </c>
    </row>
    <row r="25" spans="1:1" x14ac:dyDescent="0.3">
      <c r="A25" t="s">
        <v>1383</v>
      </c>
    </row>
    <row r="26" spans="1:1" x14ac:dyDescent="0.3">
      <c r="A26" t="s">
        <v>1384</v>
      </c>
    </row>
    <row r="27" spans="1:1" x14ac:dyDescent="0.3">
      <c r="A27" t="s">
        <v>1385</v>
      </c>
    </row>
    <row r="29" spans="1:1" x14ac:dyDescent="0.3">
      <c r="A29" t="s">
        <v>1386</v>
      </c>
    </row>
    <row r="30" spans="1:1" x14ac:dyDescent="0.3">
      <c r="A30" t="s">
        <v>1387</v>
      </c>
    </row>
    <row r="31" spans="1:1" x14ac:dyDescent="0.3">
      <c r="A31" t="s">
        <v>1454</v>
      </c>
    </row>
    <row r="32" spans="1:1" x14ac:dyDescent="0.3">
      <c r="A32" t="s">
        <v>1388</v>
      </c>
    </row>
    <row r="33" spans="1:1" x14ac:dyDescent="0.3">
      <c r="A33" t="s">
        <v>1389</v>
      </c>
    </row>
    <row r="34" spans="1:1" x14ac:dyDescent="0.3">
      <c r="A34" t="s">
        <v>1390</v>
      </c>
    </row>
    <row r="35" spans="1:1" x14ac:dyDescent="0.3">
      <c r="A35" t="s">
        <v>1391</v>
      </c>
    </row>
    <row r="36" spans="1:1" x14ac:dyDescent="0.3">
      <c r="A36" t="s">
        <v>1392</v>
      </c>
    </row>
    <row r="37" spans="1:1" x14ac:dyDescent="0.3">
      <c r="A37" t="s">
        <v>1393</v>
      </c>
    </row>
    <row r="38" spans="1:1" x14ac:dyDescent="0.3">
      <c r="A38" t="s">
        <v>1394</v>
      </c>
    </row>
    <row r="39" spans="1:1" x14ac:dyDescent="0.3">
      <c r="A39" t="s">
        <v>1395</v>
      </c>
    </row>
    <row r="40" spans="1:1" x14ac:dyDescent="0.3">
      <c r="A40" t="s">
        <v>1396</v>
      </c>
    </row>
    <row r="41" spans="1:1" x14ac:dyDescent="0.3">
      <c r="A41" t="s">
        <v>1397</v>
      </c>
    </row>
    <row r="43" spans="1:1" x14ac:dyDescent="0.3">
      <c r="A43" t="s">
        <v>1398</v>
      </c>
    </row>
    <row r="44" spans="1:1" x14ac:dyDescent="0.3">
      <c r="A44" t="s">
        <v>1399</v>
      </c>
    </row>
    <row r="45" spans="1:1" x14ac:dyDescent="0.3">
      <c r="A45" t="s">
        <v>1461</v>
      </c>
    </row>
    <row r="46" spans="1:1" x14ac:dyDescent="0.3">
      <c r="A46" t="s">
        <v>1400</v>
      </c>
    </row>
    <row r="47" spans="1:1" x14ac:dyDescent="0.3">
      <c r="A47" t="s">
        <v>1401</v>
      </c>
    </row>
    <row r="48" spans="1:1" x14ac:dyDescent="0.3">
      <c r="A48" t="s">
        <v>1402</v>
      </c>
    </row>
    <row r="50" spans="1:1" x14ac:dyDescent="0.3">
      <c r="A50" t="s">
        <v>1403</v>
      </c>
    </row>
    <row r="51" spans="1:1" x14ac:dyDescent="0.3">
      <c r="A51" t="s">
        <v>1404</v>
      </c>
    </row>
    <row r="52" spans="1:1" x14ac:dyDescent="0.3">
      <c r="A52" t="s">
        <v>1405</v>
      </c>
    </row>
    <row r="53" spans="1:1" x14ac:dyDescent="0.3">
      <c r="A53" t="s">
        <v>1406</v>
      </c>
    </row>
    <row r="54" spans="1:1" x14ac:dyDescent="0.3">
      <c r="A54" t="s">
        <v>1407</v>
      </c>
    </row>
    <row r="55" spans="1:1" x14ac:dyDescent="0.3">
      <c r="A55" t="s">
        <v>1408</v>
      </c>
    </row>
    <row r="56" spans="1:1" x14ac:dyDescent="0.3">
      <c r="A56" t="s">
        <v>1409</v>
      </c>
    </row>
    <row r="57" spans="1:1" x14ac:dyDescent="0.3">
      <c r="A57" t="s">
        <v>1410</v>
      </c>
    </row>
    <row r="58" spans="1:1" x14ac:dyDescent="0.3">
      <c r="A58" t="s">
        <v>1411</v>
      </c>
    </row>
    <row r="59" spans="1:1" x14ac:dyDescent="0.3">
      <c r="A59" t="s">
        <v>1412</v>
      </c>
    </row>
    <row r="61" spans="1:1" x14ac:dyDescent="0.3">
      <c r="A61" t="s">
        <v>1413</v>
      </c>
    </row>
    <row r="62" spans="1:1" x14ac:dyDescent="0.3">
      <c r="A62" t="s">
        <v>1414</v>
      </c>
    </row>
    <row r="64" spans="1:1" x14ac:dyDescent="0.3">
      <c r="A64" t="s">
        <v>1415</v>
      </c>
    </row>
    <row r="65" spans="1:1" x14ac:dyDescent="0.3">
      <c r="A65" t="s">
        <v>1416</v>
      </c>
    </row>
    <row r="66" spans="1:1" x14ac:dyDescent="0.3">
      <c r="A66" t="s">
        <v>1417</v>
      </c>
    </row>
    <row r="67" spans="1:1" x14ac:dyDescent="0.3">
      <c r="A67" t="s">
        <v>1418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BBDE7-4CEE-4154-8AC3-4359449A8FFE}">
  <dimension ref="L6:Q9"/>
  <sheetViews>
    <sheetView tabSelected="1" topLeftCell="A22" workbookViewId="0">
      <selection activeCell="N11" sqref="N11"/>
    </sheetView>
  </sheetViews>
  <sheetFormatPr defaultRowHeight="14.4" x14ac:dyDescent="0.3"/>
  <cols>
    <col min="1" max="15" width="8.88671875" style="35"/>
    <col min="16" max="16" width="21.88671875" style="35" bestFit="1" customWidth="1"/>
    <col min="17" max="16384" width="8.88671875" style="35"/>
  </cols>
  <sheetData>
    <row r="6" spans="12:17" ht="15" thickBot="1" x14ac:dyDescent="0.35"/>
    <row r="7" spans="12:17" x14ac:dyDescent="0.3">
      <c r="L7" s="35" t="s">
        <v>1489</v>
      </c>
      <c r="P7" s="37" t="s">
        <v>1490</v>
      </c>
      <c r="Q7" s="40">
        <v>0.2</v>
      </c>
    </row>
    <row r="8" spans="12:17" ht="15" thickBot="1" x14ac:dyDescent="0.35">
      <c r="P8" s="38" t="s">
        <v>1491</v>
      </c>
      <c r="Q8" s="41">
        <v>0.15</v>
      </c>
    </row>
    <row r="9" spans="12:17" ht="15" thickBot="1" x14ac:dyDescent="0.35">
      <c r="P9" s="39" t="s">
        <v>1492</v>
      </c>
      <c r="Q9" s="42">
        <v>0.2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048574"/>
  <sheetViews>
    <sheetView zoomScale="115" zoomScaleNormal="115" workbookViewId="0">
      <pane xSplit="1" ySplit="1" topLeftCell="B2" activePane="bottomRight" state="frozen"/>
      <selection pane="topRight" activeCell="B1" sqref="B1"/>
      <selection pane="bottomLeft" activeCell="A2" sqref="A2"/>
      <selection pane="bottomRight" activeCell="D42" sqref="D42"/>
    </sheetView>
  </sheetViews>
  <sheetFormatPr defaultColWidth="18.6640625" defaultRowHeight="14.4" x14ac:dyDescent="0.3"/>
  <cols>
    <col min="1" max="1" width="18.6640625" style="3"/>
    <col min="2" max="2" width="18.6640625" style="28"/>
    <col min="3" max="3" width="12.33203125" style="28" customWidth="1"/>
    <col min="4" max="4" width="14.109375" style="28" customWidth="1"/>
    <col min="5" max="5" width="12.109375" style="28" customWidth="1"/>
    <col min="6" max="6" width="18.6640625" style="5"/>
    <col min="7" max="7" width="21.77734375" style="5" bestFit="1" customWidth="1"/>
    <col min="8" max="8" width="0" style="5" hidden="1" customWidth="1"/>
    <col min="9" max="9" width="18.6640625" style="5"/>
    <col min="10" max="10" width="23.33203125" style="5" customWidth="1"/>
    <col min="11" max="11" width="0" style="14" hidden="1" customWidth="1"/>
    <col min="12" max="18" width="18.6640625" style="3"/>
    <col min="19" max="19" width="13" style="3" customWidth="1"/>
    <col min="20" max="21" width="18.6640625" style="21"/>
    <col min="22" max="22" width="22.6640625" customWidth="1"/>
    <col min="23" max="23" width="8.6640625" style="7" hidden="1" customWidth="1"/>
    <col min="24" max="24" width="18.6640625" style="8"/>
    <col min="25" max="25" width="18.6640625" style="14"/>
    <col min="26" max="30" width="18.6640625" style="7"/>
    <col min="31" max="31" width="18.77734375" style="7" customWidth="1"/>
    <col min="32" max="32" width="18.6640625" style="26"/>
    <col min="33" max="33" width="18.6640625" style="8"/>
  </cols>
  <sheetData>
    <row r="1" spans="1:35" x14ac:dyDescent="0.3">
      <c r="A1" s="2" t="s">
        <v>0</v>
      </c>
      <c r="B1" s="27" t="s">
        <v>1456</v>
      </c>
      <c r="C1" s="27" t="s">
        <v>1455</v>
      </c>
      <c r="D1" s="27" t="s">
        <v>1444</v>
      </c>
      <c r="E1" s="27" t="s">
        <v>1458</v>
      </c>
      <c r="F1" s="4" t="s">
        <v>1</v>
      </c>
      <c r="G1" s="16" t="s">
        <v>1425</v>
      </c>
      <c r="H1" s="4" t="s">
        <v>2</v>
      </c>
      <c r="I1" s="4" t="s">
        <v>1460</v>
      </c>
      <c r="J1" s="4" t="s">
        <v>1459</v>
      </c>
      <c r="K1" s="17" t="s">
        <v>1423</v>
      </c>
      <c r="L1" s="2" t="s">
        <v>3</v>
      </c>
      <c r="M1" s="2" t="s">
        <v>4</v>
      </c>
      <c r="N1" s="2" t="s">
        <v>5</v>
      </c>
      <c r="O1" s="2" t="s">
        <v>6</v>
      </c>
      <c r="P1" s="2" t="s">
        <v>7</v>
      </c>
      <c r="Q1" s="2" t="s">
        <v>8</v>
      </c>
      <c r="R1" s="2" t="s">
        <v>9</v>
      </c>
      <c r="S1" s="2" t="s">
        <v>10</v>
      </c>
      <c r="T1" s="22" t="s">
        <v>11</v>
      </c>
      <c r="U1" s="22" t="s">
        <v>1451</v>
      </c>
      <c r="V1" s="34" t="s">
        <v>1471</v>
      </c>
      <c r="W1" s="6" t="s">
        <v>12</v>
      </c>
      <c r="X1" s="23" t="s">
        <v>1450</v>
      </c>
      <c r="Y1" s="17" t="s">
        <v>13</v>
      </c>
      <c r="Z1" s="33" t="s">
        <v>1465</v>
      </c>
      <c r="AA1" s="33" t="s">
        <v>1466</v>
      </c>
      <c r="AB1" s="33" t="s">
        <v>1467</v>
      </c>
      <c r="AC1" s="33" t="s">
        <v>1468</v>
      </c>
      <c r="AD1" s="33" t="s">
        <v>1469</v>
      </c>
      <c r="AE1" s="33" t="s">
        <v>1470</v>
      </c>
      <c r="AF1" s="25" t="s">
        <v>1432</v>
      </c>
      <c r="AG1" s="32" t="s">
        <v>1462</v>
      </c>
      <c r="AH1" s="24" t="s">
        <v>1463</v>
      </c>
      <c r="AI1" s="24" t="s">
        <v>1464</v>
      </c>
    </row>
    <row r="2" spans="1:35" x14ac:dyDescent="0.3">
      <c r="A2" s="3" t="s">
        <v>1422</v>
      </c>
      <c r="B2" s="28">
        <v>44928</v>
      </c>
      <c r="C2" s="28" t="str">
        <f>"Q" &amp; ROUNDUP(MONTH(B2)/3,0)</f>
        <v>Q1</v>
      </c>
      <c r="D2" s="28" t="str">
        <f>TEXT(F2,"YYYY")</f>
        <v>2025</v>
      </c>
      <c r="E2" s="28" t="str">
        <f>TEXT(F2,"MMM")</f>
        <v>Feb</v>
      </c>
      <c r="F2" s="5">
        <v>45716</v>
      </c>
      <c r="G2" s="5">
        <f t="shared" ref="G2:G65" si="0">IF(H2&gt;=F2, H2, (H2-K2))</f>
        <v>45726</v>
      </c>
      <c r="H2" s="5">
        <v>45726</v>
      </c>
      <c r="I2" s="5" t="str">
        <f>IF(J2&gt;=7,"Achieved","Not achieved")</f>
        <v>Achieved</v>
      </c>
      <c r="J2" s="14">
        <f>_xlfn.DAYS(G2,F2)</f>
        <v>10</v>
      </c>
      <c r="K2" s="14">
        <f t="shared" ref="K2:K65" si="1">_xlfn.DAYS(H2,F2)</f>
        <v>10</v>
      </c>
      <c r="L2" s="3" t="s">
        <v>646</v>
      </c>
      <c r="M2" s="3" t="s">
        <v>651</v>
      </c>
      <c r="N2" s="3" t="s">
        <v>665</v>
      </c>
      <c r="O2" s="3" t="s">
        <v>701</v>
      </c>
      <c r="P2" s="3" t="s">
        <v>709</v>
      </c>
      <c r="Q2" s="3" t="s">
        <v>724</v>
      </c>
      <c r="R2" s="3" t="s">
        <v>730</v>
      </c>
      <c r="S2" s="3" t="s">
        <v>1362</v>
      </c>
      <c r="T2" s="21">
        <v>51.86</v>
      </c>
      <c r="U2" s="21" t="str">
        <f t="shared" ref="U2" si="2">IF(V2&lt;=QUARTILE(V2:V633,1),"Low",IF(V2&gt;=QUARTILE(V2:V633,3),"High","Medium"))</f>
        <v>Low</v>
      </c>
      <c r="V2">
        <f t="shared" ref="V2:V65" si="3">ABS(W2)</f>
        <v>45.98</v>
      </c>
      <c r="W2" s="7">
        <v>45.98</v>
      </c>
      <c r="X2" s="8">
        <v>0.17299999999999999</v>
      </c>
      <c r="Y2" s="14">
        <v>7</v>
      </c>
      <c r="Z2" s="7">
        <f t="shared" ref="Z2:Z65" si="4">X2*V2</f>
        <v>7.9545399999999988</v>
      </c>
      <c r="AA2" s="7">
        <f t="shared" ref="AA2:AA65" si="5">(V2*Y2)*(1-X2)</f>
        <v>266.17821999999995</v>
      </c>
      <c r="AB2" s="7">
        <f t="shared" ref="AB2:AB65" si="6">AA2-Z2</f>
        <v>258.22367999999994</v>
      </c>
      <c r="AC2" s="7">
        <f t="shared" ref="AC2:AC65" si="7">T2*Y2</f>
        <v>363.02</v>
      </c>
      <c r="AD2" s="7">
        <f t="shared" ref="AD2:AD65" si="8">AA2-AC2</f>
        <v>-96.841780000000028</v>
      </c>
      <c r="AE2" s="7">
        <f t="shared" ref="AE2:AE65" si="9">AB2-AC2</f>
        <v>-104.79632000000004</v>
      </c>
      <c r="AF2" s="26">
        <f t="shared" ref="AF2:AF65" si="10">IF(AA2=0,0,AA2/AC2)</f>
        <v>0.73323293482452745</v>
      </c>
      <c r="AG2" s="8">
        <f>IF(DASHBOARD!$Q$7&gt;'staging data'!X2,'staging data'!X2,DASHBOARD!$Q$7)</f>
        <v>0.17299999999999999</v>
      </c>
      <c r="AH2">
        <f>(100%+DASHBOARD!$Q$8)*'staging data'!T2</f>
        <v>59.638999999999996</v>
      </c>
      <c r="AI2">
        <f>(100%+DASHBOARD!$Q$9)*'staging data'!Y2</f>
        <v>8.4</v>
      </c>
    </row>
    <row r="3" spans="1:35" x14ac:dyDescent="0.3">
      <c r="A3" s="3" t="s">
        <v>644</v>
      </c>
      <c r="B3" s="28">
        <v>44933</v>
      </c>
      <c r="C3" s="28" t="str">
        <f t="shared" ref="C3:C66" si="11">"Q" &amp; ROUNDUP(MONTH(B3)/3,0)</f>
        <v>Q1</v>
      </c>
      <c r="D3" s="28" t="str">
        <f t="shared" ref="D3:D66" si="12">TEXT(F3,"YYYY")</f>
        <v>2023</v>
      </c>
      <c r="E3" s="28" t="str">
        <f t="shared" ref="E3:E66" si="13">TEXT(F3,"MMM")</f>
        <v>Nov</v>
      </c>
      <c r="F3" s="5">
        <v>45249</v>
      </c>
      <c r="G3" s="5">
        <f t="shared" si="0"/>
        <v>45279</v>
      </c>
      <c r="H3" s="5">
        <v>45279</v>
      </c>
      <c r="I3" s="5" t="str">
        <f t="shared" ref="I3:I66" si="14">IF(J3&gt;=7,"Achieved","Not achieved")</f>
        <v>Achieved</v>
      </c>
      <c r="J3" s="14">
        <f t="shared" ref="J3:J66" si="15">_xlfn.DAYS(G3,F3)</f>
        <v>30</v>
      </c>
      <c r="K3" s="14">
        <f t="shared" si="1"/>
        <v>30</v>
      </c>
      <c r="L3" s="3" t="s">
        <v>646</v>
      </c>
      <c r="M3" s="3" t="s">
        <v>651</v>
      </c>
      <c r="N3" s="3" t="s">
        <v>693</v>
      </c>
      <c r="O3" s="3" t="s">
        <v>703</v>
      </c>
      <c r="P3" s="3" t="s">
        <v>706</v>
      </c>
      <c r="Q3" s="3" t="s">
        <v>715</v>
      </c>
      <c r="R3" s="3" t="s">
        <v>729</v>
      </c>
      <c r="S3" s="3" t="s">
        <v>1361</v>
      </c>
      <c r="T3" s="21">
        <v>807.11</v>
      </c>
      <c r="U3" s="21" t="str">
        <f>IF(V3&lt;=QUARTILE(V3:V633,1),"Low",IF(V3&gt;=QUARTILE(V3:V633,3),"High","Medium"))</f>
        <v>Medium</v>
      </c>
      <c r="V3">
        <f t="shared" si="3"/>
        <v>1853.86</v>
      </c>
      <c r="W3" s="7">
        <v>1853.86</v>
      </c>
      <c r="X3" s="8">
        <v>0.13900000000000001</v>
      </c>
      <c r="Y3" s="14">
        <v>8</v>
      </c>
      <c r="Z3" s="7">
        <f t="shared" si="4"/>
        <v>257.68654000000004</v>
      </c>
      <c r="AA3" s="7">
        <f t="shared" si="5"/>
        <v>12769.38768</v>
      </c>
      <c r="AB3" s="7">
        <f t="shared" si="6"/>
        <v>12511.701139999999</v>
      </c>
      <c r="AC3" s="7">
        <f t="shared" si="7"/>
        <v>6456.88</v>
      </c>
      <c r="AD3" s="7">
        <f t="shared" si="8"/>
        <v>6312.5076799999997</v>
      </c>
      <c r="AE3" s="7">
        <f t="shared" si="9"/>
        <v>6054.8211399999991</v>
      </c>
      <c r="AF3" s="26">
        <f t="shared" si="10"/>
        <v>1.9776405446593401</v>
      </c>
      <c r="AG3" s="8">
        <f>IF(DASHBOARD!$Q$7&gt;'staging data'!X3,'staging data'!X3,DASHBOARD!$Q$7)</f>
        <v>0.13900000000000001</v>
      </c>
      <c r="AH3">
        <f>(100%+DASHBOARD!$Q$8)*'staging data'!T3</f>
        <v>928.17649999999992</v>
      </c>
      <c r="AI3">
        <f>(100%+DASHBOARD!$Q$9)*'staging data'!Y3</f>
        <v>9.6</v>
      </c>
    </row>
    <row r="4" spans="1:35" x14ac:dyDescent="0.3">
      <c r="A4" s="3" t="s">
        <v>643</v>
      </c>
      <c r="B4" s="28">
        <v>44936</v>
      </c>
      <c r="C4" s="28" t="str">
        <f t="shared" si="11"/>
        <v>Q1</v>
      </c>
      <c r="D4" s="28" t="str">
        <f t="shared" si="12"/>
        <v>2023</v>
      </c>
      <c r="E4" s="28" t="str">
        <f t="shared" si="13"/>
        <v>Dec</v>
      </c>
      <c r="F4" s="5">
        <v>45267</v>
      </c>
      <c r="G4" s="5">
        <f t="shared" si="0"/>
        <v>45293</v>
      </c>
      <c r="H4" s="5">
        <v>45293</v>
      </c>
      <c r="I4" s="5" t="str">
        <f t="shared" si="14"/>
        <v>Achieved</v>
      </c>
      <c r="J4" s="14">
        <f t="shared" si="15"/>
        <v>26</v>
      </c>
      <c r="K4" s="14">
        <f t="shared" si="1"/>
        <v>26</v>
      </c>
      <c r="L4" s="3" t="s">
        <v>648</v>
      </c>
      <c r="M4" s="3" t="s">
        <v>655</v>
      </c>
      <c r="N4" s="3" t="s">
        <v>697</v>
      </c>
      <c r="O4" s="3" t="s">
        <v>705</v>
      </c>
      <c r="P4" s="3" t="s">
        <v>709</v>
      </c>
      <c r="Q4" s="3" t="s">
        <v>717</v>
      </c>
      <c r="R4" s="3" t="s">
        <v>726</v>
      </c>
      <c r="S4" s="3" t="s">
        <v>1360</v>
      </c>
      <c r="T4" s="21">
        <v>1071.99</v>
      </c>
      <c r="U4" s="21" t="str">
        <f t="shared" ref="U4:U67" si="16">IF(V4&lt;=QUARTILE(V4:V633,1),"Low",IF(V4&gt;=QUARTILE(V4:V633,3),"High","Medium"))</f>
        <v>High</v>
      </c>
      <c r="V4">
        <f t="shared" si="3"/>
        <v>2397.3000000000002</v>
      </c>
      <c r="W4" s="7">
        <v>2397.3000000000002</v>
      </c>
      <c r="X4" s="8">
        <v>6.2E-2</v>
      </c>
      <c r="Y4" s="14">
        <v>18</v>
      </c>
      <c r="Z4" s="7">
        <f t="shared" si="4"/>
        <v>148.6326</v>
      </c>
      <c r="AA4" s="7">
        <f t="shared" si="5"/>
        <v>40476.013200000001</v>
      </c>
      <c r="AB4" s="7">
        <f t="shared" si="6"/>
        <v>40327.380600000004</v>
      </c>
      <c r="AC4" s="7">
        <f t="shared" si="7"/>
        <v>19295.82</v>
      </c>
      <c r="AD4" s="7">
        <f t="shared" si="8"/>
        <v>21180.193200000002</v>
      </c>
      <c r="AE4" s="7">
        <f t="shared" si="9"/>
        <v>21031.560600000004</v>
      </c>
      <c r="AF4" s="26">
        <f t="shared" si="10"/>
        <v>2.0976570676965269</v>
      </c>
      <c r="AG4" s="8">
        <f>IF(DASHBOARD!$Q$7&gt;'staging data'!X4,'staging data'!X4,DASHBOARD!$Q$7)</f>
        <v>6.2E-2</v>
      </c>
      <c r="AH4">
        <f>(100%+DASHBOARD!$Q$8)*'staging data'!T4</f>
        <v>1232.7884999999999</v>
      </c>
      <c r="AI4">
        <f>(100%+DASHBOARD!$Q$9)*'staging data'!Y4</f>
        <v>21.599999999999998</v>
      </c>
    </row>
    <row r="5" spans="1:35" x14ac:dyDescent="0.3">
      <c r="A5" s="3" t="s">
        <v>642</v>
      </c>
      <c r="B5" s="28">
        <v>44938</v>
      </c>
      <c r="C5" s="28" t="str">
        <f t="shared" si="11"/>
        <v>Q1</v>
      </c>
      <c r="D5" s="28" t="str">
        <f t="shared" si="12"/>
        <v>2023</v>
      </c>
      <c r="E5" s="28" t="str">
        <f t="shared" si="13"/>
        <v>Jun</v>
      </c>
      <c r="F5" s="5">
        <v>45100</v>
      </c>
      <c r="G5" s="5">
        <f t="shared" si="0"/>
        <v>45125</v>
      </c>
      <c r="H5" s="5">
        <v>45125</v>
      </c>
      <c r="I5" s="5" t="str">
        <f t="shared" si="14"/>
        <v>Achieved</v>
      </c>
      <c r="J5" s="14">
        <f t="shared" si="15"/>
        <v>25</v>
      </c>
      <c r="K5" s="14">
        <f t="shared" si="1"/>
        <v>25</v>
      </c>
      <c r="L5" s="3" t="s">
        <v>647</v>
      </c>
      <c r="M5" s="3" t="s">
        <v>652</v>
      </c>
      <c r="N5" s="3" t="s">
        <v>687</v>
      </c>
      <c r="O5" s="3" t="s">
        <v>705</v>
      </c>
      <c r="P5" s="3" t="s">
        <v>707</v>
      </c>
      <c r="Q5" s="3" t="s">
        <v>724</v>
      </c>
      <c r="R5" s="3" t="s">
        <v>729</v>
      </c>
      <c r="S5" s="3" t="s">
        <v>1359</v>
      </c>
      <c r="T5" s="21">
        <v>807.02</v>
      </c>
      <c r="U5" s="21" t="str">
        <f t="shared" si="16"/>
        <v>Medium</v>
      </c>
      <c r="V5">
        <f t="shared" si="3"/>
        <v>1435.54</v>
      </c>
      <c r="W5" s="7">
        <v>1435.54</v>
      </c>
      <c r="X5" s="8">
        <v>0</v>
      </c>
      <c r="Y5" s="14">
        <v>23</v>
      </c>
      <c r="Z5" s="7">
        <f t="shared" si="4"/>
        <v>0</v>
      </c>
      <c r="AA5" s="7">
        <f t="shared" si="5"/>
        <v>33017.42</v>
      </c>
      <c r="AB5" s="7">
        <f t="shared" si="6"/>
        <v>33017.42</v>
      </c>
      <c r="AC5" s="7">
        <f t="shared" si="7"/>
        <v>18561.46</v>
      </c>
      <c r="AD5" s="7">
        <f t="shared" si="8"/>
        <v>14455.96</v>
      </c>
      <c r="AE5" s="7">
        <f t="shared" si="9"/>
        <v>14455.96</v>
      </c>
      <c r="AF5" s="26">
        <f t="shared" si="10"/>
        <v>1.7788158905603331</v>
      </c>
      <c r="AG5" s="8">
        <f>IF(DASHBOARD!$Q$7&gt;'staging data'!X5,'staging data'!X5,DASHBOARD!$Q$7)</f>
        <v>0</v>
      </c>
      <c r="AH5">
        <f>(100%+DASHBOARD!$Q$8)*'staging data'!T5</f>
        <v>928.07299999999987</v>
      </c>
      <c r="AI5">
        <f>(100%+DASHBOARD!$Q$9)*'staging data'!Y5</f>
        <v>27.599999999999998</v>
      </c>
    </row>
    <row r="6" spans="1:35" x14ac:dyDescent="0.3">
      <c r="A6" s="3" t="s">
        <v>641</v>
      </c>
      <c r="B6" s="28">
        <v>44939</v>
      </c>
      <c r="C6" s="28" t="str">
        <f t="shared" si="11"/>
        <v>Q1</v>
      </c>
      <c r="D6" s="28" t="str">
        <f t="shared" si="12"/>
        <v>2023</v>
      </c>
      <c r="E6" s="28" t="str">
        <f t="shared" si="13"/>
        <v>Aug</v>
      </c>
      <c r="F6" s="5">
        <v>45141</v>
      </c>
      <c r="G6" s="5">
        <f t="shared" si="0"/>
        <v>45168</v>
      </c>
      <c r="H6" s="5">
        <v>45168</v>
      </c>
      <c r="I6" s="5" t="str">
        <f t="shared" si="14"/>
        <v>Achieved</v>
      </c>
      <c r="J6" s="14">
        <f t="shared" si="15"/>
        <v>27</v>
      </c>
      <c r="K6" s="14">
        <f t="shared" si="1"/>
        <v>27</v>
      </c>
      <c r="L6" s="3" t="s">
        <v>646</v>
      </c>
      <c r="M6" s="3" t="s">
        <v>658</v>
      </c>
      <c r="N6" s="3" t="s">
        <v>684</v>
      </c>
      <c r="O6" s="3" t="s">
        <v>703</v>
      </c>
      <c r="P6" s="3" t="s">
        <v>709</v>
      </c>
      <c r="Q6" s="3" t="s">
        <v>724</v>
      </c>
      <c r="R6" s="3" t="s">
        <v>731</v>
      </c>
      <c r="S6" s="3" t="s">
        <v>1358</v>
      </c>
      <c r="T6" s="21">
        <v>226.04</v>
      </c>
      <c r="U6" s="21" t="str">
        <f t="shared" si="16"/>
        <v>Low</v>
      </c>
      <c r="V6">
        <f t="shared" si="3"/>
        <v>545.72</v>
      </c>
      <c r="W6" s="7">
        <v>545.72</v>
      </c>
      <c r="X6" s="8">
        <v>0.151</v>
      </c>
      <c r="Y6" s="14">
        <v>11</v>
      </c>
      <c r="Z6" s="7">
        <f t="shared" si="4"/>
        <v>82.403720000000007</v>
      </c>
      <c r="AA6" s="7">
        <f t="shared" si="5"/>
        <v>5096.4790800000001</v>
      </c>
      <c r="AB6" s="7">
        <f t="shared" si="6"/>
        <v>5014.0753599999998</v>
      </c>
      <c r="AC6" s="7">
        <f t="shared" si="7"/>
        <v>2486.44</v>
      </c>
      <c r="AD6" s="7">
        <f t="shared" si="8"/>
        <v>2610.03908</v>
      </c>
      <c r="AE6" s="7">
        <f t="shared" si="9"/>
        <v>2527.6353599999998</v>
      </c>
      <c r="AF6" s="26">
        <f t="shared" si="10"/>
        <v>2.0497092549991152</v>
      </c>
      <c r="AG6" s="8">
        <f>IF(DASHBOARD!$Q$7&gt;'staging data'!X6,'staging data'!X6,DASHBOARD!$Q$7)</f>
        <v>0.151</v>
      </c>
      <c r="AH6">
        <f>(100%+DASHBOARD!$Q$8)*'staging data'!T6</f>
        <v>259.94599999999997</v>
      </c>
      <c r="AI6">
        <f>(100%+DASHBOARD!$Q$9)*'staging data'!Y6</f>
        <v>13.2</v>
      </c>
    </row>
    <row r="7" spans="1:35" x14ac:dyDescent="0.3">
      <c r="A7" s="3" t="s">
        <v>640</v>
      </c>
      <c r="B7" s="28">
        <v>44941</v>
      </c>
      <c r="C7" s="28" t="str">
        <f t="shared" si="11"/>
        <v>Q1</v>
      </c>
      <c r="D7" s="28" t="str">
        <f t="shared" si="12"/>
        <v>2023</v>
      </c>
      <c r="E7" s="28" t="str">
        <f t="shared" si="13"/>
        <v>Dec</v>
      </c>
      <c r="F7" s="5">
        <v>45282</v>
      </c>
      <c r="G7" s="5">
        <f t="shared" si="0"/>
        <v>45307</v>
      </c>
      <c r="H7" s="5">
        <v>45307</v>
      </c>
      <c r="I7" s="5" t="str">
        <f t="shared" si="14"/>
        <v>Achieved</v>
      </c>
      <c r="J7" s="14">
        <f t="shared" si="15"/>
        <v>25</v>
      </c>
      <c r="K7" s="14">
        <f t="shared" si="1"/>
        <v>25</v>
      </c>
      <c r="L7" s="3" t="s">
        <v>646</v>
      </c>
      <c r="M7" s="3" t="s">
        <v>653</v>
      </c>
      <c r="N7" s="3" t="s">
        <v>695</v>
      </c>
      <c r="O7" s="3" t="s">
        <v>704</v>
      </c>
      <c r="P7" s="3" t="s">
        <v>706</v>
      </c>
      <c r="Q7" s="3" t="s">
        <v>719</v>
      </c>
      <c r="R7" s="3" t="s">
        <v>726</v>
      </c>
      <c r="S7" s="3" t="s">
        <v>1357</v>
      </c>
      <c r="T7" s="21">
        <v>1346.81</v>
      </c>
      <c r="U7" s="21" t="str">
        <f t="shared" si="16"/>
        <v>Medium</v>
      </c>
      <c r="V7">
        <f t="shared" si="3"/>
        <v>978.09</v>
      </c>
      <c r="W7" s="7">
        <v>978.09</v>
      </c>
      <c r="X7" s="8">
        <v>0.159</v>
      </c>
      <c r="Y7" s="14">
        <v>17</v>
      </c>
      <c r="Z7" s="7">
        <f t="shared" si="4"/>
        <v>155.51631</v>
      </c>
      <c r="AA7" s="7">
        <f t="shared" si="5"/>
        <v>13983.752729999998</v>
      </c>
      <c r="AB7" s="7">
        <f t="shared" si="6"/>
        <v>13828.236419999997</v>
      </c>
      <c r="AC7" s="7">
        <f t="shared" si="7"/>
        <v>22895.77</v>
      </c>
      <c r="AD7" s="7">
        <f t="shared" si="8"/>
        <v>-8912.0172700000021</v>
      </c>
      <c r="AE7" s="7">
        <f t="shared" si="9"/>
        <v>-9067.533580000003</v>
      </c>
      <c r="AF7" s="26">
        <f t="shared" si="10"/>
        <v>0.61075704071101333</v>
      </c>
      <c r="AG7" s="8">
        <f>IF(DASHBOARD!$Q$7&gt;'staging data'!X7,'staging data'!X7,DASHBOARD!$Q$7)</f>
        <v>0.159</v>
      </c>
      <c r="AH7">
        <f>(100%+DASHBOARD!$Q$8)*'staging data'!T7</f>
        <v>1548.8314999999998</v>
      </c>
      <c r="AI7">
        <f>(100%+DASHBOARD!$Q$9)*'staging data'!Y7</f>
        <v>20.399999999999999</v>
      </c>
    </row>
    <row r="8" spans="1:35" x14ac:dyDescent="0.3">
      <c r="A8" s="3" t="s">
        <v>639</v>
      </c>
      <c r="B8" s="28">
        <v>44945</v>
      </c>
      <c r="C8" s="28" t="str">
        <f t="shared" si="11"/>
        <v>Q1</v>
      </c>
      <c r="D8" s="28" t="str">
        <f t="shared" si="12"/>
        <v>2023</v>
      </c>
      <c r="E8" s="28" t="str">
        <f t="shared" si="13"/>
        <v>Nov</v>
      </c>
      <c r="F8" s="5">
        <v>45249</v>
      </c>
      <c r="G8" s="5">
        <f t="shared" si="0"/>
        <v>45272</v>
      </c>
      <c r="H8" s="5">
        <v>45272</v>
      </c>
      <c r="I8" s="5" t="str">
        <f t="shared" si="14"/>
        <v>Achieved</v>
      </c>
      <c r="J8" s="14">
        <f t="shared" si="15"/>
        <v>23</v>
      </c>
      <c r="K8" s="14">
        <f t="shared" si="1"/>
        <v>23</v>
      </c>
      <c r="L8" s="3" t="s">
        <v>646</v>
      </c>
      <c r="M8" s="3" t="s">
        <v>653</v>
      </c>
      <c r="N8" s="3" t="s">
        <v>679</v>
      </c>
      <c r="O8" s="3" t="s">
        <v>704</v>
      </c>
      <c r="P8" s="3" t="s">
        <v>710</v>
      </c>
      <c r="Q8" s="3" t="s">
        <v>711</v>
      </c>
      <c r="R8" s="3" t="s">
        <v>728</v>
      </c>
      <c r="S8" s="3" t="s">
        <v>1356</v>
      </c>
      <c r="T8" s="21">
        <v>1349.04</v>
      </c>
      <c r="U8" s="21" t="str">
        <f t="shared" si="16"/>
        <v>High</v>
      </c>
      <c r="V8">
        <f t="shared" si="3"/>
        <v>2636.6</v>
      </c>
      <c r="W8" s="7">
        <v>2636.6</v>
      </c>
      <c r="X8" s="8">
        <v>0.114</v>
      </c>
      <c r="Y8" s="14">
        <v>14</v>
      </c>
      <c r="Z8" s="7">
        <f t="shared" si="4"/>
        <v>300.57240000000002</v>
      </c>
      <c r="AA8" s="7">
        <f t="shared" si="5"/>
        <v>32704.386400000003</v>
      </c>
      <c r="AB8" s="7">
        <f t="shared" si="6"/>
        <v>32403.814000000002</v>
      </c>
      <c r="AC8" s="7">
        <f t="shared" si="7"/>
        <v>18886.559999999998</v>
      </c>
      <c r="AD8" s="7">
        <f t="shared" si="8"/>
        <v>13817.826400000005</v>
      </c>
      <c r="AE8" s="7">
        <f t="shared" si="9"/>
        <v>13517.254000000004</v>
      </c>
      <c r="AF8" s="26">
        <f t="shared" si="10"/>
        <v>1.7316221905947937</v>
      </c>
      <c r="AG8" s="8">
        <f>IF(DASHBOARD!$Q$7&gt;'staging data'!X8,'staging data'!X8,DASHBOARD!$Q$7)</f>
        <v>0.114</v>
      </c>
      <c r="AH8">
        <f>(100%+DASHBOARD!$Q$8)*'staging data'!T8</f>
        <v>1551.3959999999997</v>
      </c>
      <c r="AI8">
        <f>(100%+DASHBOARD!$Q$9)*'staging data'!Y8</f>
        <v>16.8</v>
      </c>
    </row>
    <row r="9" spans="1:35" x14ac:dyDescent="0.3">
      <c r="A9" s="3" t="s">
        <v>638</v>
      </c>
      <c r="B9" s="28">
        <v>44946</v>
      </c>
      <c r="C9" s="28" t="str">
        <f t="shared" si="11"/>
        <v>Q1</v>
      </c>
      <c r="D9" s="28" t="str">
        <f t="shared" si="12"/>
        <v>2023</v>
      </c>
      <c r="E9" s="28" t="str">
        <f t="shared" si="13"/>
        <v>Aug</v>
      </c>
      <c r="F9" s="5">
        <v>45141</v>
      </c>
      <c r="G9" s="5">
        <f t="shared" si="0"/>
        <v>45141</v>
      </c>
      <c r="H9" s="5">
        <v>45140</v>
      </c>
      <c r="I9" s="5" t="str">
        <f t="shared" si="14"/>
        <v>Not achieved</v>
      </c>
      <c r="J9" s="14">
        <f t="shared" si="15"/>
        <v>0</v>
      </c>
      <c r="K9" s="14">
        <f t="shared" si="1"/>
        <v>-1</v>
      </c>
      <c r="L9" s="3" t="s">
        <v>646</v>
      </c>
      <c r="M9" s="3" t="s">
        <v>658</v>
      </c>
      <c r="N9" s="3" t="s">
        <v>684</v>
      </c>
      <c r="O9" s="3" t="s">
        <v>702</v>
      </c>
      <c r="P9" s="3" t="s">
        <v>710</v>
      </c>
      <c r="Q9" s="3" t="s">
        <v>712</v>
      </c>
      <c r="R9" s="3" t="s">
        <v>728</v>
      </c>
      <c r="S9" s="3" t="s">
        <v>1355</v>
      </c>
      <c r="T9" s="21">
        <v>1021.97</v>
      </c>
      <c r="U9" s="21" t="str">
        <f t="shared" si="16"/>
        <v>High</v>
      </c>
      <c r="V9">
        <f t="shared" si="3"/>
        <v>2296.25</v>
      </c>
      <c r="W9" s="7">
        <v>2296.25</v>
      </c>
      <c r="X9" s="8">
        <v>0.161</v>
      </c>
      <c r="Y9" s="14">
        <v>26</v>
      </c>
      <c r="Z9" s="7">
        <f t="shared" si="4"/>
        <v>369.69625000000002</v>
      </c>
      <c r="AA9" s="7">
        <f t="shared" si="5"/>
        <v>50090.397499999999</v>
      </c>
      <c r="AB9" s="7">
        <f t="shared" si="6"/>
        <v>49720.701249999998</v>
      </c>
      <c r="AC9" s="7">
        <f t="shared" si="7"/>
        <v>26571.22</v>
      </c>
      <c r="AD9" s="7">
        <f t="shared" si="8"/>
        <v>23519.177499999998</v>
      </c>
      <c r="AE9" s="7">
        <f t="shared" si="9"/>
        <v>23149.481249999997</v>
      </c>
      <c r="AF9" s="26">
        <f t="shared" si="10"/>
        <v>1.8851372838733034</v>
      </c>
      <c r="AG9" s="8">
        <f>IF(DASHBOARD!$Q$7&gt;'staging data'!X9,'staging data'!X9,DASHBOARD!$Q$7)</f>
        <v>0.161</v>
      </c>
      <c r="AH9">
        <f>(100%+DASHBOARD!$Q$8)*'staging data'!T9</f>
        <v>1175.2655</v>
      </c>
      <c r="AI9">
        <f>(100%+DASHBOARD!$Q$9)*'staging data'!Y9</f>
        <v>31.2</v>
      </c>
    </row>
    <row r="10" spans="1:35" x14ac:dyDescent="0.3">
      <c r="A10" s="3" t="s">
        <v>636</v>
      </c>
      <c r="B10" s="28">
        <v>44948</v>
      </c>
      <c r="C10" s="28" t="str">
        <f t="shared" si="11"/>
        <v>Q1</v>
      </c>
      <c r="D10" s="28" t="str">
        <f t="shared" si="12"/>
        <v>2024</v>
      </c>
      <c r="E10" s="28" t="str">
        <f t="shared" si="13"/>
        <v>Jul</v>
      </c>
      <c r="F10" s="5">
        <v>45501</v>
      </c>
      <c r="G10" s="5">
        <f t="shared" si="0"/>
        <v>45527</v>
      </c>
      <c r="H10" s="5">
        <v>45527</v>
      </c>
      <c r="I10" s="5" t="str">
        <f t="shared" si="14"/>
        <v>Achieved</v>
      </c>
      <c r="J10" s="14">
        <f t="shared" si="15"/>
        <v>26</v>
      </c>
      <c r="K10" s="14">
        <f t="shared" si="1"/>
        <v>26</v>
      </c>
      <c r="L10" s="3" t="s">
        <v>646</v>
      </c>
      <c r="M10" s="3" t="s">
        <v>653</v>
      </c>
      <c r="N10" s="3" t="s">
        <v>695</v>
      </c>
      <c r="O10" s="3" t="s">
        <v>700</v>
      </c>
      <c r="P10" s="3" t="s">
        <v>706</v>
      </c>
      <c r="Q10" s="3" t="s">
        <v>712</v>
      </c>
      <c r="R10" s="3" t="s">
        <v>728</v>
      </c>
      <c r="S10" s="3" t="s">
        <v>1353</v>
      </c>
      <c r="T10" s="21">
        <v>1339.24</v>
      </c>
      <c r="U10" s="21" t="str">
        <f t="shared" si="16"/>
        <v>Medium</v>
      </c>
      <c r="V10">
        <f t="shared" si="3"/>
        <v>1558.89</v>
      </c>
      <c r="W10" s="7">
        <v>1558.89</v>
      </c>
      <c r="X10" s="8">
        <v>0.192</v>
      </c>
      <c r="Y10" s="14">
        <v>24</v>
      </c>
      <c r="Z10" s="7">
        <f t="shared" si="4"/>
        <v>299.30688000000004</v>
      </c>
      <c r="AA10" s="7">
        <f t="shared" si="5"/>
        <v>30229.994880000002</v>
      </c>
      <c r="AB10" s="7">
        <f t="shared" si="6"/>
        <v>29930.688000000002</v>
      </c>
      <c r="AC10" s="7">
        <f t="shared" si="7"/>
        <v>32141.760000000002</v>
      </c>
      <c r="AD10" s="7">
        <f t="shared" si="8"/>
        <v>-1911.76512</v>
      </c>
      <c r="AE10" s="7">
        <f t="shared" si="9"/>
        <v>-2211.0720000000001</v>
      </c>
      <c r="AF10" s="26">
        <f t="shared" si="10"/>
        <v>0.94052083271108988</v>
      </c>
      <c r="AG10" s="8">
        <f>IF(DASHBOARD!$Q$7&gt;'staging data'!X10,'staging data'!X10,DASHBOARD!$Q$7)</f>
        <v>0.192</v>
      </c>
      <c r="AH10">
        <f>(100%+DASHBOARD!$Q$8)*'staging data'!T10</f>
        <v>1540.126</v>
      </c>
      <c r="AI10">
        <f>(100%+DASHBOARD!$Q$9)*'staging data'!Y10</f>
        <v>28.799999999999997</v>
      </c>
    </row>
    <row r="11" spans="1:35" x14ac:dyDescent="0.3">
      <c r="A11" s="3" t="s">
        <v>637</v>
      </c>
      <c r="B11" s="28">
        <v>44948</v>
      </c>
      <c r="C11" s="28" t="str">
        <f t="shared" si="11"/>
        <v>Q1</v>
      </c>
      <c r="D11" s="28" t="str">
        <f t="shared" si="12"/>
        <v>2025</v>
      </c>
      <c r="E11" s="28" t="str">
        <f t="shared" si="13"/>
        <v>Jul</v>
      </c>
      <c r="F11" s="5">
        <v>45857</v>
      </c>
      <c r="G11" s="5">
        <f t="shared" si="0"/>
        <v>45869</v>
      </c>
      <c r="H11" s="5">
        <v>45869</v>
      </c>
      <c r="I11" s="5" t="str">
        <f t="shared" si="14"/>
        <v>Achieved</v>
      </c>
      <c r="J11" s="14">
        <f t="shared" si="15"/>
        <v>12</v>
      </c>
      <c r="K11" s="14">
        <f t="shared" si="1"/>
        <v>12</v>
      </c>
      <c r="L11" s="3" t="s">
        <v>645</v>
      </c>
      <c r="M11" s="3" t="s">
        <v>649</v>
      </c>
      <c r="N11" s="3" t="s">
        <v>663</v>
      </c>
      <c r="O11" s="3" t="s">
        <v>704</v>
      </c>
      <c r="P11" s="3" t="s">
        <v>708</v>
      </c>
      <c r="Q11" s="3" t="s">
        <v>718</v>
      </c>
      <c r="R11" s="3" t="s">
        <v>732</v>
      </c>
      <c r="S11" s="3" t="s">
        <v>1354</v>
      </c>
      <c r="T11" s="21">
        <v>619.64</v>
      </c>
      <c r="U11" s="21" t="str">
        <f t="shared" si="16"/>
        <v>Medium</v>
      </c>
      <c r="V11">
        <f t="shared" si="3"/>
        <v>861.16</v>
      </c>
      <c r="W11" s="7">
        <v>861.16</v>
      </c>
      <c r="X11" s="8">
        <v>0.113</v>
      </c>
      <c r="Y11" s="14">
        <v>14</v>
      </c>
      <c r="Z11" s="7">
        <f t="shared" si="4"/>
        <v>97.311080000000004</v>
      </c>
      <c r="AA11" s="7">
        <f t="shared" si="5"/>
        <v>10693.88488</v>
      </c>
      <c r="AB11" s="7">
        <f t="shared" si="6"/>
        <v>10596.5738</v>
      </c>
      <c r="AC11" s="7">
        <f t="shared" si="7"/>
        <v>8674.9599999999991</v>
      </c>
      <c r="AD11" s="7">
        <f t="shared" si="8"/>
        <v>2018.9248800000005</v>
      </c>
      <c r="AE11" s="7">
        <f t="shared" si="9"/>
        <v>1921.613800000001</v>
      </c>
      <c r="AF11" s="26">
        <f t="shared" si="10"/>
        <v>1.2327301659027823</v>
      </c>
      <c r="AG11" s="8">
        <f>IF(DASHBOARD!$Q$7&gt;'staging data'!X11,'staging data'!X11,DASHBOARD!$Q$7)</f>
        <v>0.113</v>
      </c>
      <c r="AH11">
        <f>(100%+DASHBOARD!$Q$8)*'staging data'!T11</f>
        <v>712.5859999999999</v>
      </c>
      <c r="AI11">
        <f>(100%+DASHBOARD!$Q$9)*'staging data'!Y11</f>
        <v>16.8</v>
      </c>
    </row>
    <row r="12" spans="1:35" x14ac:dyDescent="0.3">
      <c r="A12" s="3" t="s">
        <v>635</v>
      </c>
      <c r="B12" s="28">
        <v>44952</v>
      </c>
      <c r="C12" s="28" t="str">
        <f t="shared" si="11"/>
        <v>Q1</v>
      </c>
      <c r="D12" s="28" t="str">
        <f t="shared" si="12"/>
        <v>2025</v>
      </c>
      <c r="E12" s="28" t="str">
        <f t="shared" si="13"/>
        <v>Apr</v>
      </c>
      <c r="F12" s="5">
        <v>45764</v>
      </c>
      <c r="G12" s="5">
        <f t="shared" si="0"/>
        <v>45780</v>
      </c>
      <c r="H12" s="5">
        <v>45780</v>
      </c>
      <c r="I12" s="5" t="str">
        <f t="shared" si="14"/>
        <v>Achieved</v>
      </c>
      <c r="J12" s="14">
        <f t="shared" si="15"/>
        <v>16</v>
      </c>
      <c r="K12" s="14">
        <f t="shared" si="1"/>
        <v>16</v>
      </c>
      <c r="L12" s="3" t="s">
        <v>647</v>
      </c>
      <c r="M12" s="3" t="s">
        <v>654</v>
      </c>
      <c r="N12" s="3" t="s">
        <v>691</v>
      </c>
      <c r="O12" s="3" t="s">
        <v>703</v>
      </c>
      <c r="P12" s="3" t="s">
        <v>708</v>
      </c>
      <c r="Q12" s="3" t="s">
        <v>712</v>
      </c>
      <c r="R12" s="3" t="s">
        <v>728</v>
      </c>
      <c r="S12" s="3" t="s">
        <v>1352</v>
      </c>
      <c r="T12" s="21">
        <v>168.68</v>
      </c>
      <c r="U12" s="21" t="str">
        <f t="shared" si="16"/>
        <v>Low</v>
      </c>
      <c r="V12">
        <f t="shared" si="3"/>
        <v>413.34</v>
      </c>
      <c r="W12" s="7">
        <v>413.34</v>
      </c>
      <c r="X12" s="8">
        <v>0.186</v>
      </c>
      <c r="Y12" s="14">
        <v>7</v>
      </c>
      <c r="Z12" s="7">
        <f t="shared" si="4"/>
        <v>76.881239999999991</v>
      </c>
      <c r="AA12" s="7">
        <f t="shared" si="5"/>
        <v>2355.2113199999999</v>
      </c>
      <c r="AB12" s="7">
        <f t="shared" si="6"/>
        <v>2278.3300799999997</v>
      </c>
      <c r="AC12" s="7">
        <f t="shared" si="7"/>
        <v>1180.76</v>
      </c>
      <c r="AD12" s="7">
        <f t="shared" si="8"/>
        <v>1174.4513199999999</v>
      </c>
      <c r="AE12" s="7">
        <f t="shared" si="9"/>
        <v>1097.5700799999997</v>
      </c>
      <c r="AF12" s="26">
        <f t="shared" si="10"/>
        <v>1.9946571022053592</v>
      </c>
      <c r="AG12" s="8">
        <f>IF(DASHBOARD!$Q$7&gt;'staging data'!X12,'staging data'!X12,DASHBOARD!$Q$7)</f>
        <v>0.186</v>
      </c>
      <c r="AH12">
        <f>(100%+DASHBOARD!$Q$8)*'staging data'!T12</f>
        <v>193.982</v>
      </c>
      <c r="AI12">
        <f>(100%+DASHBOARD!$Q$9)*'staging data'!Y12</f>
        <v>8.4</v>
      </c>
    </row>
    <row r="13" spans="1:35" x14ac:dyDescent="0.3">
      <c r="A13" s="3" t="s">
        <v>634</v>
      </c>
      <c r="B13" s="28">
        <v>44953</v>
      </c>
      <c r="C13" s="28" t="str">
        <f t="shared" si="11"/>
        <v>Q1</v>
      </c>
      <c r="D13" s="28" t="str">
        <f t="shared" si="12"/>
        <v>2023</v>
      </c>
      <c r="E13" s="28" t="str">
        <f t="shared" si="13"/>
        <v>Sept</v>
      </c>
      <c r="F13" s="5">
        <v>45177</v>
      </c>
      <c r="G13" s="5">
        <f t="shared" si="0"/>
        <v>45183</v>
      </c>
      <c r="H13" s="5">
        <v>45183</v>
      </c>
      <c r="I13" s="5" t="str">
        <f t="shared" si="14"/>
        <v>Not achieved</v>
      </c>
      <c r="J13" s="14">
        <f t="shared" si="15"/>
        <v>6</v>
      </c>
      <c r="K13" s="14">
        <f t="shared" si="1"/>
        <v>6</v>
      </c>
      <c r="L13" s="3" t="s">
        <v>645</v>
      </c>
      <c r="M13" s="3" t="s">
        <v>649</v>
      </c>
      <c r="N13" s="3" t="s">
        <v>677</v>
      </c>
      <c r="O13" s="3" t="s">
        <v>701</v>
      </c>
      <c r="P13" s="3" t="s">
        <v>710</v>
      </c>
      <c r="Q13" s="3" t="s">
        <v>713</v>
      </c>
      <c r="R13" s="3" t="s">
        <v>732</v>
      </c>
      <c r="S13" s="3" t="s">
        <v>1351</v>
      </c>
      <c r="T13" s="21">
        <v>251.03</v>
      </c>
      <c r="U13" s="21" t="str">
        <f t="shared" si="16"/>
        <v>Low</v>
      </c>
      <c r="V13">
        <f t="shared" si="3"/>
        <v>411.48</v>
      </c>
      <c r="W13" s="7">
        <v>411.48</v>
      </c>
      <c r="X13" s="8">
        <v>0.16500000000000001</v>
      </c>
      <c r="Y13" s="14">
        <v>3</v>
      </c>
      <c r="Z13" s="7">
        <f t="shared" si="4"/>
        <v>67.894200000000012</v>
      </c>
      <c r="AA13" s="7">
        <f t="shared" si="5"/>
        <v>1030.7574</v>
      </c>
      <c r="AB13" s="7">
        <f t="shared" si="6"/>
        <v>962.86320000000001</v>
      </c>
      <c r="AC13" s="7">
        <f t="shared" si="7"/>
        <v>753.09</v>
      </c>
      <c r="AD13" s="7">
        <f t="shared" si="8"/>
        <v>277.66739999999993</v>
      </c>
      <c r="AE13" s="7">
        <f t="shared" si="9"/>
        <v>209.77319999999997</v>
      </c>
      <c r="AF13" s="26">
        <f t="shared" si="10"/>
        <v>1.3687041389475361</v>
      </c>
      <c r="AG13" s="8">
        <f>IF(DASHBOARD!$Q$7&gt;'staging data'!X13,'staging data'!X13,DASHBOARD!$Q$7)</f>
        <v>0.16500000000000001</v>
      </c>
      <c r="AH13">
        <f>(100%+DASHBOARD!$Q$8)*'staging data'!T13</f>
        <v>288.68449999999996</v>
      </c>
      <c r="AI13">
        <f>(100%+DASHBOARD!$Q$9)*'staging data'!Y13</f>
        <v>3.5999999999999996</v>
      </c>
    </row>
    <row r="14" spans="1:35" x14ac:dyDescent="0.3">
      <c r="A14" s="3" t="s">
        <v>632</v>
      </c>
      <c r="B14" s="28">
        <v>44955</v>
      </c>
      <c r="C14" s="28" t="str">
        <f t="shared" si="11"/>
        <v>Q1</v>
      </c>
      <c r="D14" s="28" t="str">
        <f t="shared" si="12"/>
        <v>2025</v>
      </c>
      <c r="E14" s="28" t="str">
        <f t="shared" si="13"/>
        <v>Jul</v>
      </c>
      <c r="F14" s="5">
        <v>45849</v>
      </c>
      <c r="G14" s="5">
        <f t="shared" si="0"/>
        <v>45854</v>
      </c>
      <c r="H14" s="5">
        <v>45854</v>
      </c>
      <c r="I14" s="5" t="str">
        <f t="shared" si="14"/>
        <v>Not achieved</v>
      </c>
      <c r="J14" s="14">
        <f t="shared" si="15"/>
        <v>5</v>
      </c>
      <c r="K14" s="14">
        <f t="shared" si="1"/>
        <v>5</v>
      </c>
      <c r="L14" s="3" t="s">
        <v>648</v>
      </c>
      <c r="M14" s="3" t="s">
        <v>657</v>
      </c>
      <c r="N14" s="3" t="s">
        <v>682</v>
      </c>
      <c r="O14" s="3" t="s">
        <v>705</v>
      </c>
      <c r="P14" s="3" t="s">
        <v>707</v>
      </c>
      <c r="Q14" s="3" t="s">
        <v>722</v>
      </c>
      <c r="R14" s="3" t="s">
        <v>727</v>
      </c>
      <c r="S14" s="3" t="s">
        <v>1349</v>
      </c>
      <c r="T14" s="21">
        <v>930.03</v>
      </c>
      <c r="U14" s="21" t="str">
        <f t="shared" si="16"/>
        <v>Medium</v>
      </c>
      <c r="V14">
        <f t="shared" si="3"/>
        <v>1086.68</v>
      </c>
      <c r="W14" s="7">
        <v>1086.68</v>
      </c>
      <c r="X14" s="8">
        <v>0.109</v>
      </c>
      <c r="Y14" s="14">
        <v>26</v>
      </c>
      <c r="Z14" s="7">
        <f t="shared" si="4"/>
        <v>118.44812</v>
      </c>
      <c r="AA14" s="7">
        <f t="shared" si="5"/>
        <v>25174.028880000002</v>
      </c>
      <c r="AB14" s="7">
        <f t="shared" si="6"/>
        <v>25055.580760000001</v>
      </c>
      <c r="AC14" s="7">
        <f t="shared" si="7"/>
        <v>24180.78</v>
      </c>
      <c r="AD14" s="7">
        <f t="shared" si="8"/>
        <v>993.24888000000283</v>
      </c>
      <c r="AE14" s="7">
        <f t="shared" si="9"/>
        <v>874.8007600000019</v>
      </c>
      <c r="AF14" s="26">
        <f t="shared" si="10"/>
        <v>1.0410759652914423</v>
      </c>
      <c r="AG14" s="8">
        <f>IF(DASHBOARD!$Q$7&gt;'staging data'!X14,'staging data'!X14,DASHBOARD!$Q$7)</f>
        <v>0.109</v>
      </c>
      <c r="AH14">
        <f>(100%+DASHBOARD!$Q$8)*'staging data'!T14</f>
        <v>1069.5345</v>
      </c>
      <c r="AI14">
        <f>(100%+DASHBOARD!$Q$9)*'staging data'!Y14</f>
        <v>31.2</v>
      </c>
    </row>
    <row r="15" spans="1:35" x14ac:dyDescent="0.3">
      <c r="A15" s="3" t="s">
        <v>633</v>
      </c>
      <c r="B15" s="28">
        <v>44955</v>
      </c>
      <c r="C15" s="28" t="str">
        <f t="shared" si="11"/>
        <v>Q1</v>
      </c>
      <c r="D15" s="28" t="str">
        <f t="shared" si="12"/>
        <v>2024</v>
      </c>
      <c r="E15" s="28" t="str">
        <f t="shared" si="13"/>
        <v>Oct</v>
      </c>
      <c r="F15" s="5">
        <v>45578</v>
      </c>
      <c r="G15" s="5">
        <f t="shared" si="0"/>
        <v>45589</v>
      </c>
      <c r="H15" s="5">
        <v>45589</v>
      </c>
      <c r="I15" s="5" t="str">
        <f t="shared" si="14"/>
        <v>Achieved</v>
      </c>
      <c r="J15" s="14">
        <f t="shared" si="15"/>
        <v>11</v>
      </c>
      <c r="K15" s="14">
        <f t="shared" si="1"/>
        <v>11</v>
      </c>
      <c r="L15" s="3" t="s">
        <v>648</v>
      </c>
      <c r="M15" s="3" t="s">
        <v>656</v>
      </c>
      <c r="N15" s="3" t="s">
        <v>689</v>
      </c>
      <c r="O15" s="3" t="s">
        <v>701</v>
      </c>
      <c r="P15" s="3" t="s">
        <v>709</v>
      </c>
      <c r="Q15" s="3" t="s">
        <v>720</v>
      </c>
      <c r="R15" s="3" t="s">
        <v>726</v>
      </c>
      <c r="S15" s="3" t="s">
        <v>1350</v>
      </c>
      <c r="T15" s="21">
        <v>816.7</v>
      </c>
      <c r="U15" s="21" t="str">
        <f t="shared" si="16"/>
        <v>Medium</v>
      </c>
      <c r="V15">
        <f t="shared" si="3"/>
        <v>1010.75</v>
      </c>
      <c r="W15" s="7">
        <v>1010.75</v>
      </c>
      <c r="X15" s="8">
        <v>4.7E-2</v>
      </c>
      <c r="Y15" s="14">
        <v>43</v>
      </c>
      <c r="Z15" s="7">
        <f t="shared" si="4"/>
        <v>47.505249999999997</v>
      </c>
      <c r="AA15" s="7">
        <f t="shared" si="5"/>
        <v>41419.524249999995</v>
      </c>
      <c r="AB15" s="7">
        <f t="shared" si="6"/>
        <v>41372.018999999993</v>
      </c>
      <c r="AC15" s="7">
        <f t="shared" si="7"/>
        <v>35118.1</v>
      </c>
      <c r="AD15" s="7">
        <f t="shared" si="8"/>
        <v>6301.4242499999964</v>
      </c>
      <c r="AE15" s="7">
        <f t="shared" si="9"/>
        <v>6253.9189999999944</v>
      </c>
      <c r="AF15" s="26">
        <f t="shared" si="10"/>
        <v>1.1794352271335864</v>
      </c>
      <c r="AG15" s="8">
        <f>IF(DASHBOARD!$Q$7&gt;'staging data'!X15,'staging data'!X15,DASHBOARD!$Q$7)</f>
        <v>4.7E-2</v>
      </c>
      <c r="AH15">
        <f>(100%+DASHBOARD!$Q$8)*'staging data'!T15</f>
        <v>939.20499999999993</v>
      </c>
      <c r="AI15">
        <f>(100%+DASHBOARD!$Q$9)*'staging data'!Y15</f>
        <v>51.6</v>
      </c>
    </row>
    <row r="16" spans="1:35" x14ac:dyDescent="0.3">
      <c r="A16" s="3" t="s">
        <v>631</v>
      </c>
      <c r="B16" s="28">
        <v>44956</v>
      </c>
      <c r="C16" s="28" t="str">
        <f t="shared" si="11"/>
        <v>Q1</v>
      </c>
      <c r="D16" s="28" t="str">
        <f t="shared" si="12"/>
        <v>2024</v>
      </c>
      <c r="E16" s="28" t="str">
        <f t="shared" si="13"/>
        <v>Dec</v>
      </c>
      <c r="F16" s="5">
        <v>45643</v>
      </c>
      <c r="G16" s="5">
        <f t="shared" si="0"/>
        <v>45673</v>
      </c>
      <c r="H16" s="5">
        <v>45673</v>
      </c>
      <c r="I16" s="5" t="str">
        <f t="shared" si="14"/>
        <v>Achieved</v>
      </c>
      <c r="J16" s="14">
        <f t="shared" si="15"/>
        <v>30</v>
      </c>
      <c r="K16" s="14">
        <f t="shared" si="1"/>
        <v>30</v>
      </c>
      <c r="L16" s="3" t="s">
        <v>648</v>
      </c>
      <c r="M16" s="3" t="s">
        <v>657</v>
      </c>
      <c r="N16" s="3" t="s">
        <v>692</v>
      </c>
      <c r="O16" s="3" t="s">
        <v>700</v>
      </c>
      <c r="P16" s="3" t="s">
        <v>706</v>
      </c>
      <c r="Q16" s="3" t="s">
        <v>725</v>
      </c>
      <c r="R16" s="3" t="s">
        <v>731</v>
      </c>
      <c r="S16" s="3" t="s">
        <v>1348</v>
      </c>
      <c r="T16" s="21">
        <v>722.87</v>
      </c>
      <c r="U16" s="21" t="str">
        <f t="shared" si="16"/>
        <v>Low</v>
      </c>
      <c r="V16">
        <f t="shared" si="3"/>
        <v>33.659999999999997</v>
      </c>
      <c r="W16" s="7">
        <v>-33.659999999999997</v>
      </c>
      <c r="X16" s="8">
        <v>0.10199999999999999</v>
      </c>
      <c r="Y16" s="14">
        <v>28</v>
      </c>
      <c r="Z16" s="7">
        <f t="shared" si="4"/>
        <v>3.4333199999999993</v>
      </c>
      <c r="AA16" s="7">
        <f t="shared" si="5"/>
        <v>846.34703999999988</v>
      </c>
      <c r="AB16" s="7">
        <f t="shared" si="6"/>
        <v>842.9137199999999</v>
      </c>
      <c r="AC16" s="7">
        <f t="shared" si="7"/>
        <v>20240.36</v>
      </c>
      <c r="AD16" s="7">
        <f t="shared" si="8"/>
        <v>-19394.01296</v>
      </c>
      <c r="AE16" s="7">
        <f t="shared" si="9"/>
        <v>-19397.44628</v>
      </c>
      <c r="AF16" s="26">
        <f t="shared" si="10"/>
        <v>4.1814821475507344E-2</v>
      </c>
      <c r="AG16" s="8">
        <f>IF(DASHBOARD!$Q$7&gt;'staging data'!X16,'staging data'!X16,DASHBOARD!$Q$7)</f>
        <v>0.10199999999999999</v>
      </c>
      <c r="AH16">
        <f>(100%+DASHBOARD!$Q$8)*'staging data'!T16</f>
        <v>831.30049999999994</v>
      </c>
      <c r="AI16">
        <f>(100%+DASHBOARD!$Q$9)*'staging data'!Y16</f>
        <v>33.6</v>
      </c>
    </row>
    <row r="17" spans="1:35" x14ac:dyDescent="0.3">
      <c r="A17" s="3" t="s">
        <v>630</v>
      </c>
      <c r="B17" s="28">
        <v>44962</v>
      </c>
      <c r="C17" s="28" t="str">
        <f t="shared" si="11"/>
        <v>Q1</v>
      </c>
      <c r="D17" s="28" t="str">
        <f t="shared" si="12"/>
        <v>2023</v>
      </c>
      <c r="E17" s="28" t="str">
        <f t="shared" si="13"/>
        <v>Oct</v>
      </c>
      <c r="F17" s="5">
        <v>45208</v>
      </c>
      <c r="G17" s="5">
        <f t="shared" si="0"/>
        <v>45210</v>
      </c>
      <c r="H17" s="5">
        <v>45210</v>
      </c>
      <c r="I17" s="5" t="str">
        <f t="shared" si="14"/>
        <v>Not achieved</v>
      </c>
      <c r="J17" s="14">
        <f t="shared" si="15"/>
        <v>2</v>
      </c>
      <c r="K17" s="14">
        <f t="shared" si="1"/>
        <v>2</v>
      </c>
      <c r="L17" s="3" t="s">
        <v>645</v>
      </c>
      <c r="M17" s="3" t="s">
        <v>650</v>
      </c>
      <c r="N17" s="3" t="s">
        <v>662</v>
      </c>
      <c r="O17" s="3" t="s">
        <v>701</v>
      </c>
      <c r="P17" s="3" t="s">
        <v>708</v>
      </c>
      <c r="Q17" s="3" t="s">
        <v>722</v>
      </c>
      <c r="R17" s="3" t="s">
        <v>728</v>
      </c>
      <c r="S17" s="3" t="s">
        <v>1347</v>
      </c>
      <c r="T17" s="21">
        <v>391.16</v>
      </c>
      <c r="U17" s="21" t="str">
        <f t="shared" si="16"/>
        <v>Medium</v>
      </c>
      <c r="V17">
        <f t="shared" si="3"/>
        <v>902.47</v>
      </c>
      <c r="W17" s="7">
        <v>902.47</v>
      </c>
      <c r="X17" s="8">
        <v>4.0000000000000001E-3</v>
      </c>
      <c r="Y17" s="14">
        <v>12</v>
      </c>
      <c r="Z17" s="7">
        <f t="shared" si="4"/>
        <v>3.60988</v>
      </c>
      <c r="AA17" s="7">
        <f t="shared" si="5"/>
        <v>10786.32144</v>
      </c>
      <c r="AB17" s="7">
        <f t="shared" si="6"/>
        <v>10782.71156</v>
      </c>
      <c r="AC17" s="7">
        <f t="shared" si="7"/>
        <v>4693.92</v>
      </c>
      <c r="AD17" s="7">
        <f t="shared" si="8"/>
        <v>6092.4014399999996</v>
      </c>
      <c r="AE17" s="7">
        <f t="shared" si="9"/>
        <v>6088.7915599999997</v>
      </c>
      <c r="AF17" s="26">
        <f t="shared" si="10"/>
        <v>2.2979346558952858</v>
      </c>
      <c r="AG17" s="8">
        <f>IF(DASHBOARD!$Q$7&gt;'staging data'!X17,'staging data'!X17,DASHBOARD!$Q$7)</f>
        <v>4.0000000000000001E-3</v>
      </c>
      <c r="AH17">
        <f>(100%+DASHBOARD!$Q$8)*'staging data'!T17</f>
        <v>449.834</v>
      </c>
      <c r="AI17">
        <f>(100%+DASHBOARD!$Q$9)*'staging data'!Y17</f>
        <v>14.399999999999999</v>
      </c>
    </row>
    <row r="18" spans="1:35" x14ac:dyDescent="0.3">
      <c r="A18" s="3" t="s">
        <v>629</v>
      </c>
      <c r="B18" s="28">
        <v>44964</v>
      </c>
      <c r="C18" s="28" t="str">
        <f t="shared" si="11"/>
        <v>Q1</v>
      </c>
      <c r="D18" s="28" t="str">
        <f t="shared" si="12"/>
        <v>2025</v>
      </c>
      <c r="E18" s="28" t="str">
        <f t="shared" si="13"/>
        <v>Mar</v>
      </c>
      <c r="F18" s="5">
        <v>45727</v>
      </c>
      <c r="G18" s="5">
        <f t="shared" si="0"/>
        <v>45743</v>
      </c>
      <c r="H18" s="5">
        <v>45743</v>
      </c>
      <c r="I18" s="5" t="str">
        <f t="shared" si="14"/>
        <v>Achieved</v>
      </c>
      <c r="J18" s="14">
        <f t="shared" si="15"/>
        <v>16</v>
      </c>
      <c r="K18" s="14">
        <f t="shared" si="1"/>
        <v>16</v>
      </c>
      <c r="L18" s="3" t="s">
        <v>646</v>
      </c>
      <c r="M18" s="3" t="s">
        <v>651</v>
      </c>
      <c r="N18" s="3" t="s">
        <v>688</v>
      </c>
      <c r="O18" s="3" t="s">
        <v>705</v>
      </c>
      <c r="P18" s="3" t="s">
        <v>709</v>
      </c>
      <c r="Q18" s="3" t="s">
        <v>716</v>
      </c>
      <c r="R18" s="3" t="s">
        <v>727</v>
      </c>
      <c r="S18" s="3" t="s">
        <v>1346</v>
      </c>
      <c r="T18" s="21">
        <v>1317.58</v>
      </c>
      <c r="U18" s="21" t="str">
        <f t="shared" si="16"/>
        <v>Medium</v>
      </c>
      <c r="V18">
        <f t="shared" si="3"/>
        <v>1897.74</v>
      </c>
      <c r="W18" s="7">
        <v>1897.74</v>
      </c>
      <c r="X18" s="8">
        <v>8.1000000000000003E-2</v>
      </c>
      <c r="Y18" s="14">
        <v>6</v>
      </c>
      <c r="Z18" s="7">
        <f t="shared" si="4"/>
        <v>153.71693999999999</v>
      </c>
      <c r="AA18" s="7">
        <f t="shared" si="5"/>
        <v>10464.138360000001</v>
      </c>
      <c r="AB18" s="7">
        <f t="shared" si="6"/>
        <v>10310.421420000001</v>
      </c>
      <c r="AC18" s="7">
        <f t="shared" si="7"/>
        <v>7905.48</v>
      </c>
      <c r="AD18" s="7">
        <f t="shared" si="8"/>
        <v>2558.6583600000013</v>
      </c>
      <c r="AE18" s="7">
        <f t="shared" si="9"/>
        <v>2404.941420000001</v>
      </c>
      <c r="AF18" s="26">
        <f t="shared" si="10"/>
        <v>1.3236562941149685</v>
      </c>
      <c r="AG18" s="8">
        <f>IF(DASHBOARD!$Q$7&gt;'staging data'!X18,'staging data'!X18,DASHBOARD!$Q$7)</f>
        <v>8.1000000000000003E-2</v>
      </c>
      <c r="AH18">
        <f>(100%+DASHBOARD!$Q$8)*'staging data'!T18</f>
        <v>1515.2169999999999</v>
      </c>
      <c r="AI18">
        <f>(100%+DASHBOARD!$Q$9)*'staging data'!Y18</f>
        <v>7.1999999999999993</v>
      </c>
    </row>
    <row r="19" spans="1:35" x14ac:dyDescent="0.3">
      <c r="A19" s="3" t="s">
        <v>628</v>
      </c>
      <c r="B19" s="28">
        <v>44965</v>
      </c>
      <c r="C19" s="28" t="str">
        <f t="shared" si="11"/>
        <v>Q1</v>
      </c>
      <c r="D19" s="28" t="str">
        <f t="shared" si="12"/>
        <v>2023</v>
      </c>
      <c r="E19" s="28" t="str">
        <f t="shared" si="13"/>
        <v>Jul</v>
      </c>
      <c r="F19" s="5">
        <v>45137</v>
      </c>
      <c r="G19" s="5">
        <f t="shared" si="0"/>
        <v>45157</v>
      </c>
      <c r="H19" s="5">
        <v>45157</v>
      </c>
      <c r="I19" s="5" t="str">
        <f t="shared" si="14"/>
        <v>Achieved</v>
      </c>
      <c r="J19" s="14">
        <f t="shared" si="15"/>
        <v>20</v>
      </c>
      <c r="K19" s="14">
        <f t="shared" si="1"/>
        <v>20</v>
      </c>
      <c r="L19" s="3" t="s">
        <v>648</v>
      </c>
      <c r="M19" s="3" t="s">
        <v>656</v>
      </c>
      <c r="N19" s="3" t="s">
        <v>689</v>
      </c>
      <c r="O19" s="3" t="s">
        <v>705</v>
      </c>
      <c r="P19" s="3" t="s">
        <v>708</v>
      </c>
      <c r="Q19" s="3" t="s">
        <v>714</v>
      </c>
      <c r="R19" s="3" t="s">
        <v>728</v>
      </c>
      <c r="S19" s="3" t="s">
        <v>1345</v>
      </c>
      <c r="T19" s="21">
        <v>1418.51</v>
      </c>
      <c r="U19" s="21" t="str">
        <f t="shared" si="16"/>
        <v>High</v>
      </c>
      <c r="V19">
        <f t="shared" si="3"/>
        <v>2789.61</v>
      </c>
      <c r="W19" s="7">
        <v>2789.61</v>
      </c>
      <c r="X19" s="8">
        <v>0.17100000000000001</v>
      </c>
      <c r="Y19" s="14">
        <v>8</v>
      </c>
      <c r="Z19" s="7">
        <f t="shared" si="4"/>
        <v>477.02331000000004</v>
      </c>
      <c r="AA19" s="7">
        <f t="shared" si="5"/>
        <v>18500.693520000001</v>
      </c>
      <c r="AB19" s="7">
        <f t="shared" si="6"/>
        <v>18023.67021</v>
      </c>
      <c r="AC19" s="7">
        <f t="shared" si="7"/>
        <v>11348.08</v>
      </c>
      <c r="AD19" s="7">
        <f t="shared" si="8"/>
        <v>7152.6135200000008</v>
      </c>
      <c r="AE19" s="7">
        <f t="shared" si="9"/>
        <v>6675.5902100000003</v>
      </c>
      <c r="AF19" s="26">
        <f t="shared" si="10"/>
        <v>1.6302928354400039</v>
      </c>
      <c r="AG19" s="8">
        <f>IF(DASHBOARD!$Q$7&gt;'staging data'!X19,'staging data'!X19,DASHBOARD!$Q$7)</f>
        <v>0.17100000000000001</v>
      </c>
      <c r="AH19">
        <f>(100%+DASHBOARD!$Q$8)*'staging data'!T19</f>
        <v>1631.2864999999999</v>
      </c>
      <c r="AI19">
        <f>(100%+DASHBOARD!$Q$9)*'staging data'!Y19</f>
        <v>9.6</v>
      </c>
    </row>
    <row r="20" spans="1:35" x14ac:dyDescent="0.3">
      <c r="A20" s="3" t="s">
        <v>627</v>
      </c>
      <c r="B20" s="28">
        <v>44968</v>
      </c>
      <c r="C20" s="28" t="str">
        <f t="shared" si="11"/>
        <v>Q1</v>
      </c>
      <c r="D20" s="28" t="str">
        <f t="shared" si="12"/>
        <v>2024</v>
      </c>
      <c r="E20" s="28" t="str">
        <f t="shared" si="13"/>
        <v>Jun</v>
      </c>
      <c r="F20" s="5">
        <v>45468</v>
      </c>
      <c r="G20" s="5">
        <f t="shared" si="0"/>
        <v>45473</v>
      </c>
      <c r="H20" s="5">
        <v>45473</v>
      </c>
      <c r="I20" s="5" t="str">
        <f t="shared" si="14"/>
        <v>Not achieved</v>
      </c>
      <c r="J20" s="14">
        <f t="shared" si="15"/>
        <v>5</v>
      </c>
      <c r="K20" s="14">
        <f t="shared" si="1"/>
        <v>5</v>
      </c>
      <c r="L20" s="3" t="s">
        <v>645</v>
      </c>
      <c r="M20" s="3" t="s">
        <v>649</v>
      </c>
      <c r="N20" s="3" t="s">
        <v>661</v>
      </c>
      <c r="O20" s="3" t="s">
        <v>701</v>
      </c>
      <c r="P20" s="3" t="s">
        <v>710</v>
      </c>
      <c r="Q20" s="3" t="s">
        <v>723</v>
      </c>
      <c r="R20" s="3" t="s">
        <v>728</v>
      </c>
      <c r="S20" s="3" t="s">
        <v>1344</v>
      </c>
      <c r="T20" s="21">
        <v>1323.55</v>
      </c>
      <c r="U20" s="21" t="str">
        <f t="shared" si="16"/>
        <v>High</v>
      </c>
      <c r="V20">
        <f t="shared" si="3"/>
        <v>3230.35</v>
      </c>
      <c r="W20" s="7">
        <v>3230.35</v>
      </c>
      <c r="X20" s="8">
        <v>2.1999999999999999E-2</v>
      </c>
      <c r="Y20" s="14">
        <v>26</v>
      </c>
      <c r="Z20" s="7">
        <f t="shared" si="4"/>
        <v>71.067699999999988</v>
      </c>
      <c r="AA20" s="7">
        <f t="shared" si="5"/>
        <v>82141.339799999987</v>
      </c>
      <c r="AB20" s="7">
        <f t="shared" si="6"/>
        <v>82070.272099999987</v>
      </c>
      <c r="AC20" s="7">
        <f t="shared" si="7"/>
        <v>34412.299999999996</v>
      </c>
      <c r="AD20" s="7">
        <f t="shared" si="8"/>
        <v>47729.039799999991</v>
      </c>
      <c r="AE20" s="7">
        <f t="shared" si="9"/>
        <v>47657.972099999992</v>
      </c>
      <c r="AF20" s="26">
        <f t="shared" si="10"/>
        <v>2.3869761625930264</v>
      </c>
      <c r="AG20" s="8">
        <f>IF(DASHBOARD!$Q$7&gt;'staging data'!X20,'staging data'!X20,DASHBOARD!$Q$7)</f>
        <v>2.1999999999999999E-2</v>
      </c>
      <c r="AH20">
        <f>(100%+DASHBOARD!$Q$8)*'staging data'!T20</f>
        <v>1522.0824999999998</v>
      </c>
      <c r="AI20">
        <f>(100%+DASHBOARD!$Q$9)*'staging data'!Y20</f>
        <v>31.2</v>
      </c>
    </row>
    <row r="21" spans="1:35" x14ac:dyDescent="0.3">
      <c r="A21" s="3" t="s">
        <v>626</v>
      </c>
      <c r="B21" s="28">
        <v>44972</v>
      </c>
      <c r="C21" s="28" t="str">
        <f t="shared" si="11"/>
        <v>Q1</v>
      </c>
      <c r="D21" s="28" t="str">
        <f t="shared" si="12"/>
        <v>2024</v>
      </c>
      <c r="E21" s="28" t="str">
        <f t="shared" si="13"/>
        <v>Oct</v>
      </c>
      <c r="F21" s="5">
        <v>45584</v>
      </c>
      <c r="G21" s="5">
        <f t="shared" si="0"/>
        <v>45602</v>
      </c>
      <c r="H21" s="5">
        <v>45602</v>
      </c>
      <c r="I21" s="5" t="str">
        <f t="shared" si="14"/>
        <v>Achieved</v>
      </c>
      <c r="J21" s="14">
        <f t="shared" si="15"/>
        <v>18</v>
      </c>
      <c r="K21" s="14">
        <f t="shared" si="1"/>
        <v>18</v>
      </c>
      <c r="L21" s="3" t="s">
        <v>647</v>
      </c>
      <c r="M21" s="3" t="s">
        <v>659</v>
      </c>
      <c r="N21" s="3" t="s">
        <v>676</v>
      </c>
      <c r="O21" s="3" t="s">
        <v>701</v>
      </c>
      <c r="P21" s="3" t="s">
        <v>707</v>
      </c>
      <c r="Q21" s="3" t="s">
        <v>711</v>
      </c>
      <c r="R21" s="3" t="s">
        <v>731</v>
      </c>
      <c r="S21" s="3" t="s">
        <v>1343</v>
      </c>
      <c r="T21" s="21">
        <v>942.02</v>
      </c>
      <c r="U21" s="21" t="str">
        <f t="shared" si="16"/>
        <v>Medium</v>
      </c>
      <c r="V21">
        <f t="shared" si="3"/>
        <v>1028.46</v>
      </c>
      <c r="W21" s="7">
        <v>1028.46</v>
      </c>
      <c r="X21" s="8">
        <v>0</v>
      </c>
      <c r="Y21" s="14">
        <v>9</v>
      </c>
      <c r="Z21" s="7">
        <f t="shared" si="4"/>
        <v>0</v>
      </c>
      <c r="AA21" s="7">
        <f t="shared" si="5"/>
        <v>9256.14</v>
      </c>
      <c r="AB21" s="7">
        <f t="shared" si="6"/>
        <v>9256.14</v>
      </c>
      <c r="AC21" s="7">
        <f t="shared" si="7"/>
        <v>8478.18</v>
      </c>
      <c r="AD21" s="7">
        <f t="shared" si="8"/>
        <v>777.95999999999913</v>
      </c>
      <c r="AE21" s="7">
        <f t="shared" si="9"/>
        <v>777.95999999999913</v>
      </c>
      <c r="AF21" s="26">
        <f t="shared" si="10"/>
        <v>1.0917602598670939</v>
      </c>
      <c r="AG21" s="8">
        <f>IF(DASHBOARD!$Q$7&gt;'staging data'!X21,'staging data'!X21,DASHBOARD!$Q$7)</f>
        <v>0</v>
      </c>
      <c r="AH21">
        <f>(100%+DASHBOARD!$Q$8)*'staging data'!T21</f>
        <v>1083.3229999999999</v>
      </c>
      <c r="AI21">
        <f>(100%+DASHBOARD!$Q$9)*'staging data'!Y21</f>
        <v>10.799999999999999</v>
      </c>
    </row>
    <row r="22" spans="1:35" x14ac:dyDescent="0.3">
      <c r="A22" s="3" t="s">
        <v>625</v>
      </c>
      <c r="B22" s="28">
        <v>44976</v>
      </c>
      <c r="C22" s="28" t="str">
        <f t="shared" si="11"/>
        <v>Q1</v>
      </c>
      <c r="D22" s="28" t="str">
        <f t="shared" si="12"/>
        <v>2024</v>
      </c>
      <c r="E22" s="28" t="str">
        <f t="shared" si="13"/>
        <v>Feb</v>
      </c>
      <c r="F22" s="5">
        <v>45323</v>
      </c>
      <c r="G22" s="5">
        <f t="shared" si="0"/>
        <v>45323</v>
      </c>
      <c r="H22" s="5">
        <v>45323</v>
      </c>
      <c r="I22" s="5" t="str">
        <f t="shared" si="14"/>
        <v>Not achieved</v>
      </c>
      <c r="J22" s="14">
        <f t="shared" si="15"/>
        <v>0</v>
      </c>
      <c r="K22" s="14">
        <f t="shared" si="1"/>
        <v>0</v>
      </c>
      <c r="L22" s="3" t="s">
        <v>647</v>
      </c>
      <c r="M22" s="3" t="s">
        <v>659</v>
      </c>
      <c r="N22" s="3" t="s">
        <v>696</v>
      </c>
      <c r="O22" s="3" t="s">
        <v>703</v>
      </c>
      <c r="P22" s="3" t="s">
        <v>709</v>
      </c>
      <c r="Q22" s="3" t="s">
        <v>721</v>
      </c>
      <c r="R22" s="3" t="s">
        <v>727</v>
      </c>
      <c r="S22" s="3" t="s">
        <v>1342</v>
      </c>
      <c r="T22" s="21">
        <v>714.43</v>
      </c>
      <c r="U22" s="21" t="str">
        <f t="shared" si="16"/>
        <v>Medium</v>
      </c>
      <c r="V22">
        <f t="shared" si="3"/>
        <v>1595.52</v>
      </c>
      <c r="W22" s="7">
        <v>1595.52</v>
      </c>
      <c r="X22" s="8">
        <v>0.19400000000000001</v>
      </c>
      <c r="Y22" s="14">
        <v>14</v>
      </c>
      <c r="Z22" s="7">
        <f t="shared" si="4"/>
        <v>309.53088000000002</v>
      </c>
      <c r="AA22" s="7">
        <f t="shared" si="5"/>
        <v>18003.847679999999</v>
      </c>
      <c r="AB22" s="7">
        <f t="shared" si="6"/>
        <v>17694.316800000001</v>
      </c>
      <c r="AC22" s="7">
        <f t="shared" si="7"/>
        <v>10002.019999999999</v>
      </c>
      <c r="AD22" s="7">
        <f t="shared" si="8"/>
        <v>8001.8276800000003</v>
      </c>
      <c r="AE22" s="7">
        <f t="shared" si="9"/>
        <v>7692.2968000000019</v>
      </c>
      <c r="AF22" s="26">
        <f t="shared" si="10"/>
        <v>1.8000211637249277</v>
      </c>
      <c r="AG22" s="8">
        <f>IF(DASHBOARD!$Q$7&gt;'staging data'!X22,'staging data'!X22,DASHBOARD!$Q$7)</f>
        <v>0.19400000000000001</v>
      </c>
      <c r="AH22">
        <f>(100%+DASHBOARD!$Q$8)*'staging data'!T22</f>
        <v>821.59449999999993</v>
      </c>
      <c r="AI22">
        <f>(100%+DASHBOARD!$Q$9)*'staging data'!Y22</f>
        <v>16.8</v>
      </c>
    </row>
    <row r="23" spans="1:35" x14ac:dyDescent="0.3">
      <c r="A23" s="3" t="s">
        <v>624</v>
      </c>
      <c r="B23" s="28">
        <v>44977</v>
      </c>
      <c r="C23" s="28" t="str">
        <f t="shared" si="11"/>
        <v>Q1</v>
      </c>
      <c r="D23" s="28" t="str">
        <f t="shared" si="12"/>
        <v>2023</v>
      </c>
      <c r="E23" s="28" t="str">
        <f t="shared" si="13"/>
        <v>Apr</v>
      </c>
      <c r="F23" s="5">
        <v>45032</v>
      </c>
      <c r="G23" s="5">
        <f t="shared" si="0"/>
        <v>45039</v>
      </c>
      <c r="H23" s="5">
        <v>45039</v>
      </c>
      <c r="I23" s="5" t="str">
        <f t="shared" si="14"/>
        <v>Achieved</v>
      </c>
      <c r="J23" s="14">
        <f t="shared" si="15"/>
        <v>7</v>
      </c>
      <c r="K23" s="14">
        <f t="shared" si="1"/>
        <v>7</v>
      </c>
      <c r="L23" s="3" t="s">
        <v>647</v>
      </c>
      <c r="M23" s="3" t="s">
        <v>659</v>
      </c>
      <c r="N23" s="3" t="s">
        <v>696</v>
      </c>
      <c r="O23" s="3" t="s">
        <v>700</v>
      </c>
      <c r="P23" s="3" t="s">
        <v>709</v>
      </c>
      <c r="Q23" s="3" t="s">
        <v>718</v>
      </c>
      <c r="R23" s="3" t="s">
        <v>727</v>
      </c>
      <c r="S23" s="3" t="s">
        <v>1341</v>
      </c>
      <c r="T23" s="21">
        <v>1099.1500000000001</v>
      </c>
      <c r="U23" s="21" t="str">
        <f t="shared" si="16"/>
        <v>Medium</v>
      </c>
      <c r="V23">
        <f t="shared" si="3"/>
        <v>1431.37</v>
      </c>
      <c r="W23" s="7">
        <v>1431.37</v>
      </c>
      <c r="X23" s="8">
        <v>0.104</v>
      </c>
      <c r="Y23" s="14">
        <v>8</v>
      </c>
      <c r="Z23" s="7">
        <f t="shared" si="4"/>
        <v>148.86247999999998</v>
      </c>
      <c r="AA23" s="7">
        <f t="shared" si="5"/>
        <v>10260.060159999999</v>
      </c>
      <c r="AB23" s="7">
        <f t="shared" si="6"/>
        <v>10111.197679999999</v>
      </c>
      <c r="AC23" s="7">
        <f t="shared" si="7"/>
        <v>8793.2000000000007</v>
      </c>
      <c r="AD23" s="7">
        <f t="shared" si="8"/>
        <v>1466.8601599999984</v>
      </c>
      <c r="AE23" s="7">
        <f t="shared" si="9"/>
        <v>1317.9976799999986</v>
      </c>
      <c r="AF23" s="26">
        <f t="shared" si="10"/>
        <v>1.1668175590228811</v>
      </c>
      <c r="AG23" s="8">
        <f>IF(DASHBOARD!$Q$7&gt;'staging data'!X23,'staging data'!X23,DASHBOARD!$Q$7)</f>
        <v>0.104</v>
      </c>
      <c r="AH23">
        <f>(100%+DASHBOARD!$Q$8)*'staging data'!T23</f>
        <v>1264.0225</v>
      </c>
      <c r="AI23">
        <f>(100%+DASHBOARD!$Q$9)*'staging data'!Y23</f>
        <v>9.6</v>
      </c>
    </row>
    <row r="24" spans="1:35" x14ac:dyDescent="0.3">
      <c r="A24" s="3" t="s">
        <v>623</v>
      </c>
      <c r="B24" s="28">
        <v>44978</v>
      </c>
      <c r="C24" s="28" t="str">
        <f t="shared" si="11"/>
        <v>Q1</v>
      </c>
      <c r="D24" s="28" t="str">
        <f t="shared" si="12"/>
        <v>2024</v>
      </c>
      <c r="E24" s="28" t="str">
        <f t="shared" si="13"/>
        <v>Jan</v>
      </c>
      <c r="F24" s="5">
        <v>45319</v>
      </c>
      <c r="G24" s="5">
        <f t="shared" si="0"/>
        <v>45319</v>
      </c>
      <c r="H24" s="5">
        <v>45318</v>
      </c>
      <c r="I24" s="5" t="str">
        <f t="shared" si="14"/>
        <v>Not achieved</v>
      </c>
      <c r="J24" s="14">
        <f t="shared" si="15"/>
        <v>0</v>
      </c>
      <c r="K24" s="14">
        <f t="shared" si="1"/>
        <v>-1</v>
      </c>
      <c r="L24" s="3" t="s">
        <v>645</v>
      </c>
      <c r="M24" s="3" t="s">
        <v>660</v>
      </c>
      <c r="N24" s="3" t="s">
        <v>694</v>
      </c>
      <c r="O24" s="3" t="s">
        <v>705</v>
      </c>
      <c r="P24" s="3" t="s">
        <v>710</v>
      </c>
      <c r="Q24" s="3" t="s">
        <v>718</v>
      </c>
      <c r="R24" s="3" t="s">
        <v>726</v>
      </c>
      <c r="S24" s="3" t="s">
        <v>1340</v>
      </c>
      <c r="T24" s="21">
        <v>109.75</v>
      </c>
      <c r="U24" s="21" t="str">
        <f t="shared" si="16"/>
        <v>Low</v>
      </c>
      <c r="V24">
        <f t="shared" si="3"/>
        <v>124.25</v>
      </c>
      <c r="W24" s="7">
        <v>124.25</v>
      </c>
      <c r="X24" s="8">
        <v>0.12</v>
      </c>
      <c r="Y24" s="14">
        <v>19</v>
      </c>
      <c r="Z24" s="7">
        <f t="shared" si="4"/>
        <v>14.91</v>
      </c>
      <c r="AA24" s="7">
        <f t="shared" si="5"/>
        <v>2077.46</v>
      </c>
      <c r="AB24" s="7">
        <f t="shared" si="6"/>
        <v>2062.5500000000002</v>
      </c>
      <c r="AC24" s="7">
        <f t="shared" si="7"/>
        <v>2085.25</v>
      </c>
      <c r="AD24" s="7">
        <f t="shared" si="8"/>
        <v>-7.7899999999999636</v>
      </c>
      <c r="AE24" s="7">
        <f t="shared" si="9"/>
        <v>-22.699999999999818</v>
      </c>
      <c r="AF24" s="26">
        <f t="shared" si="10"/>
        <v>0.99626423690205013</v>
      </c>
      <c r="AG24" s="8">
        <f>IF(DASHBOARD!$Q$7&gt;'staging data'!X24,'staging data'!X24,DASHBOARD!$Q$7)</f>
        <v>0.12</v>
      </c>
      <c r="AH24">
        <f>(100%+DASHBOARD!$Q$8)*'staging data'!T24</f>
        <v>126.21249999999999</v>
      </c>
      <c r="AI24">
        <f>(100%+DASHBOARD!$Q$9)*'staging data'!Y24</f>
        <v>22.8</v>
      </c>
    </row>
    <row r="25" spans="1:35" x14ac:dyDescent="0.3">
      <c r="A25" s="3" t="s">
        <v>620</v>
      </c>
      <c r="B25" s="28">
        <v>44980</v>
      </c>
      <c r="C25" s="28" t="str">
        <f t="shared" si="11"/>
        <v>Q1</v>
      </c>
      <c r="D25" s="28" t="str">
        <f t="shared" si="12"/>
        <v>2023</v>
      </c>
      <c r="E25" s="28" t="str">
        <f t="shared" si="13"/>
        <v>Apr</v>
      </c>
      <c r="F25" s="5">
        <v>45038</v>
      </c>
      <c r="G25" s="5">
        <f t="shared" si="0"/>
        <v>45060</v>
      </c>
      <c r="H25" s="5">
        <v>45060</v>
      </c>
      <c r="I25" s="5" t="str">
        <f t="shared" si="14"/>
        <v>Achieved</v>
      </c>
      <c r="J25" s="14">
        <f t="shared" si="15"/>
        <v>22</v>
      </c>
      <c r="K25" s="14">
        <f t="shared" si="1"/>
        <v>22</v>
      </c>
      <c r="L25" s="3" t="s">
        <v>646</v>
      </c>
      <c r="M25" s="3" t="s">
        <v>651</v>
      </c>
      <c r="N25" s="3" t="s">
        <v>693</v>
      </c>
      <c r="O25" s="3" t="s">
        <v>705</v>
      </c>
      <c r="P25" s="3" t="s">
        <v>706</v>
      </c>
      <c r="Q25" s="3" t="s">
        <v>719</v>
      </c>
      <c r="R25" s="3" t="s">
        <v>732</v>
      </c>
      <c r="S25" s="3" t="s">
        <v>1337</v>
      </c>
      <c r="T25" s="21">
        <v>1209.22</v>
      </c>
      <c r="U25" s="21" t="str">
        <f t="shared" si="16"/>
        <v>Medium</v>
      </c>
      <c r="V25">
        <f t="shared" si="3"/>
        <v>1404.33</v>
      </c>
      <c r="W25" s="7">
        <v>1404.33</v>
      </c>
      <c r="X25" s="8">
        <v>0.10299999999999999</v>
      </c>
      <c r="Y25" s="14">
        <v>11</v>
      </c>
      <c r="Z25" s="7">
        <f t="shared" si="4"/>
        <v>144.64598999999998</v>
      </c>
      <c r="AA25" s="7">
        <f t="shared" si="5"/>
        <v>13856.52411</v>
      </c>
      <c r="AB25" s="7">
        <f t="shared" si="6"/>
        <v>13711.878120000001</v>
      </c>
      <c r="AC25" s="7">
        <f t="shared" si="7"/>
        <v>13301.42</v>
      </c>
      <c r="AD25" s="7">
        <f t="shared" si="8"/>
        <v>555.10411000000022</v>
      </c>
      <c r="AE25" s="7">
        <f t="shared" si="9"/>
        <v>410.45812000000114</v>
      </c>
      <c r="AF25" s="26">
        <f t="shared" si="10"/>
        <v>1.0417326954565753</v>
      </c>
      <c r="AG25" s="8">
        <f>IF(DASHBOARD!$Q$7&gt;'staging data'!X25,'staging data'!X25,DASHBOARD!$Q$7)</f>
        <v>0.10299999999999999</v>
      </c>
      <c r="AH25">
        <f>(100%+DASHBOARD!$Q$8)*'staging data'!T25</f>
        <v>1390.6029999999998</v>
      </c>
      <c r="AI25">
        <f>(100%+DASHBOARD!$Q$9)*'staging data'!Y25</f>
        <v>13.2</v>
      </c>
    </row>
    <row r="26" spans="1:35" x14ac:dyDescent="0.3">
      <c r="A26" s="3" t="s">
        <v>621</v>
      </c>
      <c r="B26" s="28">
        <v>44980</v>
      </c>
      <c r="C26" s="28" t="str">
        <f t="shared" si="11"/>
        <v>Q1</v>
      </c>
      <c r="D26" s="28" t="str">
        <f t="shared" si="12"/>
        <v>2025</v>
      </c>
      <c r="E26" s="28" t="str">
        <f t="shared" si="13"/>
        <v>Jun</v>
      </c>
      <c r="F26" s="5">
        <v>45827</v>
      </c>
      <c r="G26" s="5">
        <f t="shared" si="0"/>
        <v>45829</v>
      </c>
      <c r="H26" s="5">
        <v>45829</v>
      </c>
      <c r="I26" s="5" t="str">
        <f t="shared" si="14"/>
        <v>Not achieved</v>
      </c>
      <c r="J26" s="14">
        <f t="shared" si="15"/>
        <v>2</v>
      </c>
      <c r="K26" s="14">
        <f t="shared" si="1"/>
        <v>2</v>
      </c>
      <c r="L26" s="3" t="s">
        <v>645</v>
      </c>
      <c r="M26" s="3" t="s">
        <v>660</v>
      </c>
      <c r="N26" s="3" t="s">
        <v>681</v>
      </c>
      <c r="O26" s="3" t="s">
        <v>704</v>
      </c>
      <c r="P26" s="3" t="s">
        <v>706</v>
      </c>
      <c r="Q26" s="3" t="s">
        <v>721</v>
      </c>
      <c r="R26" s="3" t="s">
        <v>729</v>
      </c>
      <c r="S26" s="3" t="s">
        <v>1338</v>
      </c>
      <c r="T26" s="21">
        <v>1466.27</v>
      </c>
      <c r="U26" s="21" t="str">
        <f t="shared" si="16"/>
        <v>High</v>
      </c>
      <c r="V26">
        <f t="shared" si="3"/>
        <v>3589.89</v>
      </c>
      <c r="W26" s="7">
        <v>3589.89</v>
      </c>
      <c r="X26" s="8">
        <v>9.7000000000000003E-2</v>
      </c>
      <c r="Y26" s="14">
        <v>9</v>
      </c>
      <c r="Z26" s="7">
        <f t="shared" si="4"/>
        <v>348.21933000000001</v>
      </c>
      <c r="AA26" s="7">
        <f t="shared" si="5"/>
        <v>29175.036029999999</v>
      </c>
      <c r="AB26" s="7">
        <f t="shared" si="6"/>
        <v>28826.816699999999</v>
      </c>
      <c r="AC26" s="7">
        <f t="shared" si="7"/>
        <v>13196.43</v>
      </c>
      <c r="AD26" s="7">
        <f t="shared" si="8"/>
        <v>15978.606029999999</v>
      </c>
      <c r="AE26" s="7">
        <f t="shared" si="9"/>
        <v>15630.386699999999</v>
      </c>
      <c r="AF26" s="26">
        <f t="shared" si="10"/>
        <v>2.2108279307358125</v>
      </c>
      <c r="AG26" s="8">
        <f>IF(DASHBOARD!$Q$7&gt;'staging data'!X26,'staging data'!X26,DASHBOARD!$Q$7)</f>
        <v>9.7000000000000003E-2</v>
      </c>
      <c r="AH26">
        <f>(100%+DASHBOARD!$Q$8)*'staging data'!T26</f>
        <v>1686.2104999999999</v>
      </c>
      <c r="AI26">
        <f>(100%+DASHBOARD!$Q$9)*'staging data'!Y26</f>
        <v>10.799999999999999</v>
      </c>
    </row>
    <row r="27" spans="1:35" x14ac:dyDescent="0.3">
      <c r="A27" s="3" t="s">
        <v>622</v>
      </c>
      <c r="B27" s="28">
        <v>44980</v>
      </c>
      <c r="C27" s="28" t="str">
        <f t="shared" si="11"/>
        <v>Q1</v>
      </c>
      <c r="D27" s="28" t="str">
        <f t="shared" si="12"/>
        <v>2024</v>
      </c>
      <c r="E27" s="28" t="str">
        <f t="shared" si="13"/>
        <v>Nov</v>
      </c>
      <c r="F27" s="5">
        <v>45623</v>
      </c>
      <c r="G27" s="5">
        <f t="shared" si="0"/>
        <v>45650</v>
      </c>
      <c r="H27" s="5">
        <v>45650</v>
      </c>
      <c r="I27" s="5" t="str">
        <f t="shared" si="14"/>
        <v>Achieved</v>
      </c>
      <c r="J27" s="14">
        <f t="shared" si="15"/>
        <v>27</v>
      </c>
      <c r="K27" s="14">
        <f t="shared" si="1"/>
        <v>27</v>
      </c>
      <c r="L27" s="3" t="s">
        <v>645</v>
      </c>
      <c r="M27" s="3" t="s">
        <v>649</v>
      </c>
      <c r="N27" s="3" t="s">
        <v>674</v>
      </c>
      <c r="O27" s="3" t="s">
        <v>700</v>
      </c>
      <c r="P27" s="3" t="s">
        <v>709</v>
      </c>
      <c r="Q27" s="3" t="s">
        <v>716</v>
      </c>
      <c r="R27" s="3" t="s">
        <v>727</v>
      </c>
      <c r="S27" s="3" t="s">
        <v>1339</v>
      </c>
      <c r="T27" s="21">
        <v>143.33000000000001</v>
      </c>
      <c r="U27" s="21" t="str">
        <f t="shared" si="16"/>
        <v>Low</v>
      </c>
      <c r="V27">
        <f t="shared" si="3"/>
        <v>233.51</v>
      </c>
      <c r="W27" s="7">
        <v>233.51</v>
      </c>
      <c r="X27" s="8">
        <v>0.16300000000000001</v>
      </c>
      <c r="Y27" s="14">
        <v>14</v>
      </c>
      <c r="Z27" s="7">
        <f t="shared" si="4"/>
        <v>38.062130000000003</v>
      </c>
      <c r="AA27" s="7">
        <f t="shared" si="5"/>
        <v>2736.27018</v>
      </c>
      <c r="AB27" s="7">
        <f t="shared" si="6"/>
        <v>2698.2080500000002</v>
      </c>
      <c r="AC27" s="7">
        <f t="shared" si="7"/>
        <v>2006.6200000000001</v>
      </c>
      <c r="AD27" s="7">
        <f t="shared" si="8"/>
        <v>729.65017999999986</v>
      </c>
      <c r="AE27" s="7">
        <f t="shared" si="9"/>
        <v>691.58805000000007</v>
      </c>
      <c r="AF27" s="26">
        <f t="shared" si="10"/>
        <v>1.3636215028256471</v>
      </c>
      <c r="AG27" s="8">
        <f>IF(DASHBOARD!$Q$7&gt;'staging data'!X27,'staging data'!X27,DASHBOARD!$Q$7)</f>
        <v>0.16300000000000001</v>
      </c>
      <c r="AH27">
        <f>(100%+DASHBOARD!$Q$8)*'staging data'!T27</f>
        <v>164.8295</v>
      </c>
      <c r="AI27">
        <f>(100%+DASHBOARD!$Q$9)*'staging data'!Y27</f>
        <v>16.8</v>
      </c>
    </row>
    <row r="28" spans="1:35" x14ac:dyDescent="0.3">
      <c r="A28" s="3" t="s">
        <v>619</v>
      </c>
      <c r="B28" s="28">
        <v>44981</v>
      </c>
      <c r="C28" s="28" t="str">
        <f t="shared" si="11"/>
        <v>Q1</v>
      </c>
      <c r="D28" s="28" t="str">
        <f t="shared" si="12"/>
        <v>2023</v>
      </c>
      <c r="E28" s="28" t="str">
        <f t="shared" si="13"/>
        <v>Sept</v>
      </c>
      <c r="F28" s="5">
        <v>45186</v>
      </c>
      <c r="G28" s="5">
        <f t="shared" si="0"/>
        <v>45201</v>
      </c>
      <c r="H28" s="5">
        <v>45201</v>
      </c>
      <c r="I28" s="5" t="str">
        <f t="shared" si="14"/>
        <v>Achieved</v>
      </c>
      <c r="J28" s="14">
        <f t="shared" si="15"/>
        <v>15</v>
      </c>
      <c r="K28" s="14">
        <f t="shared" si="1"/>
        <v>15</v>
      </c>
      <c r="L28" s="3" t="s">
        <v>647</v>
      </c>
      <c r="M28" s="3" t="s">
        <v>654</v>
      </c>
      <c r="N28" s="3" t="s">
        <v>691</v>
      </c>
      <c r="O28" s="3" t="s">
        <v>704</v>
      </c>
      <c r="P28" s="3" t="s">
        <v>706</v>
      </c>
      <c r="Q28" s="3" t="s">
        <v>716</v>
      </c>
      <c r="R28" s="3" t="s">
        <v>730</v>
      </c>
      <c r="S28" s="3" t="s">
        <v>1336</v>
      </c>
      <c r="T28" s="21">
        <v>689.33</v>
      </c>
      <c r="U28" s="21" t="str">
        <f t="shared" si="16"/>
        <v>Medium</v>
      </c>
      <c r="V28">
        <f t="shared" si="3"/>
        <v>668.27</v>
      </c>
      <c r="W28" s="7">
        <v>668.27</v>
      </c>
      <c r="X28" s="8">
        <v>0.186</v>
      </c>
      <c r="Y28" s="14">
        <v>13</v>
      </c>
      <c r="Z28" s="7">
        <f t="shared" si="4"/>
        <v>124.29822</v>
      </c>
      <c r="AA28" s="7">
        <f t="shared" si="5"/>
        <v>7071.6331400000008</v>
      </c>
      <c r="AB28" s="7">
        <f t="shared" si="6"/>
        <v>6947.3349200000011</v>
      </c>
      <c r="AC28" s="7">
        <f t="shared" si="7"/>
        <v>8961.2900000000009</v>
      </c>
      <c r="AD28" s="7">
        <f t="shared" si="8"/>
        <v>-1889.6568600000001</v>
      </c>
      <c r="AE28" s="7">
        <f t="shared" si="9"/>
        <v>-2013.9550799999997</v>
      </c>
      <c r="AF28" s="26">
        <f t="shared" si="10"/>
        <v>0.78913115634021447</v>
      </c>
      <c r="AG28" s="8">
        <f>IF(DASHBOARD!$Q$7&gt;'staging data'!X28,'staging data'!X28,DASHBOARD!$Q$7)</f>
        <v>0.186</v>
      </c>
      <c r="AH28">
        <f>(100%+DASHBOARD!$Q$8)*'staging data'!T28</f>
        <v>792.72950000000003</v>
      </c>
      <c r="AI28">
        <f>(100%+DASHBOARD!$Q$9)*'staging data'!Y28</f>
        <v>15.6</v>
      </c>
    </row>
    <row r="29" spans="1:35" x14ac:dyDescent="0.3">
      <c r="A29" s="3" t="s">
        <v>618</v>
      </c>
      <c r="B29" s="28">
        <v>44984</v>
      </c>
      <c r="C29" s="28" t="str">
        <f t="shared" si="11"/>
        <v>Q1</v>
      </c>
      <c r="D29" s="28" t="str">
        <f t="shared" si="12"/>
        <v>2023</v>
      </c>
      <c r="E29" s="28" t="str">
        <f t="shared" si="13"/>
        <v>Apr</v>
      </c>
      <c r="F29" s="5">
        <v>45026</v>
      </c>
      <c r="G29" s="5">
        <f t="shared" si="0"/>
        <v>45041</v>
      </c>
      <c r="H29" s="5">
        <v>45041</v>
      </c>
      <c r="I29" s="5" t="str">
        <f t="shared" si="14"/>
        <v>Achieved</v>
      </c>
      <c r="J29" s="14">
        <f t="shared" si="15"/>
        <v>15</v>
      </c>
      <c r="K29" s="14">
        <f t="shared" si="1"/>
        <v>15</v>
      </c>
      <c r="L29" s="3" t="s">
        <v>648</v>
      </c>
      <c r="M29" s="3" t="s">
        <v>657</v>
      </c>
      <c r="N29" s="3" t="s">
        <v>682</v>
      </c>
      <c r="O29" s="3" t="s">
        <v>704</v>
      </c>
      <c r="P29" s="3" t="s">
        <v>706</v>
      </c>
      <c r="Q29" s="3" t="s">
        <v>725</v>
      </c>
      <c r="R29" s="3" t="s">
        <v>727</v>
      </c>
      <c r="S29" s="3" t="s">
        <v>1335</v>
      </c>
      <c r="T29" s="21">
        <v>405.66</v>
      </c>
      <c r="U29" s="21" t="str">
        <f t="shared" si="16"/>
        <v>Medium</v>
      </c>
      <c r="V29">
        <f t="shared" si="3"/>
        <v>962.51</v>
      </c>
      <c r="W29" s="7">
        <v>962.51</v>
      </c>
      <c r="X29" s="8">
        <v>0.19</v>
      </c>
      <c r="Y29" s="14">
        <v>7</v>
      </c>
      <c r="Z29" s="7">
        <f t="shared" si="4"/>
        <v>182.87690000000001</v>
      </c>
      <c r="AA29" s="7">
        <f t="shared" si="5"/>
        <v>5457.4317000000001</v>
      </c>
      <c r="AB29" s="7">
        <f t="shared" si="6"/>
        <v>5274.5547999999999</v>
      </c>
      <c r="AC29" s="7">
        <f t="shared" si="7"/>
        <v>2839.6200000000003</v>
      </c>
      <c r="AD29" s="7">
        <f t="shared" si="8"/>
        <v>2617.8116999999997</v>
      </c>
      <c r="AE29" s="7">
        <f t="shared" si="9"/>
        <v>2434.9347999999995</v>
      </c>
      <c r="AF29" s="26">
        <f t="shared" si="10"/>
        <v>1.9218880343144504</v>
      </c>
      <c r="AG29" s="8">
        <f>IF(DASHBOARD!$Q$7&gt;'staging data'!X29,'staging data'!X29,DASHBOARD!$Q$7)</f>
        <v>0.19</v>
      </c>
      <c r="AH29">
        <f>(100%+DASHBOARD!$Q$8)*'staging data'!T29</f>
        <v>466.50900000000001</v>
      </c>
      <c r="AI29">
        <f>(100%+DASHBOARD!$Q$9)*'staging data'!Y29</f>
        <v>8.4</v>
      </c>
    </row>
    <row r="30" spans="1:35" x14ac:dyDescent="0.3">
      <c r="A30" s="3" t="s">
        <v>614</v>
      </c>
      <c r="B30" s="28">
        <v>44985</v>
      </c>
      <c r="C30" s="28" t="str">
        <f t="shared" si="11"/>
        <v>Q1</v>
      </c>
      <c r="D30" s="28" t="str">
        <f t="shared" si="12"/>
        <v>2024</v>
      </c>
      <c r="E30" s="28" t="str">
        <f t="shared" si="13"/>
        <v>Mar</v>
      </c>
      <c r="F30" s="5">
        <v>45360</v>
      </c>
      <c r="G30" s="5">
        <f t="shared" si="0"/>
        <v>45373</v>
      </c>
      <c r="H30" s="5">
        <v>45373</v>
      </c>
      <c r="I30" s="5" t="str">
        <f t="shared" si="14"/>
        <v>Achieved</v>
      </c>
      <c r="J30" s="14">
        <f t="shared" si="15"/>
        <v>13</v>
      </c>
      <c r="K30" s="14">
        <f t="shared" si="1"/>
        <v>13</v>
      </c>
      <c r="L30" s="3" t="s">
        <v>648</v>
      </c>
      <c r="M30" s="3" t="s">
        <v>657</v>
      </c>
      <c r="N30" s="3" t="s">
        <v>692</v>
      </c>
      <c r="O30" s="3" t="s">
        <v>703</v>
      </c>
      <c r="P30" s="3" t="s">
        <v>707</v>
      </c>
      <c r="Q30" s="3" t="s">
        <v>717</v>
      </c>
      <c r="R30" s="3" t="s">
        <v>730</v>
      </c>
      <c r="S30" s="3" t="s">
        <v>1331</v>
      </c>
      <c r="T30" s="21">
        <v>985.45</v>
      </c>
      <c r="U30" s="21" t="str">
        <f t="shared" si="16"/>
        <v>Medium</v>
      </c>
      <c r="V30">
        <f t="shared" si="3"/>
        <v>1802.44</v>
      </c>
      <c r="W30" s="7">
        <v>1802.44</v>
      </c>
      <c r="X30" s="8">
        <v>8.9999999999999993E-3</v>
      </c>
      <c r="Y30" s="14">
        <v>19</v>
      </c>
      <c r="Z30" s="7">
        <f t="shared" si="4"/>
        <v>16.221959999999999</v>
      </c>
      <c r="AA30" s="7">
        <f t="shared" si="5"/>
        <v>33938.142760000002</v>
      </c>
      <c r="AB30" s="7">
        <f t="shared" si="6"/>
        <v>33921.9208</v>
      </c>
      <c r="AC30" s="7">
        <f t="shared" si="7"/>
        <v>18723.55</v>
      </c>
      <c r="AD30" s="7">
        <f t="shared" si="8"/>
        <v>15214.592760000003</v>
      </c>
      <c r="AE30" s="7">
        <f t="shared" si="9"/>
        <v>15198.370800000001</v>
      </c>
      <c r="AF30" s="26">
        <f t="shared" si="10"/>
        <v>1.8125912425795323</v>
      </c>
      <c r="AG30" s="8">
        <f>IF(DASHBOARD!$Q$7&gt;'staging data'!X30,'staging data'!X30,DASHBOARD!$Q$7)</f>
        <v>8.9999999999999993E-3</v>
      </c>
      <c r="AH30">
        <f>(100%+DASHBOARD!$Q$8)*'staging data'!T30</f>
        <v>1133.2674999999999</v>
      </c>
      <c r="AI30">
        <f>(100%+DASHBOARD!$Q$9)*'staging data'!Y30</f>
        <v>22.8</v>
      </c>
    </row>
    <row r="31" spans="1:35" x14ac:dyDescent="0.3">
      <c r="A31" s="3" t="s">
        <v>615</v>
      </c>
      <c r="B31" s="28">
        <v>44985</v>
      </c>
      <c r="C31" s="28" t="str">
        <f t="shared" si="11"/>
        <v>Q1</v>
      </c>
      <c r="D31" s="28" t="str">
        <f t="shared" si="12"/>
        <v>2024</v>
      </c>
      <c r="E31" s="28" t="str">
        <f t="shared" si="13"/>
        <v>Aug</v>
      </c>
      <c r="F31" s="5">
        <v>45523</v>
      </c>
      <c r="G31" s="5">
        <f t="shared" si="0"/>
        <v>45537</v>
      </c>
      <c r="H31" s="5">
        <v>45537</v>
      </c>
      <c r="I31" s="5" t="str">
        <f t="shared" si="14"/>
        <v>Achieved</v>
      </c>
      <c r="J31" s="14">
        <f t="shared" si="15"/>
        <v>14</v>
      </c>
      <c r="K31" s="14">
        <f t="shared" si="1"/>
        <v>14</v>
      </c>
      <c r="L31" s="3" t="s">
        <v>647</v>
      </c>
      <c r="M31" s="3" t="s">
        <v>652</v>
      </c>
      <c r="N31" s="3" t="s">
        <v>666</v>
      </c>
      <c r="O31" s="3" t="s">
        <v>703</v>
      </c>
      <c r="P31" s="3" t="s">
        <v>709</v>
      </c>
      <c r="Q31" s="3" t="s">
        <v>711</v>
      </c>
      <c r="R31" s="3" t="s">
        <v>727</v>
      </c>
      <c r="S31" s="3" t="s">
        <v>1332</v>
      </c>
      <c r="T31" s="21">
        <v>1337.01</v>
      </c>
      <c r="U31" s="21" t="str">
        <f t="shared" si="16"/>
        <v>Medium</v>
      </c>
      <c r="V31">
        <f t="shared" si="3"/>
        <v>1269.78</v>
      </c>
      <c r="W31" s="7">
        <v>1269.78</v>
      </c>
      <c r="X31" s="8">
        <v>0.16</v>
      </c>
      <c r="Y31" s="14">
        <v>7</v>
      </c>
      <c r="Z31" s="7">
        <f t="shared" si="4"/>
        <v>203.16480000000001</v>
      </c>
      <c r="AA31" s="7">
        <f t="shared" si="5"/>
        <v>7466.3063999999986</v>
      </c>
      <c r="AB31" s="7">
        <f t="shared" si="6"/>
        <v>7263.141599999999</v>
      </c>
      <c r="AC31" s="7">
        <f t="shared" si="7"/>
        <v>9359.07</v>
      </c>
      <c r="AD31" s="7">
        <f t="shared" si="8"/>
        <v>-1892.7636000000011</v>
      </c>
      <c r="AE31" s="7">
        <f t="shared" si="9"/>
        <v>-2095.9284000000007</v>
      </c>
      <c r="AF31" s="26">
        <f t="shared" si="10"/>
        <v>0.79776157246393054</v>
      </c>
      <c r="AG31" s="8">
        <f>IF(DASHBOARD!$Q$7&gt;'staging data'!X31,'staging data'!X31,DASHBOARD!$Q$7)</f>
        <v>0.16</v>
      </c>
      <c r="AH31">
        <f>(100%+DASHBOARD!$Q$8)*'staging data'!T31</f>
        <v>1537.5614999999998</v>
      </c>
      <c r="AI31">
        <f>(100%+DASHBOARD!$Q$9)*'staging data'!Y31</f>
        <v>8.4</v>
      </c>
    </row>
    <row r="32" spans="1:35" x14ac:dyDescent="0.3">
      <c r="A32" s="3" t="s">
        <v>616</v>
      </c>
      <c r="B32" s="28">
        <v>44985</v>
      </c>
      <c r="C32" s="28" t="str">
        <f t="shared" si="11"/>
        <v>Q1</v>
      </c>
      <c r="D32" s="28" t="str">
        <f t="shared" si="12"/>
        <v>2025</v>
      </c>
      <c r="E32" s="28" t="str">
        <f t="shared" si="13"/>
        <v>Aug</v>
      </c>
      <c r="F32" s="5">
        <v>45880</v>
      </c>
      <c r="G32" s="5">
        <f t="shared" si="0"/>
        <v>45897</v>
      </c>
      <c r="H32" s="5">
        <v>45897</v>
      </c>
      <c r="I32" s="5" t="str">
        <f t="shared" si="14"/>
        <v>Achieved</v>
      </c>
      <c r="J32" s="14">
        <f t="shared" si="15"/>
        <v>17</v>
      </c>
      <c r="K32" s="14">
        <f t="shared" si="1"/>
        <v>17</v>
      </c>
      <c r="L32" s="3" t="s">
        <v>648</v>
      </c>
      <c r="M32" s="3" t="s">
        <v>656</v>
      </c>
      <c r="N32" s="3" t="s">
        <v>689</v>
      </c>
      <c r="O32" s="3" t="s">
        <v>701</v>
      </c>
      <c r="P32" s="3" t="s">
        <v>707</v>
      </c>
      <c r="Q32" s="3" t="s">
        <v>720</v>
      </c>
      <c r="R32" s="3" t="s">
        <v>728</v>
      </c>
      <c r="S32" s="3" t="s">
        <v>1333</v>
      </c>
      <c r="T32" s="21">
        <v>416.16</v>
      </c>
      <c r="U32" s="21" t="str">
        <f t="shared" si="16"/>
        <v>Low</v>
      </c>
      <c r="V32">
        <f t="shared" si="3"/>
        <v>571.9</v>
      </c>
      <c r="W32" s="7">
        <v>571.9</v>
      </c>
      <c r="X32" s="8">
        <v>7.0999999999999994E-2</v>
      </c>
      <c r="Y32" s="14">
        <v>2</v>
      </c>
      <c r="Z32" s="7">
        <f t="shared" si="4"/>
        <v>40.604899999999994</v>
      </c>
      <c r="AA32" s="7">
        <f t="shared" si="5"/>
        <v>1062.5902000000001</v>
      </c>
      <c r="AB32" s="7">
        <f t="shared" si="6"/>
        <v>1021.9853000000001</v>
      </c>
      <c r="AC32" s="7">
        <f t="shared" si="7"/>
        <v>832.32</v>
      </c>
      <c r="AD32" s="7">
        <f t="shared" si="8"/>
        <v>230.27020000000005</v>
      </c>
      <c r="AE32" s="7">
        <f t="shared" si="9"/>
        <v>189.6653</v>
      </c>
      <c r="AF32" s="26">
        <f t="shared" si="10"/>
        <v>1.276660659361784</v>
      </c>
      <c r="AG32" s="8">
        <f>IF(DASHBOARD!$Q$7&gt;'staging data'!X32,'staging data'!X32,DASHBOARD!$Q$7)</f>
        <v>7.0999999999999994E-2</v>
      </c>
      <c r="AH32">
        <f>(100%+DASHBOARD!$Q$8)*'staging data'!T32</f>
        <v>478.584</v>
      </c>
      <c r="AI32">
        <f>(100%+DASHBOARD!$Q$9)*'staging data'!Y32</f>
        <v>2.4</v>
      </c>
    </row>
    <row r="33" spans="1:35" x14ac:dyDescent="0.3">
      <c r="A33" s="3" t="s">
        <v>617</v>
      </c>
      <c r="B33" s="28">
        <v>44985</v>
      </c>
      <c r="C33" s="28" t="str">
        <f t="shared" si="11"/>
        <v>Q1</v>
      </c>
      <c r="D33" s="28" t="str">
        <f t="shared" si="12"/>
        <v>2025</v>
      </c>
      <c r="E33" s="28" t="str">
        <f t="shared" si="13"/>
        <v>May</v>
      </c>
      <c r="F33" s="5">
        <v>45793</v>
      </c>
      <c r="G33" s="5">
        <f t="shared" si="0"/>
        <v>45795</v>
      </c>
      <c r="H33" s="5">
        <v>45795</v>
      </c>
      <c r="I33" s="5" t="str">
        <f t="shared" si="14"/>
        <v>Not achieved</v>
      </c>
      <c r="J33" s="14">
        <f t="shared" si="15"/>
        <v>2</v>
      </c>
      <c r="K33" s="14">
        <f t="shared" si="1"/>
        <v>2</v>
      </c>
      <c r="L33" s="3" t="s">
        <v>646</v>
      </c>
      <c r="M33" s="3" t="s">
        <v>651</v>
      </c>
      <c r="N33" s="3" t="s">
        <v>688</v>
      </c>
      <c r="O33" s="3" t="s">
        <v>705</v>
      </c>
      <c r="P33" s="3" t="s">
        <v>706</v>
      </c>
      <c r="Q33" s="3" t="s">
        <v>712</v>
      </c>
      <c r="R33" s="3" t="s">
        <v>727</v>
      </c>
      <c r="S33" s="3" t="s">
        <v>1334</v>
      </c>
      <c r="T33" s="21">
        <v>1144.3800000000001</v>
      </c>
      <c r="U33" s="21" t="str">
        <f t="shared" si="16"/>
        <v>High</v>
      </c>
      <c r="V33">
        <f t="shared" si="3"/>
        <v>2755.04</v>
      </c>
      <c r="W33" s="7">
        <v>2755.04</v>
      </c>
      <c r="X33" s="8">
        <v>0.15</v>
      </c>
      <c r="Y33" s="14">
        <v>17</v>
      </c>
      <c r="Z33" s="7">
        <f t="shared" si="4"/>
        <v>413.25599999999997</v>
      </c>
      <c r="AA33" s="7">
        <f t="shared" si="5"/>
        <v>39810.328000000001</v>
      </c>
      <c r="AB33" s="7">
        <f t="shared" si="6"/>
        <v>39397.072</v>
      </c>
      <c r="AC33" s="7">
        <f t="shared" si="7"/>
        <v>19454.460000000003</v>
      </c>
      <c r="AD33" s="7">
        <f t="shared" si="8"/>
        <v>20355.867999999999</v>
      </c>
      <c r="AE33" s="7">
        <f t="shared" si="9"/>
        <v>19942.611999999997</v>
      </c>
      <c r="AF33" s="26">
        <f t="shared" si="10"/>
        <v>2.0463342595990839</v>
      </c>
      <c r="AG33" s="8">
        <f>IF(DASHBOARD!$Q$7&gt;'staging data'!X33,'staging data'!X33,DASHBOARD!$Q$7)</f>
        <v>0.15</v>
      </c>
      <c r="AH33">
        <f>(100%+DASHBOARD!$Q$8)*'staging data'!T33</f>
        <v>1316.037</v>
      </c>
      <c r="AI33">
        <f>(100%+DASHBOARD!$Q$9)*'staging data'!Y33</f>
        <v>20.399999999999999</v>
      </c>
    </row>
    <row r="34" spans="1:35" x14ac:dyDescent="0.3">
      <c r="A34" s="3" t="s">
        <v>613</v>
      </c>
      <c r="B34" s="28">
        <v>44987</v>
      </c>
      <c r="C34" s="28" t="str">
        <f t="shared" si="11"/>
        <v>Q1</v>
      </c>
      <c r="D34" s="28" t="str">
        <f t="shared" si="12"/>
        <v>2024</v>
      </c>
      <c r="E34" s="28" t="str">
        <f t="shared" si="13"/>
        <v>Aug</v>
      </c>
      <c r="F34" s="5">
        <v>45521</v>
      </c>
      <c r="G34" s="5">
        <f t="shared" si="0"/>
        <v>45521</v>
      </c>
      <c r="H34" s="5">
        <v>45519</v>
      </c>
      <c r="I34" s="5" t="str">
        <f t="shared" si="14"/>
        <v>Not achieved</v>
      </c>
      <c r="J34" s="14">
        <f t="shared" si="15"/>
        <v>0</v>
      </c>
      <c r="K34" s="14">
        <f t="shared" si="1"/>
        <v>-2</v>
      </c>
      <c r="L34" s="3" t="s">
        <v>647</v>
      </c>
      <c r="M34" s="3" t="s">
        <v>654</v>
      </c>
      <c r="N34" s="3" t="s">
        <v>691</v>
      </c>
      <c r="O34" s="3" t="s">
        <v>703</v>
      </c>
      <c r="P34" s="3" t="s">
        <v>710</v>
      </c>
      <c r="Q34" s="3" t="s">
        <v>723</v>
      </c>
      <c r="R34" s="3" t="s">
        <v>731</v>
      </c>
      <c r="S34" s="3" t="s">
        <v>1330</v>
      </c>
      <c r="T34" s="21">
        <v>165.3</v>
      </c>
      <c r="U34" s="21" t="str">
        <f t="shared" si="16"/>
        <v>Low</v>
      </c>
      <c r="V34">
        <f t="shared" si="3"/>
        <v>275.07</v>
      </c>
      <c r="W34" s="7">
        <v>275.07</v>
      </c>
      <c r="X34" s="8">
        <v>0.13300000000000001</v>
      </c>
      <c r="Y34" s="14">
        <v>25</v>
      </c>
      <c r="Z34" s="7">
        <f t="shared" si="4"/>
        <v>36.584310000000002</v>
      </c>
      <c r="AA34" s="7">
        <f t="shared" si="5"/>
        <v>5962.1422499999999</v>
      </c>
      <c r="AB34" s="7">
        <f t="shared" si="6"/>
        <v>5925.5579399999997</v>
      </c>
      <c r="AC34" s="7">
        <f t="shared" si="7"/>
        <v>4132.5</v>
      </c>
      <c r="AD34" s="7">
        <f t="shared" si="8"/>
        <v>1829.6422499999999</v>
      </c>
      <c r="AE34" s="7">
        <f t="shared" si="9"/>
        <v>1793.0579399999997</v>
      </c>
      <c r="AF34" s="26">
        <f t="shared" si="10"/>
        <v>1.4427446460980036</v>
      </c>
      <c r="AG34" s="8">
        <f>IF(DASHBOARD!$Q$7&gt;'staging data'!X34,'staging data'!X34,DASHBOARD!$Q$7)</f>
        <v>0.13300000000000001</v>
      </c>
      <c r="AH34">
        <f>(100%+DASHBOARD!$Q$8)*'staging data'!T34</f>
        <v>190.095</v>
      </c>
      <c r="AI34">
        <f>(100%+DASHBOARD!$Q$9)*'staging data'!Y34</f>
        <v>30</v>
      </c>
    </row>
    <row r="35" spans="1:35" x14ac:dyDescent="0.3">
      <c r="A35" s="3" t="s">
        <v>612</v>
      </c>
      <c r="B35" s="28">
        <v>44988</v>
      </c>
      <c r="C35" s="28" t="str">
        <f t="shared" si="11"/>
        <v>Q1</v>
      </c>
      <c r="D35" s="28" t="str">
        <f t="shared" si="12"/>
        <v>2025</v>
      </c>
      <c r="E35" s="28" t="str">
        <f t="shared" si="13"/>
        <v>Mar</v>
      </c>
      <c r="F35" s="5">
        <v>45726</v>
      </c>
      <c r="G35" s="5">
        <f t="shared" si="0"/>
        <v>45751</v>
      </c>
      <c r="H35" s="5">
        <v>45751</v>
      </c>
      <c r="I35" s="5" t="str">
        <f t="shared" si="14"/>
        <v>Achieved</v>
      </c>
      <c r="J35" s="14">
        <f t="shared" si="15"/>
        <v>25</v>
      </c>
      <c r="K35" s="14">
        <f t="shared" si="1"/>
        <v>25</v>
      </c>
      <c r="L35" s="3" t="s">
        <v>646</v>
      </c>
      <c r="M35" s="3" t="s">
        <v>651</v>
      </c>
      <c r="N35" s="3" t="s">
        <v>665</v>
      </c>
      <c r="O35" s="3" t="s">
        <v>700</v>
      </c>
      <c r="P35" s="3" t="s">
        <v>710</v>
      </c>
      <c r="Q35" s="3" t="s">
        <v>721</v>
      </c>
      <c r="R35" s="3" t="s">
        <v>727</v>
      </c>
      <c r="S35" s="3" t="s">
        <v>1329</v>
      </c>
      <c r="T35" s="21">
        <v>783.72</v>
      </c>
      <c r="U35" s="21" t="str">
        <f t="shared" si="16"/>
        <v>Medium</v>
      </c>
      <c r="V35">
        <f t="shared" si="3"/>
        <v>1355.94</v>
      </c>
      <c r="W35" s="7">
        <v>1355.94</v>
      </c>
      <c r="X35" s="8">
        <v>0.187</v>
      </c>
      <c r="Y35" s="14">
        <v>4</v>
      </c>
      <c r="Z35" s="7">
        <f t="shared" si="4"/>
        <v>253.56078000000002</v>
      </c>
      <c r="AA35" s="7">
        <f t="shared" si="5"/>
        <v>4409.5168800000001</v>
      </c>
      <c r="AB35" s="7">
        <f t="shared" si="6"/>
        <v>4155.9561000000003</v>
      </c>
      <c r="AC35" s="7">
        <f t="shared" si="7"/>
        <v>3134.88</v>
      </c>
      <c r="AD35" s="7">
        <f t="shared" si="8"/>
        <v>1274.63688</v>
      </c>
      <c r="AE35" s="7">
        <f t="shared" si="9"/>
        <v>1021.0761000000002</v>
      </c>
      <c r="AF35" s="26">
        <f t="shared" si="10"/>
        <v>1.406598300413413</v>
      </c>
      <c r="AG35" s="8">
        <f>IF(DASHBOARD!$Q$7&gt;'staging data'!X35,'staging data'!X35,DASHBOARD!$Q$7)</f>
        <v>0.187</v>
      </c>
      <c r="AH35">
        <f>(100%+DASHBOARD!$Q$8)*'staging data'!T35</f>
        <v>901.27799999999991</v>
      </c>
      <c r="AI35">
        <f>(100%+DASHBOARD!$Q$9)*'staging data'!Y35</f>
        <v>4.8</v>
      </c>
    </row>
    <row r="36" spans="1:35" x14ac:dyDescent="0.3">
      <c r="A36" s="3" t="s">
        <v>611</v>
      </c>
      <c r="B36" s="28">
        <v>44989</v>
      </c>
      <c r="C36" s="28" t="str">
        <f t="shared" si="11"/>
        <v>Q1</v>
      </c>
      <c r="D36" s="28" t="str">
        <f t="shared" si="12"/>
        <v>2023</v>
      </c>
      <c r="E36" s="28" t="str">
        <f t="shared" si="13"/>
        <v>Jan</v>
      </c>
      <c r="F36" s="5">
        <v>44933</v>
      </c>
      <c r="G36" s="5">
        <f t="shared" si="0"/>
        <v>44956</v>
      </c>
      <c r="H36" s="5">
        <v>44956</v>
      </c>
      <c r="I36" s="5" t="str">
        <f t="shared" si="14"/>
        <v>Achieved</v>
      </c>
      <c r="J36" s="14">
        <f t="shared" si="15"/>
        <v>23</v>
      </c>
      <c r="K36" s="14">
        <f t="shared" si="1"/>
        <v>23</v>
      </c>
      <c r="L36" s="3" t="s">
        <v>645</v>
      </c>
      <c r="M36" s="3" t="s">
        <v>660</v>
      </c>
      <c r="N36" s="3" t="s">
        <v>694</v>
      </c>
      <c r="O36" s="3" t="s">
        <v>703</v>
      </c>
      <c r="P36" s="3" t="s">
        <v>707</v>
      </c>
      <c r="Q36" s="3" t="s">
        <v>719</v>
      </c>
      <c r="R36" s="3" t="s">
        <v>727</v>
      </c>
      <c r="S36" s="3" t="s">
        <v>1328</v>
      </c>
      <c r="T36" s="21">
        <v>299.02</v>
      </c>
      <c r="U36" s="21" t="str">
        <f t="shared" si="16"/>
        <v>Medium</v>
      </c>
      <c r="V36">
        <f t="shared" si="3"/>
        <v>724.7</v>
      </c>
      <c r="W36" s="7">
        <v>724.7</v>
      </c>
      <c r="X36" s="8">
        <v>0.14000000000000001</v>
      </c>
      <c r="Y36" s="14">
        <v>5</v>
      </c>
      <c r="Z36" s="7">
        <f t="shared" si="4"/>
        <v>101.45800000000001</v>
      </c>
      <c r="AA36" s="7">
        <f t="shared" si="5"/>
        <v>3116.21</v>
      </c>
      <c r="AB36" s="7">
        <f t="shared" si="6"/>
        <v>3014.752</v>
      </c>
      <c r="AC36" s="7">
        <f t="shared" si="7"/>
        <v>1495.1</v>
      </c>
      <c r="AD36" s="7">
        <f t="shared" si="8"/>
        <v>1621.1100000000001</v>
      </c>
      <c r="AE36" s="7">
        <f t="shared" si="9"/>
        <v>1519.652</v>
      </c>
      <c r="AF36" s="26">
        <f t="shared" si="10"/>
        <v>2.0842819878269014</v>
      </c>
      <c r="AG36" s="8">
        <f>IF(DASHBOARD!$Q$7&gt;'staging data'!X36,'staging data'!X36,DASHBOARD!$Q$7)</f>
        <v>0.14000000000000001</v>
      </c>
      <c r="AH36">
        <f>(100%+DASHBOARD!$Q$8)*'staging data'!T36</f>
        <v>343.87299999999993</v>
      </c>
      <c r="AI36">
        <f>(100%+DASHBOARD!$Q$9)*'staging data'!Y36</f>
        <v>6</v>
      </c>
    </row>
    <row r="37" spans="1:35" x14ac:dyDescent="0.3">
      <c r="A37" s="3" t="s">
        <v>610</v>
      </c>
      <c r="B37" s="28">
        <v>44991</v>
      </c>
      <c r="C37" s="28" t="str">
        <f t="shared" si="11"/>
        <v>Q1</v>
      </c>
      <c r="D37" s="28" t="str">
        <f t="shared" si="12"/>
        <v>2025</v>
      </c>
      <c r="E37" s="28" t="str">
        <f t="shared" si="13"/>
        <v>Feb</v>
      </c>
      <c r="F37" s="5">
        <v>45705</v>
      </c>
      <c r="G37" s="5">
        <f t="shared" si="0"/>
        <v>45705</v>
      </c>
      <c r="H37" s="5">
        <v>45703</v>
      </c>
      <c r="I37" s="5" t="str">
        <f t="shared" si="14"/>
        <v>Not achieved</v>
      </c>
      <c r="J37" s="14">
        <f t="shared" si="15"/>
        <v>0</v>
      </c>
      <c r="K37" s="14">
        <f t="shared" si="1"/>
        <v>-2</v>
      </c>
      <c r="L37" s="3" t="s">
        <v>647</v>
      </c>
      <c r="M37" s="3" t="s">
        <v>652</v>
      </c>
      <c r="N37" s="3" t="s">
        <v>666</v>
      </c>
      <c r="O37" s="3" t="s">
        <v>704</v>
      </c>
      <c r="P37" s="3" t="s">
        <v>706</v>
      </c>
      <c r="Q37" s="3" t="s">
        <v>725</v>
      </c>
      <c r="R37" s="3" t="s">
        <v>726</v>
      </c>
      <c r="S37" s="3" t="s">
        <v>1327</v>
      </c>
      <c r="T37" s="21">
        <v>1133.47</v>
      </c>
      <c r="U37" s="21" t="str">
        <f t="shared" si="16"/>
        <v>Medium</v>
      </c>
      <c r="V37">
        <f t="shared" si="3"/>
        <v>1698.75</v>
      </c>
      <c r="W37" s="7">
        <v>1698.75</v>
      </c>
      <c r="X37" s="8">
        <v>4.2999999999999997E-2</v>
      </c>
      <c r="Y37" s="14">
        <v>5</v>
      </c>
      <c r="Z37" s="7">
        <f t="shared" si="4"/>
        <v>73.046250000000001</v>
      </c>
      <c r="AA37" s="7">
        <f t="shared" si="5"/>
        <v>8128.5187499999993</v>
      </c>
      <c r="AB37" s="7">
        <f t="shared" si="6"/>
        <v>8055.4724999999989</v>
      </c>
      <c r="AC37" s="7">
        <f t="shared" si="7"/>
        <v>5667.35</v>
      </c>
      <c r="AD37" s="7">
        <f t="shared" si="8"/>
        <v>2461.1687499999989</v>
      </c>
      <c r="AE37" s="7">
        <f t="shared" si="9"/>
        <v>2388.1224999999986</v>
      </c>
      <c r="AF37" s="26">
        <f t="shared" si="10"/>
        <v>1.4342715290215002</v>
      </c>
      <c r="AG37" s="8">
        <f>IF(DASHBOARD!$Q$7&gt;'staging data'!X37,'staging data'!X37,DASHBOARD!$Q$7)</f>
        <v>4.2999999999999997E-2</v>
      </c>
      <c r="AH37">
        <f>(100%+DASHBOARD!$Q$8)*'staging data'!T37</f>
        <v>1303.4904999999999</v>
      </c>
      <c r="AI37">
        <f>(100%+DASHBOARD!$Q$9)*'staging data'!Y37</f>
        <v>6</v>
      </c>
    </row>
    <row r="38" spans="1:35" x14ac:dyDescent="0.3">
      <c r="A38" s="3" t="s">
        <v>609</v>
      </c>
      <c r="B38" s="28">
        <v>44992</v>
      </c>
      <c r="C38" s="28" t="str">
        <f t="shared" si="11"/>
        <v>Q1</v>
      </c>
      <c r="D38" s="28" t="str">
        <f t="shared" si="12"/>
        <v>2024</v>
      </c>
      <c r="E38" s="28" t="str">
        <f t="shared" si="13"/>
        <v>Jun</v>
      </c>
      <c r="F38" s="5">
        <v>45473</v>
      </c>
      <c r="G38" s="5">
        <f t="shared" si="0"/>
        <v>45494</v>
      </c>
      <c r="H38" s="5">
        <v>45494</v>
      </c>
      <c r="I38" s="5" t="str">
        <f t="shared" si="14"/>
        <v>Achieved</v>
      </c>
      <c r="J38" s="14">
        <f t="shared" si="15"/>
        <v>21</v>
      </c>
      <c r="K38" s="14">
        <f t="shared" si="1"/>
        <v>21</v>
      </c>
      <c r="L38" s="3" t="s">
        <v>645</v>
      </c>
      <c r="M38" s="3" t="s">
        <v>649</v>
      </c>
      <c r="N38" s="3" t="s">
        <v>661</v>
      </c>
      <c r="O38" s="3" t="s">
        <v>704</v>
      </c>
      <c r="P38" s="3" t="s">
        <v>706</v>
      </c>
      <c r="Q38" s="3" t="s">
        <v>722</v>
      </c>
      <c r="R38" s="3" t="s">
        <v>730</v>
      </c>
      <c r="S38" s="3" t="s">
        <v>1326</v>
      </c>
      <c r="T38" s="21">
        <v>753.43</v>
      </c>
      <c r="U38" s="21" t="str">
        <f t="shared" si="16"/>
        <v>Medium</v>
      </c>
      <c r="V38">
        <f t="shared" si="3"/>
        <v>1787.2</v>
      </c>
      <c r="W38" s="7">
        <v>1787.2</v>
      </c>
      <c r="X38" s="8">
        <v>7.2999999999999995E-2</v>
      </c>
      <c r="Y38" s="14">
        <v>9</v>
      </c>
      <c r="Z38" s="7">
        <f t="shared" si="4"/>
        <v>130.46559999999999</v>
      </c>
      <c r="AA38" s="7">
        <f t="shared" si="5"/>
        <v>14910.609600000002</v>
      </c>
      <c r="AB38" s="7">
        <f t="shared" si="6"/>
        <v>14780.144000000002</v>
      </c>
      <c r="AC38" s="7">
        <f t="shared" si="7"/>
        <v>6780.87</v>
      </c>
      <c r="AD38" s="7">
        <f t="shared" si="8"/>
        <v>8129.7396000000017</v>
      </c>
      <c r="AE38" s="7">
        <f t="shared" si="9"/>
        <v>7999.2740000000022</v>
      </c>
      <c r="AF38" s="26">
        <f t="shared" si="10"/>
        <v>2.198922793092922</v>
      </c>
      <c r="AG38" s="8">
        <f>IF(DASHBOARD!$Q$7&gt;'staging data'!X38,'staging data'!X38,DASHBOARD!$Q$7)</f>
        <v>7.2999999999999995E-2</v>
      </c>
      <c r="AH38">
        <f>(100%+DASHBOARD!$Q$8)*'staging data'!T38</f>
        <v>866.44449999999983</v>
      </c>
      <c r="AI38">
        <f>(100%+DASHBOARD!$Q$9)*'staging data'!Y38</f>
        <v>10.799999999999999</v>
      </c>
    </row>
    <row r="39" spans="1:35" x14ac:dyDescent="0.3">
      <c r="A39" s="3" t="s">
        <v>608</v>
      </c>
      <c r="B39" s="28">
        <v>44998</v>
      </c>
      <c r="C39" s="28" t="str">
        <f t="shared" si="11"/>
        <v>Q1</v>
      </c>
      <c r="D39" s="28" t="str">
        <f t="shared" si="12"/>
        <v>2025</v>
      </c>
      <c r="E39" s="28" t="str">
        <f t="shared" si="13"/>
        <v>Jun</v>
      </c>
      <c r="F39" s="5">
        <v>45823</v>
      </c>
      <c r="G39" s="5">
        <f t="shared" si="0"/>
        <v>45850</v>
      </c>
      <c r="H39" s="5">
        <v>45850</v>
      </c>
      <c r="I39" s="5" t="str">
        <f t="shared" si="14"/>
        <v>Achieved</v>
      </c>
      <c r="J39" s="14">
        <f t="shared" si="15"/>
        <v>27</v>
      </c>
      <c r="K39" s="14">
        <f t="shared" si="1"/>
        <v>27</v>
      </c>
      <c r="L39" s="3" t="s">
        <v>648</v>
      </c>
      <c r="M39" s="3" t="s">
        <v>656</v>
      </c>
      <c r="N39" s="3" t="s">
        <v>672</v>
      </c>
      <c r="O39" s="3" t="s">
        <v>703</v>
      </c>
      <c r="P39" s="3" t="s">
        <v>710</v>
      </c>
      <c r="Q39" s="3" t="s">
        <v>711</v>
      </c>
      <c r="R39" s="3" t="s">
        <v>732</v>
      </c>
      <c r="S39" s="3" t="s">
        <v>1325</v>
      </c>
      <c r="T39" s="21">
        <v>318.83</v>
      </c>
      <c r="U39" s="21" t="str">
        <f t="shared" si="16"/>
        <v>Medium</v>
      </c>
      <c r="V39">
        <f t="shared" si="3"/>
        <v>699.5</v>
      </c>
      <c r="W39" s="7">
        <v>699.5</v>
      </c>
      <c r="X39" s="8">
        <v>0.08</v>
      </c>
      <c r="Y39" s="14">
        <v>13</v>
      </c>
      <c r="Z39" s="7">
        <f t="shared" si="4"/>
        <v>55.96</v>
      </c>
      <c r="AA39" s="7">
        <f t="shared" si="5"/>
        <v>8366.02</v>
      </c>
      <c r="AB39" s="7">
        <f t="shared" si="6"/>
        <v>8310.0600000000013</v>
      </c>
      <c r="AC39" s="7">
        <f t="shared" si="7"/>
        <v>4144.79</v>
      </c>
      <c r="AD39" s="7">
        <f t="shared" si="8"/>
        <v>4221.2300000000005</v>
      </c>
      <c r="AE39" s="7">
        <f t="shared" si="9"/>
        <v>4165.2700000000013</v>
      </c>
      <c r="AF39" s="26">
        <f t="shared" si="10"/>
        <v>2.018442430135182</v>
      </c>
      <c r="AG39" s="8">
        <f>IF(DASHBOARD!$Q$7&gt;'staging data'!X39,'staging data'!X39,DASHBOARD!$Q$7)</f>
        <v>0.08</v>
      </c>
      <c r="AH39">
        <f>(100%+DASHBOARD!$Q$8)*'staging data'!T39</f>
        <v>366.65449999999993</v>
      </c>
      <c r="AI39">
        <f>(100%+DASHBOARD!$Q$9)*'staging data'!Y39</f>
        <v>15.6</v>
      </c>
    </row>
    <row r="40" spans="1:35" x14ac:dyDescent="0.3">
      <c r="A40" s="3" t="s">
        <v>606</v>
      </c>
      <c r="B40" s="28">
        <v>44999</v>
      </c>
      <c r="C40" s="28" t="str">
        <f t="shared" si="11"/>
        <v>Q1</v>
      </c>
      <c r="D40" s="28" t="str">
        <f t="shared" si="12"/>
        <v>2023</v>
      </c>
      <c r="E40" s="28" t="str">
        <f t="shared" si="13"/>
        <v>Feb</v>
      </c>
      <c r="F40" s="5">
        <v>44984</v>
      </c>
      <c r="G40" s="5">
        <f t="shared" si="0"/>
        <v>44984</v>
      </c>
      <c r="H40" s="5">
        <v>44983</v>
      </c>
      <c r="I40" s="5" t="str">
        <f t="shared" si="14"/>
        <v>Not achieved</v>
      </c>
      <c r="J40" s="14">
        <f t="shared" si="15"/>
        <v>0</v>
      </c>
      <c r="K40" s="14">
        <f t="shared" si="1"/>
        <v>-1</v>
      </c>
      <c r="L40" s="3" t="s">
        <v>647</v>
      </c>
      <c r="M40" s="3" t="s">
        <v>659</v>
      </c>
      <c r="N40" s="3" t="s">
        <v>685</v>
      </c>
      <c r="O40" s="3" t="s">
        <v>702</v>
      </c>
      <c r="P40" s="3" t="s">
        <v>707</v>
      </c>
      <c r="Q40" s="3" t="s">
        <v>715</v>
      </c>
      <c r="R40" s="3" t="s">
        <v>728</v>
      </c>
      <c r="S40" s="3" t="s">
        <v>1323</v>
      </c>
      <c r="T40" s="21">
        <v>1015.91</v>
      </c>
      <c r="U40" s="21" t="str">
        <f t="shared" si="16"/>
        <v>High</v>
      </c>
      <c r="V40">
        <f t="shared" si="3"/>
        <v>2331.48</v>
      </c>
      <c r="W40" s="7">
        <v>2331.48</v>
      </c>
      <c r="X40" s="8">
        <v>0.14599999999999999</v>
      </c>
      <c r="Y40" s="14">
        <v>26</v>
      </c>
      <c r="Z40" s="7">
        <f t="shared" si="4"/>
        <v>340.39607999999998</v>
      </c>
      <c r="AA40" s="7">
        <f t="shared" si="5"/>
        <v>51768.181920000003</v>
      </c>
      <c r="AB40" s="7">
        <f t="shared" si="6"/>
        <v>51427.785840000004</v>
      </c>
      <c r="AC40" s="7">
        <f t="shared" si="7"/>
        <v>26413.66</v>
      </c>
      <c r="AD40" s="7">
        <f t="shared" si="8"/>
        <v>25354.521920000003</v>
      </c>
      <c r="AE40" s="7">
        <f t="shared" si="9"/>
        <v>25014.125840000004</v>
      </c>
      <c r="AF40" s="26">
        <f t="shared" si="10"/>
        <v>1.9599018810721422</v>
      </c>
      <c r="AG40" s="8">
        <f>IF(DASHBOARD!$Q$7&gt;'staging data'!X40,'staging data'!X40,DASHBOARD!$Q$7)</f>
        <v>0.14599999999999999</v>
      </c>
      <c r="AH40">
        <f>(100%+DASHBOARD!$Q$8)*'staging data'!T40</f>
        <v>1168.2964999999999</v>
      </c>
      <c r="AI40">
        <f>(100%+DASHBOARD!$Q$9)*'staging data'!Y40</f>
        <v>31.2</v>
      </c>
    </row>
    <row r="41" spans="1:35" x14ac:dyDescent="0.3">
      <c r="A41" s="3" t="s">
        <v>607</v>
      </c>
      <c r="B41" s="28">
        <v>44999</v>
      </c>
      <c r="C41" s="28" t="str">
        <f t="shared" si="11"/>
        <v>Q1</v>
      </c>
      <c r="D41" s="28" t="str">
        <f t="shared" si="12"/>
        <v>2024</v>
      </c>
      <c r="E41" s="28" t="str">
        <f t="shared" si="13"/>
        <v>Jul</v>
      </c>
      <c r="F41" s="5">
        <v>45504</v>
      </c>
      <c r="G41" s="5">
        <f t="shared" si="0"/>
        <v>45519</v>
      </c>
      <c r="H41" s="5">
        <v>45519</v>
      </c>
      <c r="I41" s="5" t="str">
        <f t="shared" si="14"/>
        <v>Achieved</v>
      </c>
      <c r="J41" s="14">
        <f t="shared" si="15"/>
        <v>15</v>
      </c>
      <c r="K41" s="14">
        <f t="shared" si="1"/>
        <v>15</v>
      </c>
      <c r="L41" s="3" t="s">
        <v>646</v>
      </c>
      <c r="M41" s="3" t="s">
        <v>651</v>
      </c>
      <c r="N41" s="3" t="s">
        <v>688</v>
      </c>
      <c r="O41" s="3" t="s">
        <v>700</v>
      </c>
      <c r="P41" s="3" t="s">
        <v>708</v>
      </c>
      <c r="Q41" s="3" t="s">
        <v>720</v>
      </c>
      <c r="R41" s="3" t="s">
        <v>731</v>
      </c>
      <c r="S41" s="3" t="s">
        <v>1324</v>
      </c>
      <c r="T41" s="21">
        <v>1252.52</v>
      </c>
      <c r="U41" s="21" t="str">
        <f t="shared" si="16"/>
        <v>Medium</v>
      </c>
      <c r="V41">
        <f t="shared" si="3"/>
        <v>1417.24</v>
      </c>
      <c r="W41" s="7">
        <v>1417.24</v>
      </c>
      <c r="X41" s="8">
        <v>0.192</v>
      </c>
      <c r="Y41" s="14">
        <v>5</v>
      </c>
      <c r="Z41" s="7">
        <f t="shared" si="4"/>
        <v>272.11007999999998</v>
      </c>
      <c r="AA41" s="7">
        <f t="shared" si="5"/>
        <v>5725.6496000000006</v>
      </c>
      <c r="AB41" s="7">
        <f t="shared" si="6"/>
        <v>5453.5395200000003</v>
      </c>
      <c r="AC41" s="7">
        <f t="shared" si="7"/>
        <v>6262.6</v>
      </c>
      <c r="AD41" s="7">
        <f t="shared" si="8"/>
        <v>-536.95039999999972</v>
      </c>
      <c r="AE41" s="7">
        <f t="shared" si="9"/>
        <v>-809.0604800000001</v>
      </c>
      <c r="AF41" s="26">
        <f t="shared" si="10"/>
        <v>0.91426078625491014</v>
      </c>
      <c r="AG41" s="8">
        <f>IF(DASHBOARD!$Q$7&gt;'staging data'!X41,'staging data'!X41,DASHBOARD!$Q$7)</f>
        <v>0.192</v>
      </c>
      <c r="AH41">
        <f>(100%+DASHBOARD!$Q$8)*'staging data'!T41</f>
        <v>1440.3979999999999</v>
      </c>
      <c r="AI41">
        <f>(100%+DASHBOARD!$Q$9)*'staging data'!Y41</f>
        <v>6</v>
      </c>
    </row>
    <row r="42" spans="1:35" x14ac:dyDescent="0.3">
      <c r="A42" s="3" t="s">
        <v>605</v>
      </c>
      <c r="B42" s="28">
        <v>45002</v>
      </c>
      <c r="C42" s="28" t="str">
        <f t="shared" si="11"/>
        <v>Q1</v>
      </c>
      <c r="D42" s="28" t="str">
        <f t="shared" si="12"/>
        <v>2025</v>
      </c>
      <c r="E42" s="28" t="str">
        <f t="shared" si="13"/>
        <v>Aug</v>
      </c>
      <c r="F42" s="5">
        <v>45899</v>
      </c>
      <c r="G42" s="5">
        <f t="shared" si="0"/>
        <v>45922</v>
      </c>
      <c r="H42" s="5">
        <v>45922</v>
      </c>
      <c r="I42" s="5" t="str">
        <f t="shared" si="14"/>
        <v>Achieved</v>
      </c>
      <c r="J42" s="14">
        <f t="shared" si="15"/>
        <v>23</v>
      </c>
      <c r="K42" s="14">
        <f t="shared" si="1"/>
        <v>23</v>
      </c>
      <c r="L42" s="3" t="s">
        <v>648</v>
      </c>
      <c r="M42" s="3" t="s">
        <v>656</v>
      </c>
      <c r="N42" s="3" t="s">
        <v>672</v>
      </c>
      <c r="O42" s="3" t="s">
        <v>700</v>
      </c>
      <c r="P42" s="3" t="s">
        <v>710</v>
      </c>
      <c r="Q42" s="3" t="s">
        <v>717</v>
      </c>
      <c r="R42" s="3" t="s">
        <v>726</v>
      </c>
      <c r="S42" s="3" t="s">
        <v>1322</v>
      </c>
      <c r="T42" s="21">
        <v>663.9</v>
      </c>
      <c r="U42" s="21" t="str">
        <f t="shared" si="16"/>
        <v>Medium</v>
      </c>
      <c r="V42">
        <f t="shared" si="3"/>
        <v>947.77</v>
      </c>
      <c r="W42" s="7">
        <v>947.77</v>
      </c>
      <c r="X42" s="8">
        <v>0.17399999999999999</v>
      </c>
      <c r="Y42" s="14">
        <v>15</v>
      </c>
      <c r="Z42" s="7">
        <f t="shared" si="4"/>
        <v>164.91197999999997</v>
      </c>
      <c r="AA42" s="7">
        <f t="shared" si="5"/>
        <v>11742.8703</v>
      </c>
      <c r="AB42" s="7">
        <f t="shared" si="6"/>
        <v>11577.95832</v>
      </c>
      <c r="AC42" s="7">
        <f t="shared" si="7"/>
        <v>9958.5</v>
      </c>
      <c r="AD42" s="7">
        <f t="shared" si="8"/>
        <v>1784.3703000000005</v>
      </c>
      <c r="AE42" s="7">
        <f t="shared" si="9"/>
        <v>1619.4583199999997</v>
      </c>
      <c r="AF42" s="26">
        <f t="shared" si="10"/>
        <v>1.1791806296128935</v>
      </c>
      <c r="AG42" s="8">
        <f>IF(DASHBOARD!$Q$7&gt;'staging data'!X42,'staging data'!X42,DASHBOARD!$Q$7)</f>
        <v>0.17399999999999999</v>
      </c>
      <c r="AH42">
        <f>(100%+DASHBOARD!$Q$8)*'staging data'!T42</f>
        <v>763.4849999999999</v>
      </c>
      <c r="AI42">
        <f>(100%+DASHBOARD!$Q$9)*'staging data'!Y42</f>
        <v>18</v>
      </c>
    </row>
    <row r="43" spans="1:35" x14ac:dyDescent="0.3">
      <c r="A43" s="3" t="s">
        <v>604</v>
      </c>
      <c r="B43" s="28">
        <v>45004</v>
      </c>
      <c r="C43" s="28" t="str">
        <f t="shared" si="11"/>
        <v>Q1</v>
      </c>
      <c r="D43" s="28" t="str">
        <f t="shared" si="12"/>
        <v>2023</v>
      </c>
      <c r="E43" s="28" t="str">
        <f t="shared" si="13"/>
        <v>Apr</v>
      </c>
      <c r="F43" s="5">
        <v>45019</v>
      </c>
      <c r="G43" s="5">
        <f t="shared" si="0"/>
        <v>45032</v>
      </c>
      <c r="H43" s="5">
        <v>45032</v>
      </c>
      <c r="I43" s="5" t="str">
        <f t="shared" si="14"/>
        <v>Achieved</v>
      </c>
      <c r="J43" s="14">
        <f t="shared" si="15"/>
        <v>13</v>
      </c>
      <c r="K43" s="14">
        <f t="shared" si="1"/>
        <v>13</v>
      </c>
      <c r="L43" s="3" t="s">
        <v>648</v>
      </c>
      <c r="M43" s="3" t="s">
        <v>656</v>
      </c>
      <c r="N43" s="3" t="s">
        <v>672</v>
      </c>
      <c r="O43" s="3" t="s">
        <v>702</v>
      </c>
      <c r="P43" s="3" t="s">
        <v>708</v>
      </c>
      <c r="Q43" s="3" t="s">
        <v>723</v>
      </c>
      <c r="R43" s="3" t="s">
        <v>732</v>
      </c>
      <c r="S43" s="3" t="s">
        <v>1321</v>
      </c>
      <c r="T43" s="21">
        <v>790.54</v>
      </c>
      <c r="U43" s="21" t="str">
        <f t="shared" si="16"/>
        <v>Low</v>
      </c>
      <c r="V43">
        <f t="shared" si="3"/>
        <v>601.49</v>
      </c>
      <c r="W43" s="7">
        <v>601.49</v>
      </c>
      <c r="X43" s="8">
        <v>0</v>
      </c>
      <c r="Y43" s="14">
        <v>15</v>
      </c>
      <c r="Z43" s="7">
        <f t="shared" si="4"/>
        <v>0</v>
      </c>
      <c r="AA43" s="7">
        <f t="shared" si="5"/>
        <v>9022.35</v>
      </c>
      <c r="AB43" s="7">
        <f t="shared" si="6"/>
        <v>9022.35</v>
      </c>
      <c r="AC43" s="7">
        <f t="shared" si="7"/>
        <v>11858.099999999999</v>
      </c>
      <c r="AD43" s="7">
        <f t="shared" si="8"/>
        <v>-2835.7499999999982</v>
      </c>
      <c r="AE43" s="7">
        <f t="shared" si="9"/>
        <v>-2835.7499999999982</v>
      </c>
      <c r="AF43" s="26">
        <f t="shared" si="10"/>
        <v>0.76085966554507056</v>
      </c>
      <c r="AG43" s="8">
        <f>IF(DASHBOARD!$Q$7&gt;'staging data'!X43,'staging data'!X43,DASHBOARD!$Q$7)</f>
        <v>0</v>
      </c>
      <c r="AH43">
        <f>(100%+DASHBOARD!$Q$8)*'staging data'!T43</f>
        <v>909.12099999999987</v>
      </c>
      <c r="AI43">
        <f>(100%+DASHBOARD!$Q$9)*'staging data'!Y43</f>
        <v>18</v>
      </c>
    </row>
    <row r="44" spans="1:35" x14ac:dyDescent="0.3">
      <c r="A44" s="3" t="s">
        <v>603</v>
      </c>
      <c r="B44" s="28">
        <v>45008</v>
      </c>
      <c r="C44" s="28" t="str">
        <f t="shared" si="11"/>
        <v>Q1</v>
      </c>
      <c r="D44" s="28" t="str">
        <f t="shared" si="12"/>
        <v>2025</v>
      </c>
      <c r="E44" s="28" t="str">
        <f t="shared" si="13"/>
        <v>Feb</v>
      </c>
      <c r="F44" s="5">
        <v>45703</v>
      </c>
      <c r="G44" s="5">
        <f t="shared" si="0"/>
        <v>45715</v>
      </c>
      <c r="H44" s="5">
        <v>45715</v>
      </c>
      <c r="I44" s="5" t="str">
        <f t="shared" si="14"/>
        <v>Achieved</v>
      </c>
      <c r="J44" s="14">
        <f t="shared" si="15"/>
        <v>12</v>
      </c>
      <c r="K44" s="14">
        <f t="shared" si="1"/>
        <v>12</v>
      </c>
      <c r="L44" s="3" t="s">
        <v>648</v>
      </c>
      <c r="M44" s="3" t="s">
        <v>656</v>
      </c>
      <c r="N44" s="3" t="s">
        <v>678</v>
      </c>
      <c r="O44" s="3" t="s">
        <v>702</v>
      </c>
      <c r="P44" s="3" t="s">
        <v>710</v>
      </c>
      <c r="Q44" s="3" t="s">
        <v>722</v>
      </c>
      <c r="R44" s="3" t="s">
        <v>732</v>
      </c>
      <c r="S44" s="3" t="s">
        <v>1320</v>
      </c>
      <c r="T44" s="21">
        <v>1027.26</v>
      </c>
      <c r="U44" s="21" t="str">
        <f t="shared" si="16"/>
        <v>High</v>
      </c>
      <c r="V44">
        <f t="shared" si="3"/>
        <v>2200.41</v>
      </c>
      <c r="W44" s="7">
        <v>2200.41</v>
      </c>
      <c r="X44" s="8">
        <v>8.7999999999999995E-2</v>
      </c>
      <c r="Y44" s="14">
        <v>6</v>
      </c>
      <c r="Z44" s="7">
        <f t="shared" si="4"/>
        <v>193.63607999999996</v>
      </c>
      <c r="AA44" s="7">
        <f t="shared" si="5"/>
        <v>12040.64352</v>
      </c>
      <c r="AB44" s="7">
        <f t="shared" si="6"/>
        <v>11847.007439999999</v>
      </c>
      <c r="AC44" s="7">
        <f t="shared" si="7"/>
        <v>6163.5599999999995</v>
      </c>
      <c r="AD44" s="7">
        <f t="shared" si="8"/>
        <v>5877.0835200000001</v>
      </c>
      <c r="AE44" s="7">
        <f t="shared" si="9"/>
        <v>5683.4474399999999</v>
      </c>
      <c r="AF44" s="26">
        <f t="shared" si="10"/>
        <v>1.9535209391974768</v>
      </c>
      <c r="AG44" s="8">
        <f>IF(DASHBOARD!$Q$7&gt;'staging data'!X44,'staging data'!X44,DASHBOARD!$Q$7)</f>
        <v>8.7999999999999995E-2</v>
      </c>
      <c r="AH44">
        <f>(100%+DASHBOARD!$Q$8)*'staging data'!T44</f>
        <v>1181.3489999999999</v>
      </c>
      <c r="AI44">
        <f>(100%+DASHBOARD!$Q$9)*'staging data'!Y44</f>
        <v>7.1999999999999993</v>
      </c>
    </row>
    <row r="45" spans="1:35" x14ac:dyDescent="0.3">
      <c r="A45" s="3" t="s">
        <v>602</v>
      </c>
      <c r="B45" s="28">
        <v>45010</v>
      </c>
      <c r="C45" s="28" t="str">
        <f t="shared" si="11"/>
        <v>Q1</v>
      </c>
      <c r="D45" s="28" t="str">
        <f t="shared" si="12"/>
        <v>2024</v>
      </c>
      <c r="E45" s="28" t="str">
        <f t="shared" si="13"/>
        <v>Jun</v>
      </c>
      <c r="F45" s="5">
        <v>45459</v>
      </c>
      <c r="G45" s="5">
        <f t="shared" si="0"/>
        <v>45464</v>
      </c>
      <c r="H45" s="5">
        <v>45464</v>
      </c>
      <c r="I45" s="5" t="str">
        <f t="shared" si="14"/>
        <v>Not achieved</v>
      </c>
      <c r="J45" s="14">
        <f t="shared" si="15"/>
        <v>5</v>
      </c>
      <c r="K45" s="14">
        <f t="shared" si="1"/>
        <v>5</v>
      </c>
      <c r="L45" s="3" t="s">
        <v>646</v>
      </c>
      <c r="M45" s="3" t="s">
        <v>651</v>
      </c>
      <c r="N45" s="3" t="s">
        <v>688</v>
      </c>
      <c r="O45" s="3" t="s">
        <v>704</v>
      </c>
      <c r="P45" s="3" t="s">
        <v>709</v>
      </c>
      <c r="Q45" s="3" t="s">
        <v>720</v>
      </c>
      <c r="R45" s="3" t="s">
        <v>729</v>
      </c>
      <c r="S45" s="3" t="s">
        <v>1319</v>
      </c>
      <c r="T45" s="21">
        <v>1367.13</v>
      </c>
      <c r="U45" s="21" t="str">
        <f t="shared" si="16"/>
        <v>High</v>
      </c>
      <c r="V45">
        <f t="shared" si="3"/>
        <v>3062.01</v>
      </c>
      <c r="W45" s="7">
        <v>3062.01</v>
      </c>
      <c r="X45" s="8">
        <v>0.10299999999999999</v>
      </c>
      <c r="Y45" s="14">
        <v>25</v>
      </c>
      <c r="Z45" s="7">
        <f t="shared" si="4"/>
        <v>315.38702999999998</v>
      </c>
      <c r="AA45" s="7">
        <f t="shared" si="5"/>
        <v>68665.574250000005</v>
      </c>
      <c r="AB45" s="7">
        <f t="shared" si="6"/>
        <v>68350.187220000007</v>
      </c>
      <c r="AC45" s="7">
        <f t="shared" si="7"/>
        <v>34178.25</v>
      </c>
      <c r="AD45" s="7">
        <f t="shared" si="8"/>
        <v>34487.324250000005</v>
      </c>
      <c r="AE45" s="7">
        <f t="shared" si="9"/>
        <v>34171.937220000007</v>
      </c>
      <c r="AF45" s="26">
        <f t="shared" si="10"/>
        <v>2.0090430098088699</v>
      </c>
      <c r="AG45" s="8">
        <f>IF(DASHBOARD!$Q$7&gt;'staging data'!X45,'staging data'!X45,DASHBOARD!$Q$7)</f>
        <v>0.10299999999999999</v>
      </c>
      <c r="AH45">
        <f>(100%+DASHBOARD!$Q$8)*'staging data'!T45</f>
        <v>1572.1994999999999</v>
      </c>
      <c r="AI45">
        <f>(100%+DASHBOARD!$Q$9)*'staging data'!Y45</f>
        <v>30</v>
      </c>
    </row>
    <row r="46" spans="1:35" x14ac:dyDescent="0.3">
      <c r="A46" s="3" t="s">
        <v>601</v>
      </c>
      <c r="B46" s="28">
        <v>45012</v>
      </c>
      <c r="C46" s="28" t="str">
        <f t="shared" si="11"/>
        <v>Q1</v>
      </c>
      <c r="D46" s="28" t="str">
        <f t="shared" si="12"/>
        <v>2024</v>
      </c>
      <c r="E46" s="28" t="str">
        <f t="shared" si="13"/>
        <v>Mar</v>
      </c>
      <c r="F46" s="5">
        <v>45364</v>
      </c>
      <c r="G46" s="5">
        <f t="shared" si="0"/>
        <v>45388</v>
      </c>
      <c r="H46" s="5">
        <v>45388</v>
      </c>
      <c r="I46" s="5" t="str">
        <f t="shared" si="14"/>
        <v>Achieved</v>
      </c>
      <c r="J46" s="14">
        <f t="shared" si="15"/>
        <v>24</v>
      </c>
      <c r="K46" s="14">
        <f t="shared" si="1"/>
        <v>24</v>
      </c>
      <c r="L46" s="3" t="s">
        <v>645</v>
      </c>
      <c r="M46" s="3" t="s">
        <v>650</v>
      </c>
      <c r="N46" s="3" t="s">
        <v>668</v>
      </c>
      <c r="O46" s="3" t="s">
        <v>703</v>
      </c>
      <c r="P46" s="3" t="s">
        <v>709</v>
      </c>
      <c r="Q46" s="3" t="s">
        <v>715</v>
      </c>
      <c r="R46" s="3" t="s">
        <v>726</v>
      </c>
      <c r="S46" s="3" t="s">
        <v>1318</v>
      </c>
      <c r="T46" s="21">
        <v>1232.78</v>
      </c>
      <c r="U46" s="21" t="str">
        <f t="shared" si="16"/>
        <v>Medium</v>
      </c>
      <c r="V46">
        <f t="shared" si="3"/>
        <v>1731.75</v>
      </c>
      <c r="W46" s="7">
        <v>1731.75</v>
      </c>
      <c r="X46" s="8">
        <v>9.2999999999999999E-2</v>
      </c>
      <c r="Y46" s="14">
        <v>16</v>
      </c>
      <c r="Z46" s="7">
        <f t="shared" si="4"/>
        <v>161.05275</v>
      </c>
      <c r="AA46" s="7">
        <f t="shared" si="5"/>
        <v>25131.155999999999</v>
      </c>
      <c r="AB46" s="7">
        <f t="shared" si="6"/>
        <v>24970.10325</v>
      </c>
      <c r="AC46" s="7">
        <f t="shared" si="7"/>
        <v>19724.48</v>
      </c>
      <c r="AD46" s="7">
        <f t="shared" si="8"/>
        <v>5406.6759999999995</v>
      </c>
      <c r="AE46" s="7">
        <f t="shared" si="9"/>
        <v>5245.6232500000006</v>
      </c>
      <c r="AF46" s="26">
        <f t="shared" si="10"/>
        <v>1.2741099385129544</v>
      </c>
      <c r="AG46" s="8">
        <f>IF(DASHBOARD!$Q$7&gt;'staging data'!X46,'staging data'!X46,DASHBOARD!$Q$7)</f>
        <v>9.2999999999999999E-2</v>
      </c>
      <c r="AH46">
        <f>(100%+DASHBOARD!$Q$8)*'staging data'!T46</f>
        <v>1417.6969999999999</v>
      </c>
      <c r="AI46">
        <f>(100%+DASHBOARD!$Q$9)*'staging data'!Y46</f>
        <v>19.2</v>
      </c>
    </row>
    <row r="47" spans="1:35" x14ac:dyDescent="0.3">
      <c r="A47" s="3" t="s">
        <v>599</v>
      </c>
      <c r="B47" s="28">
        <v>45016</v>
      </c>
      <c r="C47" s="28" t="str">
        <f t="shared" si="11"/>
        <v>Q1</v>
      </c>
      <c r="D47" s="28" t="str">
        <f t="shared" si="12"/>
        <v>2025</v>
      </c>
      <c r="E47" s="28" t="str">
        <f t="shared" si="13"/>
        <v>Apr</v>
      </c>
      <c r="F47" s="5">
        <v>45764</v>
      </c>
      <c r="G47" s="5">
        <f t="shared" si="0"/>
        <v>45764</v>
      </c>
      <c r="H47" s="5">
        <v>45764</v>
      </c>
      <c r="I47" s="5" t="str">
        <f t="shared" si="14"/>
        <v>Not achieved</v>
      </c>
      <c r="J47" s="14">
        <f t="shared" si="15"/>
        <v>0</v>
      </c>
      <c r="K47" s="14">
        <f t="shared" si="1"/>
        <v>0</v>
      </c>
      <c r="L47" s="3" t="s">
        <v>647</v>
      </c>
      <c r="M47" s="3" t="s">
        <v>654</v>
      </c>
      <c r="N47" s="3" t="s">
        <v>669</v>
      </c>
      <c r="O47" s="3" t="s">
        <v>700</v>
      </c>
      <c r="P47" s="3" t="s">
        <v>709</v>
      </c>
      <c r="Q47" s="3" t="s">
        <v>715</v>
      </c>
      <c r="R47" s="3" t="s">
        <v>729</v>
      </c>
      <c r="S47" s="3" t="s">
        <v>1316</v>
      </c>
      <c r="T47" s="21">
        <v>719.41</v>
      </c>
      <c r="U47" s="21" t="str">
        <f t="shared" si="16"/>
        <v>Medium</v>
      </c>
      <c r="V47">
        <f t="shared" si="3"/>
        <v>1125.99</v>
      </c>
      <c r="W47" s="7">
        <v>1125.99</v>
      </c>
      <c r="X47" s="8">
        <v>4.1000000000000002E-2</v>
      </c>
      <c r="Y47" s="14">
        <v>21</v>
      </c>
      <c r="Z47" s="7">
        <f t="shared" si="4"/>
        <v>46.165590000000002</v>
      </c>
      <c r="AA47" s="7">
        <f t="shared" si="5"/>
        <v>22676.312610000001</v>
      </c>
      <c r="AB47" s="7">
        <f t="shared" si="6"/>
        <v>22630.14702</v>
      </c>
      <c r="AC47" s="7">
        <f t="shared" si="7"/>
        <v>15107.609999999999</v>
      </c>
      <c r="AD47" s="7">
        <f t="shared" si="8"/>
        <v>7568.7026100000021</v>
      </c>
      <c r="AE47" s="7">
        <f t="shared" si="9"/>
        <v>7522.5370200000016</v>
      </c>
      <c r="AF47" s="26">
        <f t="shared" si="10"/>
        <v>1.5009860997206046</v>
      </c>
      <c r="AG47" s="8">
        <f>IF(DASHBOARD!$Q$7&gt;'staging data'!X47,'staging data'!X47,DASHBOARD!$Q$7)</f>
        <v>4.1000000000000002E-2</v>
      </c>
      <c r="AH47">
        <f>(100%+DASHBOARD!$Q$8)*'staging data'!T47</f>
        <v>827.3214999999999</v>
      </c>
      <c r="AI47">
        <f>(100%+DASHBOARD!$Q$9)*'staging data'!Y47</f>
        <v>25.2</v>
      </c>
    </row>
    <row r="48" spans="1:35" x14ac:dyDescent="0.3">
      <c r="A48" s="3" t="s">
        <v>600</v>
      </c>
      <c r="B48" s="28">
        <v>45016</v>
      </c>
      <c r="C48" s="28" t="str">
        <f t="shared" si="11"/>
        <v>Q1</v>
      </c>
      <c r="D48" s="28" t="str">
        <f t="shared" si="12"/>
        <v>2023</v>
      </c>
      <c r="E48" s="28" t="str">
        <f t="shared" si="13"/>
        <v>May</v>
      </c>
      <c r="F48" s="5">
        <v>45049</v>
      </c>
      <c r="G48" s="5">
        <f t="shared" si="0"/>
        <v>45062</v>
      </c>
      <c r="H48" s="5">
        <v>45062</v>
      </c>
      <c r="I48" s="5" t="str">
        <f t="shared" si="14"/>
        <v>Achieved</v>
      </c>
      <c r="J48" s="14">
        <f t="shared" si="15"/>
        <v>13</v>
      </c>
      <c r="K48" s="14">
        <f t="shared" si="1"/>
        <v>13</v>
      </c>
      <c r="L48" s="3" t="s">
        <v>647</v>
      </c>
      <c r="M48" s="3" t="s">
        <v>659</v>
      </c>
      <c r="N48" s="3" t="s">
        <v>699</v>
      </c>
      <c r="O48" s="3" t="s">
        <v>700</v>
      </c>
      <c r="P48" s="3" t="s">
        <v>708</v>
      </c>
      <c r="Q48" s="3" t="s">
        <v>715</v>
      </c>
      <c r="R48" s="3" t="s">
        <v>729</v>
      </c>
      <c r="S48" s="3" t="s">
        <v>1317</v>
      </c>
      <c r="T48" s="21">
        <v>64.5</v>
      </c>
      <c r="U48" s="21" t="str">
        <f t="shared" si="16"/>
        <v>Low</v>
      </c>
      <c r="V48">
        <f t="shared" si="3"/>
        <v>123.62</v>
      </c>
      <c r="W48" s="7">
        <v>123.62</v>
      </c>
      <c r="X48" s="8">
        <v>0</v>
      </c>
      <c r="Y48" s="14">
        <v>3</v>
      </c>
      <c r="Z48" s="7">
        <f t="shared" si="4"/>
        <v>0</v>
      </c>
      <c r="AA48" s="7">
        <f t="shared" si="5"/>
        <v>370.86</v>
      </c>
      <c r="AB48" s="7">
        <f t="shared" si="6"/>
        <v>370.86</v>
      </c>
      <c r="AC48" s="7">
        <f t="shared" si="7"/>
        <v>193.5</v>
      </c>
      <c r="AD48" s="7">
        <f t="shared" si="8"/>
        <v>177.36</v>
      </c>
      <c r="AE48" s="7">
        <f t="shared" si="9"/>
        <v>177.36</v>
      </c>
      <c r="AF48" s="26">
        <f t="shared" si="10"/>
        <v>1.9165891472868217</v>
      </c>
      <c r="AG48" s="8">
        <f>IF(DASHBOARD!$Q$7&gt;'staging data'!X48,'staging data'!X48,DASHBOARD!$Q$7)</f>
        <v>0</v>
      </c>
      <c r="AH48">
        <f>(100%+DASHBOARD!$Q$8)*'staging data'!T48</f>
        <v>74.174999999999997</v>
      </c>
      <c r="AI48">
        <f>(100%+DASHBOARD!$Q$9)*'staging data'!Y48</f>
        <v>3.5999999999999996</v>
      </c>
    </row>
    <row r="49" spans="1:35" x14ac:dyDescent="0.3">
      <c r="A49" s="3" t="s">
        <v>598</v>
      </c>
      <c r="B49" s="28">
        <v>45019</v>
      </c>
      <c r="C49" s="28" t="str">
        <f t="shared" si="11"/>
        <v>Q2</v>
      </c>
      <c r="D49" s="28" t="str">
        <f t="shared" si="12"/>
        <v>2024</v>
      </c>
      <c r="E49" s="28" t="str">
        <f t="shared" si="13"/>
        <v>Aug</v>
      </c>
      <c r="F49" s="5">
        <v>45507</v>
      </c>
      <c r="G49" s="5">
        <f t="shared" si="0"/>
        <v>45513</v>
      </c>
      <c r="H49" s="5">
        <v>45513</v>
      </c>
      <c r="I49" s="5" t="str">
        <f t="shared" si="14"/>
        <v>Not achieved</v>
      </c>
      <c r="J49" s="14">
        <f t="shared" si="15"/>
        <v>6</v>
      </c>
      <c r="K49" s="14">
        <f t="shared" si="1"/>
        <v>6</v>
      </c>
      <c r="L49" s="3" t="s">
        <v>645</v>
      </c>
      <c r="M49" s="3" t="s">
        <v>649</v>
      </c>
      <c r="N49" s="3" t="s">
        <v>674</v>
      </c>
      <c r="O49" s="3" t="s">
        <v>703</v>
      </c>
      <c r="P49" s="3" t="s">
        <v>708</v>
      </c>
      <c r="Q49" s="3" t="s">
        <v>721</v>
      </c>
      <c r="R49" s="3" t="s">
        <v>730</v>
      </c>
      <c r="S49" s="3" t="s">
        <v>1315</v>
      </c>
      <c r="T49" s="21">
        <v>643.21</v>
      </c>
      <c r="U49" s="21" t="str">
        <f t="shared" si="16"/>
        <v>Medium</v>
      </c>
      <c r="V49">
        <f t="shared" si="3"/>
        <v>1112.81</v>
      </c>
      <c r="W49" s="7">
        <v>1112.81</v>
      </c>
      <c r="X49" s="8">
        <v>0.14099999999999999</v>
      </c>
      <c r="Y49" s="14">
        <v>4</v>
      </c>
      <c r="Z49" s="7">
        <f t="shared" si="4"/>
        <v>156.90620999999999</v>
      </c>
      <c r="AA49" s="7">
        <f t="shared" si="5"/>
        <v>3823.6151599999998</v>
      </c>
      <c r="AB49" s="7">
        <f t="shared" si="6"/>
        <v>3666.7089499999997</v>
      </c>
      <c r="AC49" s="7">
        <f t="shared" si="7"/>
        <v>2572.84</v>
      </c>
      <c r="AD49" s="7">
        <f t="shared" si="8"/>
        <v>1250.7751599999997</v>
      </c>
      <c r="AE49" s="7">
        <f t="shared" si="9"/>
        <v>1093.8689499999996</v>
      </c>
      <c r="AF49" s="26">
        <f t="shared" si="10"/>
        <v>1.4861457222369054</v>
      </c>
      <c r="AG49" s="8">
        <f>IF(DASHBOARD!$Q$7&gt;'staging data'!X49,'staging data'!X49,DASHBOARD!$Q$7)</f>
        <v>0.14099999999999999</v>
      </c>
      <c r="AH49">
        <f>(100%+DASHBOARD!$Q$8)*'staging data'!T49</f>
        <v>739.69150000000002</v>
      </c>
      <c r="AI49">
        <f>(100%+DASHBOARD!$Q$9)*'staging data'!Y49</f>
        <v>4.8</v>
      </c>
    </row>
    <row r="50" spans="1:35" x14ac:dyDescent="0.3">
      <c r="A50" s="3" t="s">
        <v>597</v>
      </c>
      <c r="B50" s="28">
        <v>45021</v>
      </c>
      <c r="C50" s="28" t="str">
        <f t="shared" si="11"/>
        <v>Q2</v>
      </c>
      <c r="D50" s="28" t="str">
        <f t="shared" si="12"/>
        <v>2024</v>
      </c>
      <c r="E50" s="28" t="str">
        <f t="shared" si="13"/>
        <v>Sept</v>
      </c>
      <c r="F50" s="5">
        <v>45541</v>
      </c>
      <c r="G50" s="5">
        <f t="shared" si="0"/>
        <v>45541</v>
      </c>
      <c r="H50" s="5">
        <v>45539</v>
      </c>
      <c r="I50" s="5" t="str">
        <f t="shared" si="14"/>
        <v>Not achieved</v>
      </c>
      <c r="J50" s="14">
        <f t="shared" si="15"/>
        <v>0</v>
      </c>
      <c r="K50" s="14">
        <f t="shared" si="1"/>
        <v>-2</v>
      </c>
      <c r="L50" s="3" t="s">
        <v>646</v>
      </c>
      <c r="M50" s="3" t="s">
        <v>651</v>
      </c>
      <c r="N50" s="3" t="s">
        <v>665</v>
      </c>
      <c r="O50" s="3" t="s">
        <v>700</v>
      </c>
      <c r="P50" s="3" t="s">
        <v>710</v>
      </c>
      <c r="Q50" s="3" t="s">
        <v>719</v>
      </c>
      <c r="R50" s="3" t="s">
        <v>730</v>
      </c>
      <c r="S50" s="3" t="s">
        <v>1314</v>
      </c>
      <c r="T50" s="21">
        <v>1368.17</v>
      </c>
      <c r="U50" s="21" t="str">
        <f t="shared" si="16"/>
        <v>High</v>
      </c>
      <c r="V50">
        <f t="shared" si="3"/>
        <v>2307.75</v>
      </c>
      <c r="W50" s="7">
        <v>2307.75</v>
      </c>
      <c r="X50" s="8">
        <v>0.16300000000000001</v>
      </c>
      <c r="Y50" s="14">
        <v>21</v>
      </c>
      <c r="Z50" s="7">
        <f t="shared" si="4"/>
        <v>376.16325000000001</v>
      </c>
      <c r="AA50" s="7">
        <f t="shared" si="5"/>
        <v>40563.321749999996</v>
      </c>
      <c r="AB50" s="7">
        <f t="shared" si="6"/>
        <v>40187.158499999998</v>
      </c>
      <c r="AC50" s="7">
        <f t="shared" si="7"/>
        <v>28731.57</v>
      </c>
      <c r="AD50" s="7">
        <f t="shared" si="8"/>
        <v>11831.751749999996</v>
      </c>
      <c r="AE50" s="7">
        <f t="shared" si="9"/>
        <v>11455.588499999998</v>
      </c>
      <c r="AF50" s="26">
        <f t="shared" si="10"/>
        <v>1.4118031750440367</v>
      </c>
      <c r="AG50" s="8">
        <f>IF(DASHBOARD!$Q$7&gt;'staging data'!X50,'staging data'!X50,DASHBOARD!$Q$7)</f>
        <v>0.16300000000000001</v>
      </c>
      <c r="AH50">
        <f>(100%+DASHBOARD!$Q$8)*'staging data'!T50</f>
        <v>1573.3954999999999</v>
      </c>
      <c r="AI50">
        <f>(100%+DASHBOARD!$Q$9)*'staging data'!Y50</f>
        <v>25.2</v>
      </c>
    </row>
    <row r="51" spans="1:35" x14ac:dyDescent="0.3">
      <c r="A51" s="3" t="s">
        <v>595</v>
      </c>
      <c r="B51" s="28">
        <v>45022</v>
      </c>
      <c r="C51" s="28" t="str">
        <f t="shared" si="11"/>
        <v>Q2</v>
      </c>
      <c r="D51" s="28" t="str">
        <f t="shared" si="12"/>
        <v>2023</v>
      </c>
      <c r="E51" s="28" t="str">
        <f t="shared" si="13"/>
        <v>Jun</v>
      </c>
      <c r="F51" s="5">
        <v>45080</v>
      </c>
      <c r="G51" s="5">
        <f t="shared" si="0"/>
        <v>45108</v>
      </c>
      <c r="H51" s="5">
        <v>45108</v>
      </c>
      <c r="I51" s="5" t="str">
        <f t="shared" si="14"/>
        <v>Achieved</v>
      </c>
      <c r="J51" s="14">
        <f t="shared" si="15"/>
        <v>28</v>
      </c>
      <c r="K51" s="14">
        <f t="shared" si="1"/>
        <v>28</v>
      </c>
      <c r="L51" s="3" t="s">
        <v>647</v>
      </c>
      <c r="M51" s="3" t="s">
        <v>654</v>
      </c>
      <c r="N51" s="3" t="s">
        <v>671</v>
      </c>
      <c r="O51" s="3" t="s">
        <v>704</v>
      </c>
      <c r="P51" s="3" t="s">
        <v>708</v>
      </c>
      <c r="Q51" s="3" t="s">
        <v>719</v>
      </c>
      <c r="R51" s="3" t="s">
        <v>726</v>
      </c>
      <c r="S51" s="3" t="s">
        <v>1312</v>
      </c>
      <c r="T51" s="21">
        <v>860.4</v>
      </c>
      <c r="U51" s="21" t="str">
        <f t="shared" si="16"/>
        <v>High</v>
      </c>
      <c r="V51">
        <f t="shared" si="3"/>
        <v>2066.6</v>
      </c>
      <c r="W51" s="7">
        <v>2066.6</v>
      </c>
      <c r="X51" s="8">
        <v>0.01</v>
      </c>
      <c r="Y51" s="14">
        <v>3</v>
      </c>
      <c r="Z51" s="7">
        <f t="shared" si="4"/>
        <v>20.666</v>
      </c>
      <c r="AA51" s="7">
        <f t="shared" si="5"/>
        <v>6137.8019999999988</v>
      </c>
      <c r="AB51" s="7">
        <f t="shared" si="6"/>
        <v>6117.1359999999986</v>
      </c>
      <c r="AC51" s="7">
        <f t="shared" si="7"/>
        <v>2581.1999999999998</v>
      </c>
      <c r="AD51" s="7">
        <f t="shared" si="8"/>
        <v>3556.601999999999</v>
      </c>
      <c r="AE51" s="7">
        <f t="shared" si="9"/>
        <v>3535.9359999999988</v>
      </c>
      <c r="AF51" s="26">
        <f t="shared" si="10"/>
        <v>2.3778870292887024</v>
      </c>
      <c r="AG51" s="8">
        <f>IF(DASHBOARD!$Q$7&gt;'staging data'!X51,'staging data'!X51,DASHBOARD!$Q$7)</f>
        <v>0.01</v>
      </c>
      <c r="AH51">
        <f>(100%+DASHBOARD!$Q$8)*'staging data'!T51</f>
        <v>989.45999999999992</v>
      </c>
      <c r="AI51">
        <f>(100%+DASHBOARD!$Q$9)*'staging data'!Y51</f>
        <v>3.5999999999999996</v>
      </c>
    </row>
    <row r="52" spans="1:35" x14ac:dyDescent="0.3">
      <c r="A52" s="3" t="s">
        <v>596</v>
      </c>
      <c r="B52" s="28">
        <v>45022</v>
      </c>
      <c r="C52" s="28" t="str">
        <f t="shared" si="11"/>
        <v>Q2</v>
      </c>
      <c r="D52" s="28" t="str">
        <f t="shared" si="12"/>
        <v>2023</v>
      </c>
      <c r="E52" s="28" t="str">
        <f t="shared" si="13"/>
        <v>Jan</v>
      </c>
      <c r="F52" s="5">
        <v>44955</v>
      </c>
      <c r="G52" s="5">
        <f t="shared" si="0"/>
        <v>44963</v>
      </c>
      <c r="H52" s="5">
        <v>44963</v>
      </c>
      <c r="I52" s="5" t="str">
        <f t="shared" si="14"/>
        <v>Achieved</v>
      </c>
      <c r="J52" s="14">
        <f t="shared" si="15"/>
        <v>8</v>
      </c>
      <c r="K52" s="14">
        <f t="shared" si="1"/>
        <v>8</v>
      </c>
      <c r="L52" s="3" t="s">
        <v>647</v>
      </c>
      <c r="M52" s="3" t="s">
        <v>654</v>
      </c>
      <c r="N52" s="3" t="s">
        <v>671</v>
      </c>
      <c r="O52" s="3" t="s">
        <v>700</v>
      </c>
      <c r="P52" s="3" t="s">
        <v>708</v>
      </c>
      <c r="Q52" s="3" t="s">
        <v>725</v>
      </c>
      <c r="R52" s="3" t="s">
        <v>731</v>
      </c>
      <c r="S52" s="3" t="s">
        <v>1313</v>
      </c>
      <c r="T52" s="21">
        <v>41.84</v>
      </c>
      <c r="U52" s="21" t="str">
        <f t="shared" si="16"/>
        <v>Low</v>
      </c>
      <c r="V52">
        <f t="shared" si="3"/>
        <v>86.2</v>
      </c>
      <c r="W52" s="7">
        <v>86.2</v>
      </c>
      <c r="X52" s="8">
        <v>0.22600000000000001</v>
      </c>
      <c r="Y52" s="14">
        <v>27</v>
      </c>
      <c r="Z52" s="7">
        <f t="shared" si="4"/>
        <v>19.481200000000001</v>
      </c>
      <c r="AA52" s="7">
        <f t="shared" si="5"/>
        <v>1801.4076000000002</v>
      </c>
      <c r="AB52" s="7">
        <f t="shared" si="6"/>
        <v>1781.9264000000003</v>
      </c>
      <c r="AC52" s="7">
        <f t="shared" si="7"/>
        <v>1129.68</v>
      </c>
      <c r="AD52" s="7">
        <f t="shared" si="8"/>
        <v>671.72760000000017</v>
      </c>
      <c r="AE52" s="7">
        <f t="shared" si="9"/>
        <v>652.24640000000022</v>
      </c>
      <c r="AF52" s="26">
        <f t="shared" si="10"/>
        <v>1.5946175908221798</v>
      </c>
      <c r="AG52" s="8">
        <f>IF(DASHBOARD!$Q$7&gt;'staging data'!X52,'staging data'!X52,DASHBOARD!$Q$7)</f>
        <v>0.2</v>
      </c>
      <c r="AH52">
        <f>(100%+DASHBOARD!$Q$8)*'staging data'!T52</f>
        <v>48.116</v>
      </c>
      <c r="AI52">
        <f>(100%+DASHBOARD!$Q$9)*'staging data'!Y52</f>
        <v>32.4</v>
      </c>
    </row>
    <row r="53" spans="1:35" x14ac:dyDescent="0.3">
      <c r="A53" s="3" t="s">
        <v>594</v>
      </c>
      <c r="B53" s="28">
        <v>45026</v>
      </c>
      <c r="C53" s="28" t="str">
        <f t="shared" si="11"/>
        <v>Q2</v>
      </c>
      <c r="D53" s="28" t="str">
        <f t="shared" si="12"/>
        <v>2025</v>
      </c>
      <c r="E53" s="28" t="str">
        <f t="shared" si="13"/>
        <v>Jul</v>
      </c>
      <c r="F53" s="5">
        <v>45849</v>
      </c>
      <c r="G53" s="5">
        <f t="shared" si="0"/>
        <v>45872</v>
      </c>
      <c r="H53" s="5">
        <v>45872</v>
      </c>
      <c r="I53" s="5" t="str">
        <f t="shared" si="14"/>
        <v>Achieved</v>
      </c>
      <c r="J53" s="14">
        <f t="shared" si="15"/>
        <v>23</v>
      </c>
      <c r="K53" s="14">
        <f t="shared" si="1"/>
        <v>23</v>
      </c>
      <c r="L53" s="3" t="s">
        <v>645</v>
      </c>
      <c r="M53" s="3" t="s">
        <v>649</v>
      </c>
      <c r="N53" s="3" t="s">
        <v>677</v>
      </c>
      <c r="O53" s="3" t="s">
        <v>704</v>
      </c>
      <c r="P53" s="3" t="s">
        <v>706</v>
      </c>
      <c r="Q53" s="3" t="s">
        <v>711</v>
      </c>
      <c r="R53" s="3" t="s">
        <v>729</v>
      </c>
      <c r="S53" s="3" t="s">
        <v>1311</v>
      </c>
      <c r="T53" s="21">
        <v>389.93</v>
      </c>
      <c r="U53" s="21" t="str">
        <f t="shared" si="16"/>
        <v>Low</v>
      </c>
      <c r="V53">
        <f t="shared" si="3"/>
        <v>486.13</v>
      </c>
      <c r="W53" s="7">
        <v>486.13</v>
      </c>
      <c r="X53" s="8">
        <v>0.13200000000000001</v>
      </c>
      <c r="Y53" s="14">
        <v>17</v>
      </c>
      <c r="Z53" s="7">
        <f t="shared" si="4"/>
        <v>64.169160000000005</v>
      </c>
      <c r="AA53" s="7">
        <f t="shared" si="5"/>
        <v>7173.3342799999991</v>
      </c>
      <c r="AB53" s="7">
        <f t="shared" si="6"/>
        <v>7109.1651199999988</v>
      </c>
      <c r="AC53" s="7">
        <f t="shared" si="7"/>
        <v>6628.81</v>
      </c>
      <c r="AD53" s="7">
        <f t="shared" si="8"/>
        <v>544.52427999999873</v>
      </c>
      <c r="AE53" s="7">
        <f t="shared" si="9"/>
        <v>480.35511999999835</v>
      </c>
      <c r="AF53" s="26">
        <f t="shared" si="10"/>
        <v>1.0821451029671991</v>
      </c>
      <c r="AG53" s="8">
        <f>IF(DASHBOARD!$Q$7&gt;'staging data'!X53,'staging data'!X53,DASHBOARD!$Q$7)</f>
        <v>0.13200000000000001</v>
      </c>
      <c r="AH53">
        <f>(100%+DASHBOARD!$Q$8)*'staging data'!T53</f>
        <v>448.41949999999997</v>
      </c>
      <c r="AI53">
        <f>(100%+DASHBOARD!$Q$9)*'staging data'!Y53</f>
        <v>20.399999999999999</v>
      </c>
    </row>
    <row r="54" spans="1:35" x14ac:dyDescent="0.3">
      <c r="A54" s="3" t="s">
        <v>593</v>
      </c>
      <c r="B54" s="28">
        <v>45028</v>
      </c>
      <c r="C54" s="28" t="str">
        <f t="shared" si="11"/>
        <v>Q2</v>
      </c>
      <c r="D54" s="28" t="str">
        <f t="shared" si="12"/>
        <v>2024</v>
      </c>
      <c r="E54" s="28" t="str">
        <f t="shared" si="13"/>
        <v>Nov</v>
      </c>
      <c r="F54" s="5">
        <v>45607</v>
      </c>
      <c r="G54" s="5">
        <f t="shared" si="0"/>
        <v>45620</v>
      </c>
      <c r="H54" s="5">
        <v>45620</v>
      </c>
      <c r="I54" s="5" t="str">
        <f t="shared" si="14"/>
        <v>Achieved</v>
      </c>
      <c r="J54" s="14">
        <f t="shared" si="15"/>
        <v>13</v>
      </c>
      <c r="K54" s="14">
        <f t="shared" si="1"/>
        <v>13</v>
      </c>
      <c r="L54" s="3" t="s">
        <v>648</v>
      </c>
      <c r="M54" s="3" t="s">
        <v>657</v>
      </c>
      <c r="N54" s="3" t="s">
        <v>682</v>
      </c>
      <c r="O54" s="3" t="s">
        <v>700</v>
      </c>
      <c r="P54" s="3" t="s">
        <v>706</v>
      </c>
      <c r="Q54" s="3" t="s">
        <v>717</v>
      </c>
      <c r="R54" s="3" t="s">
        <v>728</v>
      </c>
      <c r="S54" s="3" t="s">
        <v>1310</v>
      </c>
      <c r="T54" s="21">
        <v>164.53</v>
      </c>
      <c r="U54" s="21" t="str">
        <f t="shared" si="16"/>
        <v>Low</v>
      </c>
      <c r="V54">
        <f t="shared" si="3"/>
        <v>327.72</v>
      </c>
      <c r="W54" s="7">
        <v>327.72</v>
      </c>
      <c r="X54" s="8">
        <v>6.7000000000000004E-2</v>
      </c>
      <c r="Y54" s="14">
        <v>14</v>
      </c>
      <c r="Z54" s="7">
        <f t="shared" si="4"/>
        <v>21.957240000000002</v>
      </c>
      <c r="AA54" s="7">
        <f t="shared" si="5"/>
        <v>4280.6786400000001</v>
      </c>
      <c r="AB54" s="7">
        <f t="shared" si="6"/>
        <v>4258.7214000000004</v>
      </c>
      <c r="AC54" s="7">
        <f t="shared" si="7"/>
        <v>2303.42</v>
      </c>
      <c r="AD54" s="7">
        <f t="shared" si="8"/>
        <v>1977.25864</v>
      </c>
      <c r="AE54" s="7">
        <f t="shared" si="9"/>
        <v>1955.3014000000003</v>
      </c>
      <c r="AF54" s="26">
        <f t="shared" si="10"/>
        <v>1.8584012642071355</v>
      </c>
      <c r="AG54" s="8">
        <f>IF(DASHBOARD!$Q$7&gt;'staging data'!X54,'staging data'!X54,DASHBOARD!$Q$7)</f>
        <v>6.7000000000000004E-2</v>
      </c>
      <c r="AH54">
        <f>(100%+DASHBOARD!$Q$8)*'staging data'!T54</f>
        <v>189.20949999999999</v>
      </c>
      <c r="AI54">
        <f>(100%+DASHBOARD!$Q$9)*'staging data'!Y54</f>
        <v>16.8</v>
      </c>
    </row>
    <row r="55" spans="1:35" x14ac:dyDescent="0.3">
      <c r="A55" s="3" t="s">
        <v>590</v>
      </c>
      <c r="B55" s="28">
        <v>45029</v>
      </c>
      <c r="C55" s="28" t="str">
        <f t="shared" si="11"/>
        <v>Q2</v>
      </c>
      <c r="D55" s="28" t="str">
        <f t="shared" si="12"/>
        <v>2025</v>
      </c>
      <c r="E55" s="28" t="str">
        <f t="shared" si="13"/>
        <v>Aug</v>
      </c>
      <c r="F55" s="5">
        <v>45872</v>
      </c>
      <c r="G55" s="5">
        <f t="shared" si="0"/>
        <v>45885</v>
      </c>
      <c r="H55" s="5">
        <v>45885</v>
      </c>
      <c r="I55" s="5" t="str">
        <f t="shared" si="14"/>
        <v>Achieved</v>
      </c>
      <c r="J55" s="14">
        <f t="shared" si="15"/>
        <v>13</v>
      </c>
      <c r="K55" s="14">
        <f t="shared" si="1"/>
        <v>13</v>
      </c>
      <c r="L55" s="3" t="s">
        <v>647</v>
      </c>
      <c r="M55" s="3" t="s">
        <v>652</v>
      </c>
      <c r="N55" s="3" t="s">
        <v>680</v>
      </c>
      <c r="O55" s="3" t="s">
        <v>705</v>
      </c>
      <c r="P55" s="3" t="s">
        <v>709</v>
      </c>
      <c r="Q55" s="3" t="s">
        <v>718</v>
      </c>
      <c r="R55" s="3" t="s">
        <v>728</v>
      </c>
      <c r="S55" s="3" t="s">
        <v>1307</v>
      </c>
      <c r="T55" s="21">
        <v>698.66</v>
      </c>
      <c r="U55" s="21" t="str">
        <f t="shared" si="16"/>
        <v>Medium</v>
      </c>
      <c r="V55">
        <f t="shared" si="3"/>
        <v>868.62</v>
      </c>
      <c r="W55" s="7">
        <v>868.62</v>
      </c>
      <c r="X55" s="8">
        <v>7.1999999999999995E-2</v>
      </c>
      <c r="Y55" s="14">
        <v>15</v>
      </c>
      <c r="Z55" s="7">
        <f t="shared" si="4"/>
        <v>62.540639999999996</v>
      </c>
      <c r="AA55" s="7">
        <f t="shared" si="5"/>
        <v>12091.190399999999</v>
      </c>
      <c r="AB55" s="7">
        <f t="shared" si="6"/>
        <v>12028.64976</v>
      </c>
      <c r="AC55" s="7">
        <f t="shared" si="7"/>
        <v>10479.9</v>
      </c>
      <c r="AD55" s="7">
        <f t="shared" si="8"/>
        <v>1611.2903999999999</v>
      </c>
      <c r="AE55" s="7">
        <f t="shared" si="9"/>
        <v>1548.7497600000006</v>
      </c>
      <c r="AF55" s="26">
        <f t="shared" si="10"/>
        <v>1.1537505510548764</v>
      </c>
      <c r="AG55" s="8">
        <f>IF(DASHBOARD!$Q$7&gt;'staging data'!X55,'staging data'!X55,DASHBOARD!$Q$7)</f>
        <v>7.1999999999999995E-2</v>
      </c>
      <c r="AH55">
        <f>(100%+DASHBOARD!$Q$8)*'staging data'!T55</f>
        <v>803.45899999999995</v>
      </c>
      <c r="AI55">
        <f>(100%+DASHBOARD!$Q$9)*'staging data'!Y55</f>
        <v>18</v>
      </c>
    </row>
    <row r="56" spans="1:35" x14ac:dyDescent="0.3">
      <c r="A56" s="3" t="s">
        <v>591</v>
      </c>
      <c r="B56" s="28">
        <v>45029</v>
      </c>
      <c r="C56" s="28" t="str">
        <f t="shared" si="11"/>
        <v>Q2</v>
      </c>
      <c r="D56" s="28" t="str">
        <f t="shared" si="12"/>
        <v>2023</v>
      </c>
      <c r="E56" s="28" t="str">
        <f t="shared" si="13"/>
        <v>Aug</v>
      </c>
      <c r="F56" s="5">
        <v>45140</v>
      </c>
      <c r="G56" s="5">
        <f t="shared" si="0"/>
        <v>45157</v>
      </c>
      <c r="H56" s="5">
        <v>45157</v>
      </c>
      <c r="I56" s="5" t="str">
        <f t="shared" si="14"/>
        <v>Achieved</v>
      </c>
      <c r="J56" s="14">
        <f t="shared" si="15"/>
        <v>17</v>
      </c>
      <c r="K56" s="14">
        <f t="shared" si="1"/>
        <v>17</v>
      </c>
      <c r="L56" s="3" t="s">
        <v>647</v>
      </c>
      <c r="M56" s="3" t="s">
        <v>652</v>
      </c>
      <c r="N56" s="3" t="s">
        <v>687</v>
      </c>
      <c r="O56" s="3" t="s">
        <v>700</v>
      </c>
      <c r="P56" s="3" t="s">
        <v>707</v>
      </c>
      <c r="Q56" s="3" t="s">
        <v>720</v>
      </c>
      <c r="R56" s="3" t="s">
        <v>728</v>
      </c>
      <c r="S56" s="3" t="s">
        <v>1308</v>
      </c>
      <c r="T56" s="21">
        <v>175.38</v>
      </c>
      <c r="U56" s="21" t="str">
        <f t="shared" si="16"/>
        <v>Low</v>
      </c>
      <c r="V56">
        <f t="shared" si="3"/>
        <v>347.9</v>
      </c>
      <c r="W56" s="7">
        <v>347.9</v>
      </c>
      <c r="X56" s="8">
        <v>7.1999999999999995E-2</v>
      </c>
      <c r="Y56" s="14">
        <v>43</v>
      </c>
      <c r="Z56" s="7">
        <f t="shared" si="4"/>
        <v>25.048799999999996</v>
      </c>
      <c r="AA56" s="7">
        <f t="shared" si="5"/>
        <v>13882.6016</v>
      </c>
      <c r="AB56" s="7">
        <f t="shared" si="6"/>
        <v>13857.552799999999</v>
      </c>
      <c r="AC56" s="7">
        <f t="shared" si="7"/>
        <v>7541.34</v>
      </c>
      <c r="AD56" s="7">
        <f t="shared" si="8"/>
        <v>6341.2615999999998</v>
      </c>
      <c r="AE56" s="7">
        <f t="shared" si="9"/>
        <v>6316.2127999999993</v>
      </c>
      <c r="AF56" s="26">
        <f t="shared" si="10"/>
        <v>1.8408666894742844</v>
      </c>
      <c r="AG56" s="8">
        <f>IF(DASHBOARD!$Q$7&gt;'staging data'!X56,'staging data'!X56,DASHBOARD!$Q$7)</f>
        <v>7.1999999999999995E-2</v>
      </c>
      <c r="AH56">
        <f>(100%+DASHBOARD!$Q$8)*'staging data'!T56</f>
        <v>201.68699999999998</v>
      </c>
      <c r="AI56">
        <f>(100%+DASHBOARD!$Q$9)*'staging data'!Y56</f>
        <v>51.6</v>
      </c>
    </row>
    <row r="57" spans="1:35" x14ac:dyDescent="0.3">
      <c r="A57" s="3" t="s">
        <v>592</v>
      </c>
      <c r="B57" s="28">
        <v>45029</v>
      </c>
      <c r="C57" s="28" t="str">
        <f t="shared" si="11"/>
        <v>Q2</v>
      </c>
      <c r="D57" s="28" t="str">
        <f t="shared" si="12"/>
        <v>2023</v>
      </c>
      <c r="E57" s="28" t="str">
        <f t="shared" si="13"/>
        <v>Jun</v>
      </c>
      <c r="F57" s="5">
        <v>45092</v>
      </c>
      <c r="G57" s="5">
        <f t="shared" si="0"/>
        <v>45119</v>
      </c>
      <c r="H57" s="5">
        <v>45119</v>
      </c>
      <c r="I57" s="5" t="str">
        <f t="shared" si="14"/>
        <v>Achieved</v>
      </c>
      <c r="J57" s="14">
        <f t="shared" si="15"/>
        <v>27</v>
      </c>
      <c r="K57" s="14">
        <f t="shared" si="1"/>
        <v>27</v>
      </c>
      <c r="L57" s="3" t="s">
        <v>648</v>
      </c>
      <c r="M57" s="3" t="s">
        <v>657</v>
      </c>
      <c r="N57" s="3" t="s">
        <v>692</v>
      </c>
      <c r="O57" s="3" t="s">
        <v>703</v>
      </c>
      <c r="P57" s="3" t="s">
        <v>710</v>
      </c>
      <c r="Q57" s="3" t="s">
        <v>713</v>
      </c>
      <c r="R57" s="3" t="s">
        <v>732</v>
      </c>
      <c r="S57" s="3" t="s">
        <v>1309</v>
      </c>
      <c r="T57" s="21">
        <v>751.28</v>
      </c>
      <c r="U57" s="21" t="str">
        <f t="shared" si="16"/>
        <v>Medium</v>
      </c>
      <c r="V57">
        <f t="shared" si="3"/>
        <v>1111.8800000000001</v>
      </c>
      <c r="W57" s="7">
        <v>1111.8800000000001</v>
      </c>
      <c r="X57" s="8">
        <v>0.13500000000000001</v>
      </c>
      <c r="Y57" s="14">
        <v>7</v>
      </c>
      <c r="Z57" s="7">
        <f t="shared" si="4"/>
        <v>150.10380000000004</v>
      </c>
      <c r="AA57" s="7">
        <f t="shared" si="5"/>
        <v>6732.4334000000008</v>
      </c>
      <c r="AB57" s="7">
        <f t="shared" si="6"/>
        <v>6582.3296000000009</v>
      </c>
      <c r="AC57" s="7">
        <f t="shared" si="7"/>
        <v>5258.96</v>
      </c>
      <c r="AD57" s="7">
        <f t="shared" si="8"/>
        <v>1473.4734000000008</v>
      </c>
      <c r="AE57" s="7">
        <f t="shared" si="9"/>
        <v>1323.3696000000009</v>
      </c>
      <c r="AF57" s="26">
        <f t="shared" si="10"/>
        <v>1.2801834202960283</v>
      </c>
      <c r="AG57" s="8">
        <f>IF(DASHBOARD!$Q$7&gt;'staging data'!X57,'staging data'!X57,DASHBOARD!$Q$7)</f>
        <v>0.13500000000000001</v>
      </c>
      <c r="AH57">
        <f>(100%+DASHBOARD!$Q$8)*'staging data'!T57</f>
        <v>863.97199999999987</v>
      </c>
      <c r="AI57">
        <f>(100%+DASHBOARD!$Q$9)*'staging data'!Y57</f>
        <v>8.4</v>
      </c>
    </row>
    <row r="58" spans="1:35" x14ac:dyDescent="0.3">
      <c r="A58" s="3" t="s">
        <v>588</v>
      </c>
      <c r="B58" s="28">
        <v>45030</v>
      </c>
      <c r="C58" s="28" t="str">
        <f t="shared" si="11"/>
        <v>Q2</v>
      </c>
      <c r="D58" s="28" t="str">
        <f t="shared" si="12"/>
        <v>2023</v>
      </c>
      <c r="E58" s="28" t="str">
        <f t="shared" si="13"/>
        <v>Dec</v>
      </c>
      <c r="F58" s="5">
        <v>45279</v>
      </c>
      <c r="G58" s="5">
        <f t="shared" si="0"/>
        <v>45292</v>
      </c>
      <c r="H58" s="5">
        <v>45292</v>
      </c>
      <c r="I58" s="5" t="str">
        <f t="shared" si="14"/>
        <v>Achieved</v>
      </c>
      <c r="J58" s="14">
        <f t="shared" si="15"/>
        <v>13</v>
      </c>
      <c r="K58" s="14">
        <f t="shared" si="1"/>
        <v>13</v>
      </c>
      <c r="L58" s="3" t="s">
        <v>647</v>
      </c>
      <c r="M58" s="3" t="s">
        <v>652</v>
      </c>
      <c r="N58" s="3" t="s">
        <v>666</v>
      </c>
      <c r="O58" s="3" t="s">
        <v>705</v>
      </c>
      <c r="P58" s="3" t="s">
        <v>706</v>
      </c>
      <c r="Q58" s="3" t="s">
        <v>722</v>
      </c>
      <c r="R58" s="3" t="s">
        <v>731</v>
      </c>
      <c r="S58" s="3" t="s">
        <v>1305</v>
      </c>
      <c r="T58" s="21">
        <v>856.1</v>
      </c>
      <c r="U58" s="21" t="str">
        <f t="shared" si="16"/>
        <v>Medium</v>
      </c>
      <c r="V58">
        <f t="shared" si="3"/>
        <v>901.48</v>
      </c>
      <c r="W58" s="7">
        <v>901.48</v>
      </c>
      <c r="X58" s="8">
        <v>5.6000000000000001E-2</v>
      </c>
      <c r="Y58" s="14">
        <v>17</v>
      </c>
      <c r="Z58" s="7">
        <f t="shared" si="4"/>
        <v>50.482880000000002</v>
      </c>
      <c r="AA58" s="7">
        <f t="shared" si="5"/>
        <v>14466.95104</v>
      </c>
      <c r="AB58" s="7">
        <f t="shared" si="6"/>
        <v>14416.46816</v>
      </c>
      <c r="AC58" s="7">
        <f t="shared" si="7"/>
        <v>14553.7</v>
      </c>
      <c r="AD58" s="7">
        <f t="shared" si="8"/>
        <v>-86.748960000000807</v>
      </c>
      <c r="AE58" s="7">
        <f t="shared" si="9"/>
        <v>-137.23184000000037</v>
      </c>
      <c r="AF58" s="26">
        <f t="shared" si="10"/>
        <v>0.99403938792197166</v>
      </c>
      <c r="AG58" s="8">
        <f>IF(DASHBOARD!$Q$7&gt;'staging data'!X58,'staging data'!X58,DASHBOARD!$Q$7)</f>
        <v>5.6000000000000001E-2</v>
      </c>
      <c r="AH58">
        <f>(100%+DASHBOARD!$Q$8)*'staging data'!T58</f>
        <v>984.51499999999999</v>
      </c>
      <c r="AI58">
        <f>(100%+DASHBOARD!$Q$9)*'staging data'!Y58</f>
        <v>20.399999999999999</v>
      </c>
    </row>
    <row r="59" spans="1:35" x14ac:dyDescent="0.3">
      <c r="A59" s="3" t="s">
        <v>589</v>
      </c>
      <c r="B59" s="28">
        <v>45030</v>
      </c>
      <c r="C59" s="28" t="str">
        <f t="shared" si="11"/>
        <v>Q2</v>
      </c>
      <c r="D59" s="28" t="str">
        <f t="shared" si="12"/>
        <v>2023</v>
      </c>
      <c r="E59" s="28" t="str">
        <f t="shared" si="13"/>
        <v>Apr</v>
      </c>
      <c r="F59" s="5">
        <v>45042</v>
      </c>
      <c r="G59" s="5">
        <f t="shared" si="0"/>
        <v>45042</v>
      </c>
      <c r="H59" s="5">
        <v>45042</v>
      </c>
      <c r="I59" s="5" t="str">
        <f t="shared" si="14"/>
        <v>Not achieved</v>
      </c>
      <c r="J59" s="14">
        <f t="shared" si="15"/>
        <v>0</v>
      </c>
      <c r="K59" s="14">
        <f t="shared" si="1"/>
        <v>0</v>
      </c>
      <c r="L59" s="3" t="s">
        <v>648</v>
      </c>
      <c r="M59" s="3" t="s">
        <v>656</v>
      </c>
      <c r="N59" s="3" t="s">
        <v>672</v>
      </c>
      <c r="O59" s="3" t="s">
        <v>703</v>
      </c>
      <c r="P59" s="3" t="s">
        <v>710</v>
      </c>
      <c r="Q59" s="3" t="s">
        <v>723</v>
      </c>
      <c r="R59" s="3" t="s">
        <v>726</v>
      </c>
      <c r="S59" s="3" t="s">
        <v>1306</v>
      </c>
      <c r="T59" s="21">
        <v>81.489999999999995</v>
      </c>
      <c r="U59" s="21" t="str">
        <f t="shared" si="16"/>
        <v>Low</v>
      </c>
      <c r="V59">
        <f t="shared" si="3"/>
        <v>113.08</v>
      </c>
      <c r="W59" s="7">
        <v>113.08</v>
      </c>
      <c r="X59" s="8">
        <v>0.121</v>
      </c>
      <c r="Y59" s="14">
        <v>5</v>
      </c>
      <c r="Z59" s="7">
        <f t="shared" si="4"/>
        <v>13.68268</v>
      </c>
      <c r="AA59" s="7">
        <f t="shared" si="5"/>
        <v>496.98660000000001</v>
      </c>
      <c r="AB59" s="7">
        <f t="shared" si="6"/>
        <v>483.30392000000001</v>
      </c>
      <c r="AC59" s="7">
        <f t="shared" si="7"/>
        <v>407.45</v>
      </c>
      <c r="AD59" s="7">
        <f t="shared" si="8"/>
        <v>89.536600000000021</v>
      </c>
      <c r="AE59" s="7">
        <f t="shared" si="9"/>
        <v>75.853920000000016</v>
      </c>
      <c r="AF59" s="26">
        <f t="shared" si="10"/>
        <v>1.2197486808197326</v>
      </c>
      <c r="AG59" s="8">
        <f>IF(DASHBOARD!$Q$7&gt;'staging data'!X59,'staging data'!X59,DASHBOARD!$Q$7)</f>
        <v>0.121</v>
      </c>
      <c r="AH59">
        <f>(100%+DASHBOARD!$Q$8)*'staging data'!T59</f>
        <v>93.713499999999982</v>
      </c>
      <c r="AI59">
        <f>(100%+DASHBOARD!$Q$9)*'staging data'!Y59</f>
        <v>6</v>
      </c>
    </row>
    <row r="60" spans="1:35" x14ac:dyDescent="0.3">
      <c r="A60" s="3" t="s">
        <v>586</v>
      </c>
      <c r="B60" s="28">
        <v>45032</v>
      </c>
      <c r="C60" s="28" t="str">
        <f t="shared" si="11"/>
        <v>Q2</v>
      </c>
      <c r="D60" s="28" t="str">
        <f t="shared" si="12"/>
        <v>2025</v>
      </c>
      <c r="E60" s="28" t="str">
        <f t="shared" si="13"/>
        <v>Mar</v>
      </c>
      <c r="F60" s="5">
        <v>45740</v>
      </c>
      <c r="G60" s="5">
        <f t="shared" si="0"/>
        <v>45751</v>
      </c>
      <c r="H60" s="5">
        <v>45751</v>
      </c>
      <c r="I60" s="5" t="str">
        <f t="shared" si="14"/>
        <v>Achieved</v>
      </c>
      <c r="J60" s="14">
        <f t="shared" si="15"/>
        <v>11</v>
      </c>
      <c r="K60" s="14">
        <f t="shared" si="1"/>
        <v>11</v>
      </c>
      <c r="L60" s="3" t="s">
        <v>646</v>
      </c>
      <c r="M60" s="3" t="s">
        <v>653</v>
      </c>
      <c r="N60" s="3" t="s">
        <v>690</v>
      </c>
      <c r="O60" s="3" t="s">
        <v>701</v>
      </c>
      <c r="P60" s="3" t="s">
        <v>708</v>
      </c>
      <c r="Q60" s="3" t="s">
        <v>712</v>
      </c>
      <c r="R60" s="3" t="s">
        <v>729</v>
      </c>
      <c r="S60" s="3" t="s">
        <v>1303</v>
      </c>
      <c r="T60" s="21">
        <v>23.83</v>
      </c>
      <c r="U60" s="21" t="str">
        <f t="shared" si="16"/>
        <v>Low</v>
      </c>
      <c r="V60">
        <f t="shared" si="3"/>
        <v>47.29</v>
      </c>
      <c r="W60" s="7">
        <v>47.29</v>
      </c>
      <c r="X60" s="8">
        <v>6.4000000000000001E-2</v>
      </c>
      <c r="Y60" s="14">
        <v>19</v>
      </c>
      <c r="Z60" s="7">
        <f t="shared" si="4"/>
        <v>3.0265599999999999</v>
      </c>
      <c r="AA60" s="7">
        <f t="shared" si="5"/>
        <v>841.00536</v>
      </c>
      <c r="AB60" s="7">
        <f t="shared" si="6"/>
        <v>837.97879999999998</v>
      </c>
      <c r="AC60" s="7">
        <f t="shared" si="7"/>
        <v>452.77</v>
      </c>
      <c r="AD60" s="7">
        <f t="shared" si="8"/>
        <v>388.23536000000001</v>
      </c>
      <c r="AE60" s="7">
        <f t="shared" si="9"/>
        <v>385.2088</v>
      </c>
      <c r="AF60" s="26">
        <f t="shared" si="10"/>
        <v>1.8574670583298365</v>
      </c>
      <c r="AG60" s="8">
        <f>IF(DASHBOARD!$Q$7&gt;'staging data'!X60,'staging data'!X60,DASHBOARD!$Q$7)</f>
        <v>6.4000000000000001E-2</v>
      </c>
      <c r="AH60">
        <f>(100%+DASHBOARD!$Q$8)*'staging data'!T60</f>
        <v>27.404499999999995</v>
      </c>
      <c r="AI60">
        <f>(100%+DASHBOARD!$Q$9)*'staging data'!Y60</f>
        <v>22.8</v>
      </c>
    </row>
    <row r="61" spans="1:35" x14ac:dyDescent="0.3">
      <c r="A61" s="3" t="s">
        <v>587</v>
      </c>
      <c r="B61" s="28">
        <v>45032</v>
      </c>
      <c r="C61" s="28" t="str">
        <f t="shared" si="11"/>
        <v>Q2</v>
      </c>
      <c r="D61" s="28" t="str">
        <f t="shared" si="12"/>
        <v>2024</v>
      </c>
      <c r="E61" s="28" t="str">
        <f t="shared" si="13"/>
        <v>Jan</v>
      </c>
      <c r="F61" s="5">
        <v>45293</v>
      </c>
      <c r="G61" s="5">
        <f t="shared" si="0"/>
        <v>45293</v>
      </c>
      <c r="H61" s="5">
        <v>45293</v>
      </c>
      <c r="I61" s="5" t="str">
        <f t="shared" si="14"/>
        <v>Not achieved</v>
      </c>
      <c r="J61" s="14">
        <f t="shared" si="15"/>
        <v>0</v>
      </c>
      <c r="K61" s="14">
        <f t="shared" si="1"/>
        <v>0</v>
      </c>
      <c r="L61" s="3" t="s">
        <v>647</v>
      </c>
      <c r="M61" s="3" t="s">
        <v>652</v>
      </c>
      <c r="N61" s="3" t="s">
        <v>687</v>
      </c>
      <c r="O61" s="3" t="s">
        <v>701</v>
      </c>
      <c r="P61" s="3" t="s">
        <v>710</v>
      </c>
      <c r="Q61" s="3" t="s">
        <v>719</v>
      </c>
      <c r="R61" s="3" t="s">
        <v>730</v>
      </c>
      <c r="S61" s="3" t="s">
        <v>1304</v>
      </c>
      <c r="T61" s="21">
        <v>444.41</v>
      </c>
      <c r="U61" s="21" t="str">
        <f t="shared" si="16"/>
        <v>Medium</v>
      </c>
      <c r="V61">
        <f t="shared" si="3"/>
        <v>754.24</v>
      </c>
      <c r="W61" s="7">
        <v>754.24</v>
      </c>
      <c r="X61" s="8">
        <v>0.20699999999999999</v>
      </c>
      <c r="Y61" s="14">
        <v>32</v>
      </c>
      <c r="Z61" s="7">
        <f t="shared" si="4"/>
        <v>156.12768</v>
      </c>
      <c r="AA61" s="7">
        <f t="shared" si="5"/>
        <v>19139.594240000002</v>
      </c>
      <c r="AB61" s="7">
        <f t="shared" si="6"/>
        <v>18983.466560000001</v>
      </c>
      <c r="AC61" s="7">
        <f t="shared" si="7"/>
        <v>14221.12</v>
      </c>
      <c r="AD61" s="7">
        <f t="shared" si="8"/>
        <v>4918.4742400000014</v>
      </c>
      <c r="AE61" s="7">
        <f t="shared" si="9"/>
        <v>4762.34656</v>
      </c>
      <c r="AF61" s="26">
        <f t="shared" si="10"/>
        <v>1.3458570239193539</v>
      </c>
      <c r="AG61" s="8">
        <f>IF(DASHBOARD!$Q$7&gt;'staging data'!X61,'staging data'!X61,DASHBOARD!$Q$7)</f>
        <v>0.2</v>
      </c>
      <c r="AH61">
        <f>(100%+DASHBOARD!$Q$8)*'staging data'!T61</f>
        <v>511.07150000000001</v>
      </c>
      <c r="AI61">
        <f>(100%+DASHBOARD!$Q$9)*'staging data'!Y61</f>
        <v>38.4</v>
      </c>
    </row>
    <row r="62" spans="1:35" x14ac:dyDescent="0.3">
      <c r="A62" s="3" t="s">
        <v>585</v>
      </c>
      <c r="B62" s="28">
        <v>45034</v>
      </c>
      <c r="C62" s="28" t="str">
        <f t="shared" si="11"/>
        <v>Q2</v>
      </c>
      <c r="D62" s="28" t="str">
        <f t="shared" si="12"/>
        <v>2023</v>
      </c>
      <c r="E62" s="28" t="str">
        <f t="shared" si="13"/>
        <v>Jun</v>
      </c>
      <c r="F62" s="5">
        <v>45078</v>
      </c>
      <c r="G62" s="5">
        <f t="shared" si="0"/>
        <v>45078</v>
      </c>
      <c r="H62" s="5">
        <v>45078</v>
      </c>
      <c r="I62" s="5" t="str">
        <f t="shared" si="14"/>
        <v>Not achieved</v>
      </c>
      <c r="J62" s="14">
        <f t="shared" si="15"/>
        <v>0</v>
      </c>
      <c r="K62" s="14">
        <f t="shared" si="1"/>
        <v>0</v>
      </c>
      <c r="L62" s="3" t="s">
        <v>646</v>
      </c>
      <c r="M62" s="3" t="s">
        <v>653</v>
      </c>
      <c r="N62" s="3" t="s">
        <v>667</v>
      </c>
      <c r="O62" s="3" t="s">
        <v>700</v>
      </c>
      <c r="P62" s="3" t="s">
        <v>706</v>
      </c>
      <c r="Q62" s="3" t="s">
        <v>717</v>
      </c>
      <c r="R62" s="3" t="s">
        <v>732</v>
      </c>
      <c r="S62" s="3" t="s">
        <v>1302</v>
      </c>
      <c r="T62" s="21">
        <v>669.37</v>
      </c>
      <c r="U62" s="21" t="str">
        <f t="shared" si="16"/>
        <v>Medium</v>
      </c>
      <c r="V62">
        <f t="shared" si="3"/>
        <v>997.2</v>
      </c>
      <c r="W62" s="7">
        <v>997.2</v>
      </c>
      <c r="X62" s="8">
        <v>8.2000000000000003E-2</v>
      </c>
      <c r="Y62" s="14">
        <v>5</v>
      </c>
      <c r="Z62" s="7">
        <f t="shared" si="4"/>
        <v>81.770400000000009</v>
      </c>
      <c r="AA62" s="7">
        <f t="shared" si="5"/>
        <v>4577.1480000000001</v>
      </c>
      <c r="AB62" s="7">
        <f t="shared" si="6"/>
        <v>4495.3775999999998</v>
      </c>
      <c r="AC62" s="7">
        <f t="shared" si="7"/>
        <v>3346.85</v>
      </c>
      <c r="AD62" s="7">
        <f t="shared" si="8"/>
        <v>1230.2980000000002</v>
      </c>
      <c r="AE62" s="7">
        <f t="shared" si="9"/>
        <v>1148.5275999999999</v>
      </c>
      <c r="AF62" s="26">
        <f t="shared" si="10"/>
        <v>1.3675987869190434</v>
      </c>
      <c r="AG62" s="8">
        <f>IF(DASHBOARD!$Q$7&gt;'staging data'!X62,'staging data'!X62,DASHBOARD!$Q$7)</f>
        <v>8.2000000000000003E-2</v>
      </c>
      <c r="AH62">
        <f>(100%+DASHBOARD!$Q$8)*'staging data'!T62</f>
        <v>769.77549999999997</v>
      </c>
      <c r="AI62">
        <f>(100%+DASHBOARD!$Q$9)*'staging data'!Y62</f>
        <v>6</v>
      </c>
    </row>
    <row r="63" spans="1:35" x14ac:dyDescent="0.3">
      <c r="A63" s="3" t="s">
        <v>580</v>
      </c>
      <c r="B63" s="28">
        <v>45035</v>
      </c>
      <c r="C63" s="28" t="str">
        <f t="shared" si="11"/>
        <v>Q2</v>
      </c>
      <c r="D63" s="28" t="str">
        <f t="shared" si="12"/>
        <v>2024</v>
      </c>
      <c r="E63" s="28" t="str">
        <f t="shared" si="13"/>
        <v>Feb</v>
      </c>
      <c r="F63" s="5">
        <v>45330</v>
      </c>
      <c r="G63" s="5">
        <f t="shared" si="0"/>
        <v>45331</v>
      </c>
      <c r="H63" s="5">
        <v>45331</v>
      </c>
      <c r="I63" s="5" t="str">
        <f t="shared" si="14"/>
        <v>Not achieved</v>
      </c>
      <c r="J63" s="14">
        <f t="shared" si="15"/>
        <v>1</v>
      </c>
      <c r="K63" s="14">
        <f t="shared" si="1"/>
        <v>1</v>
      </c>
      <c r="L63" s="3" t="s">
        <v>645</v>
      </c>
      <c r="M63" s="3" t="s">
        <v>649</v>
      </c>
      <c r="N63" s="3" t="s">
        <v>674</v>
      </c>
      <c r="O63" s="3" t="s">
        <v>700</v>
      </c>
      <c r="P63" s="3" t="s">
        <v>710</v>
      </c>
      <c r="Q63" s="3" t="s">
        <v>720</v>
      </c>
      <c r="R63" s="3" t="s">
        <v>726</v>
      </c>
      <c r="S63" s="3" t="s">
        <v>1297</v>
      </c>
      <c r="T63" s="21">
        <v>1233.52</v>
      </c>
      <c r="U63" s="21" t="str">
        <f t="shared" si="16"/>
        <v>Medium</v>
      </c>
      <c r="V63">
        <f t="shared" si="3"/>
        <v>1543.76</v>
      </c>
      <c r="W63" s="7">
        <v>1543.76</v>
      </c>
      <c r="X63" s="8">
        <v>0.126</v>
      </c>
      <c r="Y63" s="14">
        <v>13</v>
      </c>
      <c r="Z63" s="7">
        <f t="shared" si="4"/>
        <v>194.51375999999999</v>
      </c>
      <c r="AA63" s="7">
        <f t="shared" si="5"/>
        <v>17540.201120000002</v>
      </c>
      <c r="AB63" s="7">
        <f t="shared" si="6"/>
        <v>17345.68736</v>
      </c>
      <c r="AC63" s="7">
        <f t="shared" si="7"/>
        <v>16035.76</v>
      </c>
      <c r="AD63" s="7">
        <f t="shared" si="8"/>
        <v>1504.4411200000013</v>
      </c>
      <c r="AE63" s="7">
        <f t="shared" si="9"/>
        <v>1309.9273599999997</v>
      </c>
      <c r="AF63" s="26">
        <f t="shared" si="10"/>
        <v>1.0938178870225048</v>
      </c>
      <c r="AG63" s="8">
        <f>IF(DASHBOARD!$Q$7&gt;'staging data'!X63,'staging data'!X63,DASHBOARD!$Q$7)</f>
        <v>0.126</v>
      </c>
      <c r="AH63">
        <f>(100%+DASHBOARD!$Q$8)*'staging data'!T63</f>
        <v>1418.5479999999998</v>
      </c>
      <c r="AI63">
        <f>(100%+DASHBOARD!$Q$9)*'staging data'!Y63</f>
        <v>15.6</v>
      </c>
    </row>
    <row r="64" spans="1:35" x14ac:dyDescent="0.3">
      <c r="A64" s="3" t="s">
        <v>581</v>
      </c>
      <c r="B64" s="28">
        <v>45035</v>
      </c>
      <c r="C64" s="28" t="str">
        <f t="shared" si="11"/>
        <v>Q2</v>
      </c>
      <c r="D64" s="28" t="str">
        <f t="shared" si="12"/>
        <v>2025</v>
      </c>
      <c r="E64" s="28" t="str">
        <f t="shared" si="13"/>
        <v>Jun</v>
      </c>
      <c r="F64" s="5">
        <v>45834</v>
      </c>
      <c r="G64" s="5">
        <f t="shared" si="0"/>
        <v>45849</v>
      </c>
      <c r="H64" s="5">
        <v>45849</v>
      </c>
      <c r="I64" s="5" t="str">
        <f t="shared" si="14"/>
        <v>Achieved</v>
      </c>
      <c r="J64" s="14">
        <f t="shared" si="15"/>
        <v>15</v>
      </c>
      <c r="K64" s="14">
        <f t="shared" si="1"/>
        <v>15</v>
      </c>
      <c r="L64" s="3" t="s">
        <v>645</v>
      </c>
      <c r="M64" s="3" t="s">
        <v>650</v>
      </c>
      <c r="N64" s="3" t="s">
        <v>662</v>
      </c>
      <c r="O64" s="3" t="s">
        <v>704</v>
      </c>
      <c r="P64" s="3" t="s">
        <v>707</v>
      </c>
      <c r="Q64" s="3" t="s">
        <v>719</v>
      </c>
      <c r="R64" s="3" t="s">
        <v>730</v>
      </c>
      <c r="S64" s="3" t="s">
        <v>1298</v>
      </c>
      <c r="T64" s="21">
        <v>1170.1500000000001</v>
      </c>
      <c r="U64" s="21" t="str">
        <f t="shared" si="16"/>
        <v>High</v>
      </c>
      <c r="V64">
        <f t="shared" si="3"/>
        <v>2115.19</v>
      </c>
      <c r="W64" s="7">
        <v>2115.19</v>
      </c>
      <c r="X64" s="8">
        <v>9.1999999999999998E-2</v>
      </c>
      <c r="Y64" s="14">
        <v>23</v>
      </c>
      <c r="Z64" s="7">
        <f t="shared" si="4"/>
        <v>194.59747999999999</v>
      </c>
      <c r="AA64" s="7">
        <f t="shared" si="5"/>
        <v>44173.627960000005</v>
      </c>
      <c r="AB64" s="7">
        <f t="shared" si="6"/>
        <v>43979.030480000009</v>
      </c>
      <c r="AC64" s="7">
        <f t="shared" si="7"/>
        <v>26913.45</v>
      </c>
      <c r="AD64" s="7">
        <f t="shared" si="8"/>
        <v>17260.177960000005</v>
      </c>
      <c r="AE64" s="7">
        <f t="shared" si="9"/>
        <v>17065.580480000008</v>
      </c>
      <c r="AF64" s="26">
        <f t="shared" si="10"/>
        <v>1.6413216425244628</v>
      </c>
      <c r="AG64" s="8">
        <f>IF(DASHBOARD!$Q$7&gt;'staging data'!X64,'staging data'!X64,DASHBOARD!$Q$7)</f>
        <v>9.1999999999999998E-2</v>
      </c>
      <c r="AH64">
        <f>(100%+DASHBOARD!$Q$8)*'staging data'!T64</f>
        <v>1345.6724999999999</v>
      </c>
      <c r="AI64">
        <f>(100%+DASHBOARD!$Q$9)*'staging data'!Y64</f>
        <v>27.599999999999998</v>
      </c>
    </row>
    <row r="65" spans="1:35" x14ac:dyDescent="0.3">
      <c r="A65" s="3" t="s">
        <v>582</v>
      </c>
      <c r="B65" s="28">
        <v>45035</v>
      </c>
      <c r="C65" s="28" t="str">
        <f t="shared" si="11"/>
        <v>Q2</v>
      </c>
      <c r="D65" s="28" t="str">
        <f t="shared" si="12"/>
        <v>2024</v>
      </c>
      <c r="E65" s="28" t="str">
        <f t="shared" si="13"/>
        <v>Nov</v>
      </c>
      <c r="F65" s="5">
        <v>45600</v>
      </c>
      <c r="G65" s="5">
        <f t="shared" si="0"/>
        <v>45603</v>
      </c>
      <c r="H65" s="5">
        <v>45603</v>
      </c>
      <c r="I65" s="5" t="str">
        <f t="shared" si="14"/>
        <v>Not achieved</v>
      </c>
      <c r="J65" s="14">
        <f t="shared" si="15"/>
        <v>3</v>
      </c>
      <c r="K65" s="14">
        <f t="shared" si="1"/>
        <v>3</v>
      </c>
      <c r="L65" s="3" t="s">
        <v>648</v>
      </c>
      <c r="M65" s="3" t="s">
        <v>656</v>
      </c>
      <c r="N65" s="3" t="s">
        <v>678</v>
      </c>
      <c r="O65" s="3" t="s">
        <v>700</v>
      </c>
      <c r="P65" s="3" t="s">
        <v>707</v>
      </c>
      <c r="Q65" s="3" t="s">
        <v>718</v>
      </c>
      <c r="R65" s="3" t="s">
        <v>731</v>
      </c>
      <c r="S65" s="3" t="s">
        <v>1299</v>
      </c>
      <c r="T65" s="21">
        <v>740.68</v>
      </c>
      <c r="U65" s="21" t="str">
        <f t="shared" si="16"/>
        <v>Medium</v>
      </c>
      <c r="V65">
        <f t="shared" si="3"/>
        <v>1837.19</v>
      </c>
      <c r="W65" s="7">
        <v>1837.19</v>
      </c>
      <c r="X65" s="8">
        <v>0.19700000000000001</v>
      </c>
      <c r="Y65" s="14">
        <v>17</v>
      </c>
      <c r="Z65" s="7">
        <f t="shared" si="4"/>
        <v>361.92643000000004</v>
      </c>
      <c r="AA65" s="7">
        <f t="shared" si="5"/>
        <v>25079.480689999997</v>
      </c>
      <c r="AB65" s="7">
        <f t="shared" si="6"/>
        <v>24717.554259999997</v>
      </c>
      <c r="AC65" s="7">
        <f t="shared" si="7"/>
        <v>12591.56</v>
      </c>
      <c r="AD65" s="7">
        <f t="shared" si="8"/>
        <v>12487.920689999997</v>
      </c>
      <c r="AE65" s="7">
        <f t="shared" si="9"/>
        <v>12125.994259999998</v>
      </c>
      <c r="AF65" s="26">
        <f t="shared" si="10"/>
        <v>1.9917691445698547</v>
      </c>
      <c r="AG65" s="8">
        <f>IF(DASHBOARD!$Q$7&gt;'staging data'!X65,'staging data'!X65,DASHBOARD!$Q$7)</f>
        <v>0.19700000000000001</v>
      </c>
      <c r="AH65">
        <f>(100%+DASHBOARD!$Q$8)*'staging data'!T65</f>
        <v>851.78199999999993</v>
      </c>
      <c r="AI65">
        <f>(100%+DASHBOARD!$Q$9)*'staging data'!Y65</f>
        <v>20.399999999999999</v>
      </c>
    </row>
    <row r="66" spans="1:35" x14ac:dyDescent="0.3">
      <c r="A66" s="3" t="s">
        <v>583</v>
      </c>
      <c r="B66" s="28">
        <v>45035</v>
      </c>
      <c r="C66" s="28" t="str">
        <f t="shared" si="11"/>
        <v>Q2</v>
      </c>
      <c r="D66" s="28" t="str">
        <f t="shared" si="12"/>
        <v>2024</v>
      </c>
      <c r="E66" s="28" t="str">
        <f t="shared" si="13"/>
        <v>Feb</v>
      </c>
      <c r="F66" s="5">
        <v>45342</v>
      </c>
      <c r="G66" s="5">
        <f t="shared" ref="G66:G129" si="17">IF(H66&gt;=F66, H66, (H66-K66))</f>
        <v>45342</v>
      </c>
      <c r="H66" s="5">
        <v>45342</v>
      </c>
      <c r="I66" s="5" t="str">
        <f t="shared" si="14"/>
        <v>Not achieved</v>
      </c>
      <c r="J66" s="14">
        <f t="shared" si="15"/>
        <v>0</v>
      </c>
      <c r="K66" s="14">
        <f t="shared" ref="K66:K129" si="18">_xlfn.DAYS(H66,F66)</f>
        <v>0</v>
      </c>
      <c r="L66" s="3" t="s">
        <v>647</v>
      </c>
      <c r="M66" s="3" t="s">
        <v>659</v>
      </c>
      <c r="N66" s="3" t="s">
        <v>699</v>
      </c>
      <c r="O66" s="3" t="s">
        <v>705</v>
      </c>
      <c r="P66" s="3" t="s">
        <v>707</v>
      </c>
      <c r="Q66" s="3" t="s">
        <v>711</v>
      </c>
      <c r="R66" s="3" t="s">
        <v>728</v>
      </c>
      <c r="S66" s="3" t="s">
        <v>1300</v>
      </c>
      <c r="T66" s="21">
        <v>1407.05</v>
      </c>
      <c r="U66" s="21" t="str">
        <f t="shared" si="16"/>
        <v>High</v>
      </c>
      <c r="V66">
        <f t="shared" ref="V66:V129" si="19">ABS(W66)</f>
        <v>2858.93</v>
      </c>
      <c r="W66" s="7">
        <v>2858.93</v>
      </c>
      <c r="X66" s="8">
        <v>0</v>
      </c>
      <c r="Y66" s="14">
        <v>12</v>
      </c>
      <c r="Z66" s="7">
        <f t="shared" ref="Z66:Z129" si="20">X66*V66</f>
        <v>0</v>
      </c>
      <c r="AA66" s="7">
        <f t="shared" ref="AA66:AA129" si="21">(V66*Y66)*(1-X66)</f>
        <v>34307.159999999996</v>
      </c>
      <c r="AB66" s="7">
        <f t="shared" ref="AB66:AB129" si="22">AA66-Z66</f>
        <v>34307.159999999996</v>
      </c>
      <c r="AC66" s="7">
        <f t="shared" ref="AC66:AC129" si="23">T66*Y66</f>
        <v>16884.599999999999</v>
      </c>
      <c r="AD66" s="7">
        <f t="shared" ref="AD66:AD129" si="24">AA66-AC66</f>
        <v>17422.559999999998</v>
      </c>
      <c r="AE66" s="7">
        <f t="shared" ref="AE66:AE129" si="25">AB66-AC66</f>
        <v>17422.559999999998</v>
      </c>
      <c r="AF66" s="26">
        <f t="shared" ref="AF66:AF129" si="26">IF(AA66=0,0,AA66/AC66)</f>
        <v>2.0318609857503285</v>
      </c>
      <c r="AG66" s="8">
        <f>IF(DASHBOARD!$Q$7&gt;'staging data'!X66,'staging data'!X66,DASHBOARD!$Q$7)</f>
        <v>0</v>
      </c>
      <c r="AH66">
        <f>(100%+DASHBOARD!$Q$8)*'staging data'!T66</f>
        <v>1618.1074999999998</v>
      </c>
      <c r="AI66">
        <f>(100%+DASHBOARD!$Q$9)*'staging data'!Y66</f>
        <v>14.399999999999999</v>
      </c>
    </row>
    <row r="67" spans="1:35" x14ac:dyDescent="0.3">
      <c r="A67" s="3" t="s">
        <v>584</v>
      </c>
      <c r="B67" s="28">
        <v>45035</v>
      </c>
      <c r="C67" s="28" t="str">
        <f t="shared" ref="C67:C130" si="27">"Q" &amp; ROUNDUP(MONTH(B67)/3,0)</f>
        <v>Q2</v>
      </c>
      <c r="D67" s="28" t="str">
        <f t="shared" ref="D67:D130" si="28">TEXT(F67,"YYYY")</f>
        <v>2025</v>
      </c>
      <c r="E67" s="28" t="str">
        <f t="shared" ref="E67:E130" si="29">TEXT(F67,"MMM")</f>
        <v>Apr</v>
      </c>
      <c r="F67" s="5">
        <v>45760</v>
      </c>
      <c r="G67" s="5">
        <f t="shared" si="17"/>
        <v>45761</v>
      </c>
      <c r="H67" s="5">
        <v>45761</v>
      </c>
      <c r="I67" s="5" t="str">
        <f t="shared" ref="I67:I130" si="30">IF(J67&gt;=7,"Achieved","Not achieved")</f>
        <v>Not achieved</v>
      </c>
      <c r="J67" s="14">
        <f t="shared" ref="J67:J130" si="31">_xlfn.DAYS(G67,F67)</f>
        <v>1</v>
      </c>
      <c r="K67" s="14">
        <f t="shared" si="18"/>
        <v>1</v>
      </c>
      <c r="L67" s="3" t="s">
        <v>646</v>
      </c>
      <c r="M67" s="3" t="s">
        <v>651</v>
      </c>
      <c r="N67" s="3" t="s">
        <v>665</v>
      </c>
      <c r="O67" s="3" t="s">
        <v>705</v>
      </c>
      <c r="P67" s="3" t="s">
        <v>707</v>
      </c>
      <c r="Q67" s="3" t="s">
        <v>714</v>
      </c>
      <c r="R67" s="3" t="s">
        <v>726</v>
      </c>
      <c r="S67" s="3" t="s">
        <v>1301</v>
      </c>
      <c r="T67" s="21">
        <v>138.9</v>
      </c>
      <c r="U67" s="21" t="str">
        <f t="shared" si="16"/>
        <v>Low</v>
      </c>
      <c r="V67">
        <f t="shared" si="19"/>
        <v>289.92</v>
      </c>
      <c r="W67" s="7">
        <v>289.92</v>
      </c>
      <c r="X67" s="8">
        <v>2.9000000000000001E-2</v>
      </c>
      <c r="Y67" s="14">
        <v>12</v>
      </c>
      <c r="Z67" s="7">
        <f t="shared" si="20"/>
        <v>8.4076800000000009</v>
      </c>
      <c r="AA67" s="7">
        <f t="shared" si="21"/>
        <v>3378.1478400000001</v>
      </c>
      <c r="AB67" s="7">
        <f t="shared" si="22"/>
        <v>3369.7401600000003</v>
      </c>
      <c r="AC67" s="7">
        <f t="shared" si="23"/>
        <v>1666.8000000000002</v>
      </c>
      <c r="AD67" s="7">
        <f t="shared" si="24"/>
        <v>1711.3478399999999</v>
      </c>
      <c r="AE67" s="7">
        <f t="shared" si="25"/>
        <v>1702.9401600000001</v>
      </c>
      <c r="AF67" s="26">
        <f t="shared" si="26"/>
        <v>2.0267265658747298</v>
      </c>
      <c r="AG67" s="8">
        <f>IF(DASHBOARD!$Q$7&gt;'staging data'!X67,'staging data'!X67,DASHBOARD!$Q$7)</f>
        <v>2.9000000000000001E-2</v>
      </c>
      <c r="AH67">
        <f>(100%+DASHBOARD!$Q$8)*'staging data'!T67</f>
        <v>159.73499999999999</v>
      </c>
      <c r="AI67">
        <f>(100%+DASHBOARD!$Q$9)*'staging data'!Y67</f>
        <v>14.399999999999999</v>
      </c>
    </row>
    <row r="68" spans="1:35" x14ac:dyDescent="0.3">
      <c r="A68" s="3" t="s">
        <v>578</v>
      </c>
      <c r="B68" s="28">
        <v>45037</v>
      </c>
      <c r="C68" s="28" t="str">
        <f t="shared" si="27"/>
        <v>Q2</v>
      </c>
      <c r="D68" s="28" t="str">
        <f t="shared" si="28"/>
        <v>2025</v>
      </c>
      <c r="E68" s="28" t="str">
        <f t="shared" si="29"/>
        <v>Feb</v>
      </c>
      <c r="F68" s="5">
        <v>45692</v>
      </c>
      <c r="G68" s="5">
        <f t="shared" si="17"/>
        <v>45696</v>
      </c>
      <c r="H68" s="5">
        <v>45696</v>
      </c>
      <c r="I68" s="5" t="str">
        <f t="shared" si="30"/>
        <v>Not achieved</v>
      </c>
      <c r="J68" s="14">
        <f t="shared" si="31"/>
        <v>4</v>
      </c>
      <c r="K68" s="14">
        <f t="shared" si="18"/>
        <v>4</v>
      </c>
      <c r="L68" s="3" t="s">
        <v>648</v>
      </c>
      <c r="M68" s="3" t="s">
        <v>657</v>
      </c>
      <c r="N68" s="3" t="s">
        <v>692</v>
      </c>
      <c r="O68" s="3" t="s">
        <v>705</v>
      </c>
      <c r="P68" s="3" t="s">
        <v>708</v>
      </c>
      <c r="Q68" s="3" t="s">
        <v>715</v>
      </c>
      <c r="R68" s="3" t="s">
        <v>728</v>
      </c>
      <c r="S68" s="3" t="s">
        <v>1295</v>
      </c>
      <c r="T68" s="21">
        <v>586.21</v>
      </c>
      <c r="U68" s="21" t="str">
        <f t="shared" ref="U68:U131" si="32">IF(V68&lt;=QUARTILE(V68:V697,1),"Low",IF(V68&gt;=QUARTILE(V68:V697,3),"High","Medium"))</f>
        <v>Medium</v>
      </c>
      <c r="V68">
        <f t="shared" si="19"/>
        <v>727.22</v>
      </c>
      <c r="W68" s="7">
        <v>727.22</v>
      </c>
      <c r="X68" s="8">
        <v>6.8000000000000005E-2</v>
      </c>
      <c r="Y68" s="14">
        <v>15</v>
      </c>
      <c r="Z68" s="7">
        <f t="shared" si="20"/>
        <v>49.450960000000002</v>
      </c>
      <c r="AA68" s="7">
        <f t="shared" si="21"/>
        <v>10166.535600000001</v>
      </c>
      <c r="AB68" s="7">
        <f t="shared" si="22"/>
        <v>10117.084640000001</v>
      </c>
      <c r="AC68" s="7">
        <f t="shared" si="23"/>
        <v>8793.1500000000015</v>
      </c>
      <c r="AD68" s="7">
        <f t="shared" si="24"/>
        <v>1373.3855999999996</v>
      </c>
      <c r="AE68" s="7">
        <f t="shared" si="25"/>
        <v>1323.9346399999995</v>
      </c>
      <c r="AF68" s="26">
        <f t="shared" si="26"/>
        <v>1.1561881237099332</v>
      </c>
      <c r="AG68" s="8">
        <f>IF(DASHBOARD!$Q$7&gt;'staging data'!X68,'staging data'!X68,DASHBOARD!$Q$7)</f>
        <v>6.8000000000000005E-2</v>
      </c>
      <c r="AH68">
        <f>(100%+DASHBOARD!$Q$8)*'staging data'!T68</f>
        <v>674.14149999999995</v>
      </c>
      <c r="AI68">
        <f>(100%+DASHBOARD!$Q$9)*'staging data'!Y68</f>
        <v>18</v>
      </c>
    </row>
    <row r="69" spans="1:35" x14ac:dyDescent="0.3">
      <c r="A69" s="3" t="s">
        <v>579</v>
      </c>
      <c r="B69" s="28">
        <v>45037</v>
      </c>
      <c r="C69" s="28" t="str">
        <f t="shared" si="27"/>
        <v>Q2</v>
      </c>
      <c r="D69" s="28" t="str">
        <f t="shared" si="28"/>
        <v>2024</v>
      </c>
      <c r="E69" s="28" t="str">
        <f t="shared" si="29"/>
        <v>Jan</v>
      </c>
      <c r="F69" s="5">
        <v>45315</v>
      </c>
      <c r="G69" s="5">
        <f t="shared" si="17"/>
        <v>45326</v>
      </c>
      <c r="H69" s="5">
        <v>45326</v>
      </c>
      <c r="I69" s="5" t="str">
        <f t="shared" si="30"/>
        <v>Achieved</v>
      </c>
      <c r="J69" s="14">
        <f t="shared" si="31"/>
        <v>11</v>
      </c>
      <c r="K69" s="14">
        <f t="shared" si="18"/>
        <v>11</v>
      </c>
      <c r="L69" s="3" t="s">
        <v>648</v>
      </c>
      <c r="M69" s="3" t="s">
        <v>657</v>
      </c>
      <c r="N69" s="3" t="s">
        <v>692</v>
      </c>
      <c r="O69" s="3" t="s">
        <v>703</v>
      </c>
      <c r="P69" s="3" t="s">
        <v>706</v>
      </c>
      <c r="Q69" s="3" t="s">
        <v>716</v>
      </c>
      <c r="R69" s="3" t="s">
        <v>730</v>
      </c>
      <c r="S69" s="3" t="s">
        <v>1296</v>
      </c>
      <c r="T69" s="21">
        <v>525.34</v>
      </c>
      <c r="U69" s="21" t="str">
        <f t="shared" si="32"/>
        <v>Medium</v>
      </c>
      <c r="V69">
        <f t="shared" si="19"/>
        <v>1233.79</v>
      </c>
      <c r="W69" s="7">
        <v>1233.79</v>
      </c>
      <c r="X69" s="8">
        <v>0.14299999999999999</v>
      </c>
      <c r="Y69" s="14">
        <v>4</v>
      </c>
      <c r="Z69" s="7">
        <f t="shared" si="20"/>
        <v>176.43196999999998</v>
      </c>
      <c r="AA69" s="7">
        <f t="shared" si="21"/>
        <v>4229.4321199999995</v>
      </c>
      <c r="AB69" s="7">
        <f t="shared" si="22"/>
        <v>4053.0001499999994</v>
      </c>
      <c r="AC69" s="7">
        <f t="shared" si="23"/>
        <v>2101.36</v>
      </c>
      <c r="AD69" s="7">
        <f t="shared" si="24"/>
        <v>2128.0721199999994</v>
      </c>
      <c r="AE69" s="7">
        <f t="shared" si="25"/>
        <v>1951.6401499999993</v>
      </c>
      <c r="AF69" s="26">
        <f t="shared" si="26"/>
        <v>2.012711824723036</v>
      </c>
      <c r="AG69" s="8">
        <f>IF(DASHBOARD!$Q$7&gt;'staging data'!X69,'staging data'!X69,DASHBOARD!$Q$7)</f>
        <v>0.14299999999999999</v>
      </c>
      <c r="AH69">
        <f>(100%+DASHBOARD!$Q$8)*'staging data'!T69</f>
        <v>604.14099999999996</v>
      </c>
      <c r="AI69">
        <f>(100%+DASHBOARD!$Q$9)*'staging data'!Y69</f>
        <v>4.8</v>
      </c>
    </row>
    <row r="70" spans="1:35" x14ac:dyDescent="0.3">
      <c r="A70" s="3" t="s">
        <v>577</v>
      </c>
      <c r="B70" s="28">
        <v>45038</v>
      </c>
      <c r="C70" s="28" t="str">
        <f t="shared" si="27"/>
        <v>Q2</v>
      </c>
      <c r="D70" s="28" t="str">
        <f t="shared" si="28"/>
        <v>2023</v>
      </c>
      <c r="E70" s="28" t="str">
        <f t="shared" si="29"/>
        <v>Apr</v>
      </c>
      <c r="F70" s="5">
        <v>45029</v>
      </c>
      <c r="G70" s="5">
        <f t="shared" si="17"/>
        <v>45048</v>
      </c>
      <c r="H70" s="5">
        <v>45048</v>
      </c>
      <c r="I70" s="5" t="str">
        <f t="shared" si="30"/>
        <v>Achieved</v>
      </c>
      <c r="J70" s="14">
        <f t="shared" si="31"/>
        <v>19</v>
      </c>
      <c r="K70" s="14">
        <f t="shared" si="18"/>
        <v>19</v>
      </c>
      <c r="L70" s="3" t="s">
        <v>647</v>
      </c>
      <c r="M70" s="3" t="s">
        <v>652</v>
      </c>
      <c r="N70" s="3" t="s">
        <v>680</v>
      </c>
      <c r="O70" s="3" t="s">
        <v>703</v>
      </c>
      <c r="P70" s="3" t="s">
        <v>709</v>
      </c>
      <c r="Q70" s="3" t="s">
        <v>717</v>
      </c>
      <c r="R70" s="3" t="s">
        <v>731</v>
      </c>
      <c r="S70" s="3" t="s">
        <v>1294</v>
      </c>
      <c r="T70" s="21">
        <v>671.05</v>
      </c>
      <c r="U70" s="21" t="str">
        <f t="shared" si="32"/>
        <v>Medium</v>
      </c>
      <c r="V70">
        <f t="shared" si="19"/>
        <v>1645.48</v>
      </c>
      <c r="W70" s="7">
        <v>1645.48</v>
      </c>
      <c r="X70" s="8">
        <v>0.13700000000000001</v>
      </c>
      <c r="Y70" s="14">
        <v>6</v>
      </c>
      <c r="Z70" s="7">
        <f t="shared" si="20"/>
        <v>225.43076000000002</v>
      </c>
      <c r="AA70" s="7">
        <f t="shared" si="21"/>
        <v>8520.2954399999999</v>
      </c>
      <c r="AB70" s="7">
        <f t="shared" si="22"/>
        <v>8294.8646800000006</v>
      </c>
      <c r="AC70" s="7">
        <f t="shared" si="23"/>
        <v>4026.2999999999997</v>
      </c>
      <c r="AD70" s="7">
        <f t="shared" si="24"/>
        <v>4493.9954400000006</v>
      </c>
      <c r="AE70" s="7">
        <f t="shared" si="25"/>
        <v>4268.5646800000013</v>
      </c>
      <c r="AF70" s="26">
        <f t="shared" si="26"/>
        <v>2.1161601072945384</v>
      </c>
      <c r="AG70" s="8">
        <f>IF(DASHBOARD!$Q$7&gt;'staging data'!X70,'staging data'!X70,DASHBOARD!$Q$7)</f>
        <v>0.13700000000000001</v>
      </c>
      <c r="AH70">
        <f>(100%+DASHBOARD!$Q$8)*'staging data'!T70</f>
        <v>771.70749999999987</v>
      </c>
      <c r="AI70">
        <f>(100%+DASHBOARD!$Q$9)*'staging data'!Y70</f>
        <v>7.1999999999999993</v>
      </c>
    </row>
    <row r="71" spans="1:35" x14ac:dyDescent="0.3">
      <c r="A71" s="3" t="s">
        <v>576</v>
      </c>
      <c r="B71" s="28">
        <v>45039</v>
      </c>
      <c r="C71" s="28" t="str">
        <f t="shared" si="27"/>
        <v>Q2</v>
      </c>
      <c r="D71" s="28" t="str">
        <f t="shared" si="28"/>
        <v>2024</v>
      </c>
      <c r="E71" s="28" t="str">
        <f t="shared" si="29"/>
        <v>Nov</v>
      </c>
      <c r="F71" s="5">
        <v>45626</v>
      </c>
      <c r="G71" s="5">
        <f t="shared" si="17"/>
        <v>45645</v>
      </c>
      <c r="H71" s="5">
        <v>45645</v>
      </c>
      <c r="I71" s="5" t="str">
        <f t="shared" si="30"/>
        <v>Achieved</v>
      </c>
      <c r="J71" s="14">
        <f t="shared" si="31"/>
        <v>19</v>
      </c>
      <c r="K71" s="14">
        <f t="shared" si="18"/>
        <v>19</v>
      </c>
      <c r="L71" s="3" t="s">
        <v>645</v>
      </c>
      <c r="M71" s="3" t="s">
        <v>649</v>
      </c>
      <c r="N71" s="3" t="s">
        <v>661</v>
      </c>
      <c r="O71" s="3" t="s">
        <v>700</v>
      </c>
      <c r="P71" s="3" t="s">
        <v>707</v>
      </c>
      <c r="Q71" s="3" t="s">
        <v>715</v>
      </c>
      <c r="R71" s="3" t="s">
        <v>729</v>
      </c>
      <c r="S71" s="3" t="s">
        <v>1293</v>
      </c>
      <c r="T71" s="21">
        <v>1195.98</v>
      </c>
      <c r="U71" s="21" t="str">
        <f t="shared" si="32"/>
        <v>Medium</v>
      </c>
      <c r="V71">
        <f t="shared" si="19"/>
        <v>1841.9</v>
      </c>
      <c r="W71" s="7">
        <v>1841.9</v>
      </c>
      <c r="X71" s="8">
        <v>5.5E-2</v>
      </c>
      <c r="Y71" s="14">
        <v>19</v>
      </c>
      <c r="Z71" s="7">
        <f t="shared" si="20"/>
        <v>101.3045</v>
      </c>
      <c r="AA71" s="7">
        <f t="shared" si="21"/>
        <v>33071.3145</v>
      </c>
      <c r="AB71" s="7">
        <f t="shared" si="22"/>
        <v>32970.01</v>
      </c>
      <c r="AC71" s="7">
        <f t="shared" si="23"/>
        <v>22723.62</v>
      </c>
      <c r="AD71" s="7">
        <f t="shared" si="24"/>
        <v>10347.694500000001</v>
      </c>
      <c r="AE71" s="7">
        <f t="shared" si="25"/>
        <v>10246.390000000003</v>
      </c>
      <c r="AF71" s="26">
        <f t="shared" si="26"/>
        <v>1.4553717453469122</v>
      </c>
      <c r="AG71" s="8">
        <f>IF(DASHBOARD!$Q$7&gt;'staging data'!X71,'staging data'!X71,DASHBOARD!$Q$7)</f>
        <v>5.5E-2</v>
      </c>
      <c r="AH71">
        <f>(100%+DASHBOARD!$Q$8)*'staging data'!T71</f>
        <v>1375.377</v>
      </c>
      <c r="AI71">
        <f>(100%+DASHBOARD!$Q$9)*'staging data'!Y71</f>
        <v>22.8</v>
      </c>
    </row>
    <row r="72" spans="1:35" x14ac:dyDescent="0.3">
      <c r="A72" s="3" t="s">
        <v>575</v>
      </c>
      <c r="B72" s="28">
        <v>45042</v>
      </c>
      <c r="C72" s="28" t="str">
        <f t="shared" si="27"/>
        <v>Q2</v>
      </c>
      <c r="D72" s="28" t="str">
        <f t="shared" si="28"/>
        <v>2024</v>
      </c>
      <c r="E72" s="28" t="str">
        <f t="shared" si="29"/>
        <v>Oct</v>
      </c>
      <c r="F72" s="5">
        <v>45590</v>
      </c>
      <c r="G72" s="5">
        <f t="shared" si="17"/>
        <v>45601</v>
      </c>
      <c r="H72" s="5">
        <v>45601</v>
      </c>
      <c r="I72" s="5" t="str">
        <f t="shared" si="30"/>
        <v>Achieved</v>
      </c>
      <c r="J72" s="14">
        <f t="shared" si="31"/>
        <v>11</v>
      </c>
      <c r="K72" s="14">
        <f t="shared" si="18"/>
        <v>11</v>
      </c>
      <c r="L72" s="3" t="s">
        <v>647</v>
      </c>
      <c r="M72" s="3" t="s">
        <v>659</v>
      </c>
      <c r="N72" s="3" t="s">
        <v>699</v>
      </c>
      <c r="O72" s="3" t="s">
        <v>700</v>
      </c>
      <c r="P72" s="3" t="s">
        <v>709</v>
      </c>
      <c r="Q72" s="3" t="s">
        <v>724</v>
      </c>
      <c r="R72" s="3" t="s">
        <v>726</v>
      </c>
      <c r="S72" s="3" t="s">
        <v>1292</v>
      </c>
      <c r="T72" s="21">
        <v>446.66</v>
      </c>
      <c r="U72" s="21" t="str">
        <f t="shared" si="32"/>
        <v>Low</v>
      </c>
      <c r="V72">
        <f t="shared" si="19"/>
        <v>527.64</v>
      </c>
      <c r="W72" s="7">
        <v>527.64</v>
      </c>
      <c r="X72" s="8">
        <v>0.14499999999999999</v>
      </c>
      <c r="Y72" s="14">
        <v>15</v>
      </c>
      <c r="Z72" s="7">
        <f t="shared" si="20"/>
        <v>76.507799999999989</v>
      </c>
      <c r="AA72" s="7">
        <f t="shared" si="21"/>
        <v>6766.9829999999993</v>
      </c>
      <c r="AB72" s="7">
        <f t="shared" si="22"/>
        <v>6690.4751999999989</v>
      </c>
      <c r="AC72" s="7">
        <f t="shared" si="23"/>
        <v>6699.9000000000005</v>
      </c>
      <c r="AD72" s="7">
        <f t="shared" si="24"/>
        <v>67.082999999998719</v>
      </c>
      <c r="AE72" s="7">
        <f t="shared" si="25"/>
        <v>-9.4248000000015963</v>
      </c>
      <c r="AF72" s="26">
        <f t="shared" si="26"/>
        <v>1.0100125375005595</v>
      </c>
      <c r="AG72" s="8">
        <f>IF(DASHBOARD!$Q$7&gt;'staging data'!X72,'staging data'!X72,DASHBOARD!$Q$7)</f>
        <v>0.14499999999999999</v>
      </c>
      <c r="AH72">
        <f>(100%+DASHBOARD!$Q$8)*'staging data'!T72</f>
        <v>513.65899999999999</v>
      </c>
      <c r="AI72">
        <f>(100%+DASHBOARD!$Q$9)*'staging data'!Y72</f>
        <v>18</v>
      </c>
    </row>
    <row r="73" spans="1:35" x14ac:dyDescent="0.3">
      <c r="A73" s="3" t="s">
        <v>574</v>
      </c>
      <c r="B73" s="28">
        <v>45047</v>
      </c>
      <c r="C73" s="28" t="str">
        <f t="shared" si="27"/>
        <v>Q2</v>
      </c>
      <c r="D73" s="28" t="str">
        <f t="shared" si="28"/>
        <v>2024</v>
      </c>
      <c r="E73" s="28" t="str">
        <f t="shared" si="29"/>
        <v>Jan</v>
      </c>
      <c r="F73" s="5">
        <v>45299</v>
      </c>
      <c r="G73" s="5">
        <f t="shared" si="17"/>
        <v>45303</v>
      </c>
      <c r="H73" s="5">
        <v>45303</v>
      </c>
      <c r="I73" s="5" t="str">
        <f t="shared" si="30"/>
        <v>Not achieved</v>
      </c>
      <c r="J73" s="14">
        <f t="shared" si="31"/>
        <v>4</v>
      </c>
      <c r="K73" s="14">
        <f t="shared" si="18"/>
        <v>4</v>
      </c>
      <c r="L73" s="3" t="s">
        <v>646</v>
      </c>
      <c r="M73" s="3" t="s">
        <v>653</v>
      </c>
      <c r="N73" s="3" t="s">
        <v>667</v>
      </c>
      <c r="O73" s="3" t="s">
        <v>700</v>
      </c>
      <c r="P73" s="3" t="s">
        <v>710</v>
      </c>
      <c r="Q73" s="3" t="s">
        <v>717</v>
      </c>
      <c r="R73" s="3" t="s">
        <v>727</v>
      </c>
      <c r="S73" s="3" t="s">
        <v>1291</v>
      </c>
      <c r="T73" s="21">
        <v>802.32</v>
      </c>
      <c r="U73" s="21" t="str">
        <f t="shared" si="32"/>
        <v>Low</v>
      </c>
      <c r="V73">
        <f t="shared" si="19"/>
        <v>602.34</v>
      </c>
      <c r="W73" s="7">
        <v>602.34</v>
      </c>
      <c r="X73" s="8">
        <v>0.12</v>
      </c>
      <c r="Y73" s="14">
        <v>25</v>
      </c>
      <c r="Z73" s="7">
        <f t="shared" si="20"/>
        <v>72.280799999999999</v>
      </c>
      <c r="AA73" s="7">
        <f t="shared" si="21"/>
        <v>13251.48</v>
      </c>
      <c r="AB73" s="7">
        <f t="shared" si="22"/>
        <v>13179.199199999999</v>
      </c>
      <c r="AC73" s="7">
        <f t="shared" si="23"/>
        <v>20058</v>
      </c>
      <c r="AD73" s="7">
        <f t="shared" si="24"/>
        <v>-6806.52</v>
      </c>
      <c r="AE73" s="7">
        <f t="shared" si="25"/>
        <v>-6878.8008000000009</v>
      </c>
      <c r="AF73" s="26">
        <f t="shared" si="26"/>
        <v>0.6606580915345498</v>
      </c>
      <c r="AG73" s="8">
        <f>IF(DASHBOARD!$Q$7&gt;'staging data'!X73,'staging data'!X73,DASHBOARD!$Q$7)</f>
        <v>0.12</v>
      </c>
      <c r="AH73">
        <f>(100%+DASHBOARD!$Q$8)*'staging data'!T73</f>
        <v>922.66800000000001</v>
      </c>
      <c r="AI73">
        <f>(100%+DASHBOARD!$Q$9)*'staging data'!Y73</f>
        <v>30</v>
      </c>
    </row>
    <row r="74" spans="1:35" x14ac:dyDescent="0.3">
      <c r="A74" s="3" t="s">
        <v>571</v>
      </c>
      <c r="B74" s="28">
        <v>45048</v>
      </c>
      <c r="C74" s="28" t="str">
        <f t="shared" si="27"/>
        <v>Q2</v>
      </c>
      <c r="D74" s="28" t="str">
        <f t="shared" si="28"/>
        <v>2025</v>
      </c>
      <c r="E74" s="28" t="str">
        <f t="shared" si="29"/>
        <v>May</v>
      </c>
      <c r="F74" s="5">
        <v>45791</v>
      </c>
      <c r="G74" s="5">
        <f t="shared" si="17"/>
        <v>45791</v>
      </c>
      <c r="H74" s="5">
        <v>45789</v>
      </c>
      <c r="I74" s="5" t="str">
        <f t="shared" si="30"/>
        <v>Not achieved</v>
      </c>
      <c r="J74" s="14">
        <f t="shared" si="31"/>
        <v>0</v>
      </c>
      <c r="K74" s="14">
        <f t="shared" si="18"/>
        <v>-2</v>
      </c>
      <c r="L74" s="3" t="s">
        <v>647</v>
      </c>
      <c r="M74" s="3" t="s">
        <v>652</v>
      </c>
      <c r="N74" s="3" t="s">
        <v>687</v>
      </c>
      <c r="O74" s="3" t="s">
        <v>702</v>
      </c>
      <c r="P74" s="3" t="s">
        <v>709</v>
      </c>
      <c r="Q74" s="3" t="s">
        <v>720</v>
      </c>
      <c r="R74" s="3" t="s">
        <v>727</v>
      </c>
      <c r="S74" s="3" t="s">
        <v>1288</v>
      </c>
      <c r="T74" s="21">
        <v>883.5</v>
      </c>
      <c r="U74" s="21" t="str">
        <f t="shared" si="32"/>
        <v>High</v>
      </c>
      <c r="V74">
        <f t="shared" si="19"/>
        <v>1978.91</v>
      </c>
      <c r="W74" s="7">
        <v>1978.91</v>
      </c>
      <c r="X74" s="8">
        <v>5.3999999999999999E-2</v>
      </c>
      <c r="Y74" s="14">
        <v>27</v>
      </c>
      <c r="Z74" s="7">
        <f t="shared" si="20"/>
        <v>106.86114000000001</v>
      </c>
      <c r="AA74" s="7">
        <f t="shared" si="21"/>
        <v>50545.319219999998</v>
      </c>
      <c r="AB74" s="7">
        <f t="shared" si="22"/>
        <v>50438.458079999997</v>
      </c>
      <c r="AC74" s="7">
        <f t="shared" si="23"/>
        <v>23854.5</v>
      </c>
      <c r="AD74" s="7">
        <f t="shared" si="24"/>
        <v>26690.819219999998</v>
      </c>
      <c r="AE74" s="7">
        <f t="shared" si="25"/>
        <v>26583.958079999997</v>
      </c>
      <c r="AF74" s="26">
        <f t="shared" si="26"/>
        <v>2.1189008036219579</v>
      </c>
      <c r="AG74" s="8">
        <f>IF(DASHBOARD!$Q$7&gt;'staging data'!X74,'staging data'!X74,DASHBOARD!$Q$7)</f>
        <v>5.3999999999999999E-2</v>
      </c>
      <c r="AH74">
        <f>(100%+DASHBOARD!$Q$8)*'staging data'!T74</f>
        <v>1016.025</v>
      </c>
      <c r="AI74">
        <f>(100%+DASHBOARD!$Q$9)*'staging data'!Y74</f>
        <v>32.4</v>
      </c>
    </row>
    <row r="75" spans="1:35" x14ac:dyDescent="0.3">
      <c r="A75" s="3" t="s">
        <v>572</v>
      </c>
      <c r="B75" s="28">
        <v>45048</v>
      </c>
      <c r="C75" s="28" t="str">
        <f t="shared" si="27"/>
        <v>Q2</v>
      </c>
      <c r="D75" s="28" t="str">
        <f t="shared" si="28"/>
        <v>2024</v>
      </c>
      <c r="E75" s="28" t="str">
        <f t="shared" si="29"/>
        <v>Mar</v>
      </c>
      <c r="F75" s="5">
        <v>45362</v>
      </c>
      <c r="G75" s="5">
        <f t="shared" si="17"/>
        <v>45380</v>
      </c>
      <c r="H75" s="5">
        <v>45380</v>
      </c>
      <c r="I75" s="5" t="str">
        <f t="shared" si="30"/>
        <v>Achieved</v>
      </c>
      <c r="J75" s="14">
        <f t="shared" si="31"/>
        <v>18</v>
      </c>
      <c r="K75" s="14">
        <f t="shared" si="18"/>
        <v>18</v>
      </c>
      <c r="L75" s="3" t="s">
        <v>647</v>
      </c>
      <c r="M75" s="3" t="s">
        <v>659</v>
      </c>
      <c r="N75" s="3" t="s">
        <v>699</v>
      </c>
      <c r="O75" s="3" t="s">
        <v>700</v>
      </c>
      <c r="P75" s="3" t="s">
        <v>706</v>
      </c>
      <c r="Q75" s="3" t="s">
        <v>723</v>
      </c>
      <c r="R75" s="3" t="s">
        <v>731</v>
      </c>
      <c r="S75" s="3" t="s">
        <v>1289</v>
      </c>
      <c r="T75" s="21">
        <v>710.98</v>
      </c>
      <c r="U75" s="21" t="str">
        <f t="shared" si="32"/>
        <v>Medium</v>
      </c>
      <c r="V75">
        <f t="shared" si="19"/>
        <v>1481.45</v>
      </c>
      <c r="W75" s="7">
        <v>1481.45</v>
      </c>
      <c r="X75" s="8">
        <v>0.21099999999999999</v>
      </c>
      <c r="Y75" s="14">
        <v>9</v>
      </c>
      <c r="Z75" s="7">
        <f t="shared" si="20"/>
        <v>312.58595000000003</v>
      </c>
      <c r="AA75" s="7">
        <f t="shared" si="21"/>
        <v>10519.776450000001</v>
      </c>
      <c r="AB75" s="7">
        <f t="shared" si="22"/>
        <v>10207.190500000001</v>
      </c>
      <c r="AC75" s="7">
        <f t="shared" si="23"/>
        <v>6398.82</v>
      </c>
      <c r="AD75" s="7">
        <f t="shared" si="24"/>
        <v>4120.9564500000015</v>
      </c>
      <c r="AE75" s="7">
        <f t="shared" si="25"/>
        <v>3808.3705000000009</v>
      </c>
      <c r="AF75" s="26">
        <f t="shared" si="26"/>
        <v>1.6440181861655745</v>
      </c>
      <c r="AG75" s="8">
        <f>IF(DASHBOARD!$Q$7&gt;'staging data'!X75,'staging data'!X75,DASHBOARD!$Q$7)</f>
        <v>0.2</v>
      </c>
      <c r="AH75">
        <f>(100%+DASHBOARD!$Q$8)*'staging data'!T75</f>
        <v>817.62699999999995</v>
      </c>
      <c r="AI75">
        <f>(100%+DASHBOARD!$Q$9)*'staging data'!Y75</f>
        <v>10.799999999999999</v>
      </c>
    </row>
    <row r="76" spans="1:35" x14ac:dyDescent="0.3">
      <c r="A76" s="3" t="s">
        <v>573</v>
      </c>
      <c r="B76" s="28">
        <v>45048</v>
      </c>
      <c r="C76" s="28" t="str">
        <f t="shared" si="27"/>
        <v>Q2</v>
      </c>
      <c r="D76" s="28" t="str">
        <f t="shared" si="28"/>
        <v>2024</v>
      </c>
      <c r="E76" s="28" t="str">
        <f t="shared" si="29"/>
        <v>May</v>
      </c>
      <c r="F76" s="5">
        <v>45430</v>
      </c>
      <c r="G76" s="5">
        <f t="shared" si="17"/>
        <v>45434</v>
      </c>
      <c r="H76" s="5">
        <v>45434</v>
      </c>
      <c r="I76" s="5" t="str">
        <f t="shared" si="30"/>
        <v>Not achieved</v>
      </c>
      <c r="J76" s="14">
        <f t="shared" si="31"/>
        <v>4</v>
      </c>
      <c r="K76" s="14">
        <f t="shared" si="18"/>
        <v>4</v>
      </c>
      <c r="L76" s="3" t="s">
        <v>645</v>
      </c>
      <c r="M76" s="3" t="s">
        <v>649</v>
      </c>
      <c r="N76" s="3" t="s">
        <v>663</v>
      </c>
      <c r="O76" s="3" t="s">
        <v>700</v>
      </c>
      <c r="P76" s="3" t="s">
        <v>710</v>
      </c>
      <c r="Q76" s="3" t="s">
        <v>721</v>
      </c>
      <c r="R76" s="3" t="s">
        <v>732</v>
      </c>
      <c r="S76" s="3" t="s">
        <v>1290</v>
      </c>
      <c r="T76" s="21">
        <v>857.42</v>
      </c>
      <c r="U76" s="21" t="str">
        <f t="shared" si="32"/>
        <v>Medium</v>
      </c>
      <c r="V76">
        <f t="shared" si="19"/>
        <v>1658.92</v>
      </c>
      <c r="W76" s="7">
        <v>1658.92</v>
      </c>
      <c r="X76" s="8">
        <v>0.122</v>
      </c>
      <c r="Y76" s="14">
        <v>9</v>
      </c>
      <c r="Z76" s="7">
        <f t="shared" si="20"/>
        <v>202.38824</v>
      </c>
      <c r="AA76" s="7">
        <f t="shared" si="21"/>
        <v>13108.78584</v>
      </c>
      <c r="AB76" s="7">
        <f t="shared" si="22"/>
        <v>12906.3976</v>
      </c>
      <c r="AC76" s="7">
        <f t="shared" si="23"/>
        <v>7716.78</v>
      </c>
      <c r="AD76" s="7">
        <f t="shared" si="24"/>
        <v>5392.0058400000007</v>
      </c>
      <c r="AE76" s="7">
        <f t="shared" si="25"/>
        <v>5189.6176000000005</v>
      </c>
      <c r="AF76" s="26">
        <f t="shared" si="26"/>
        <v>1.698737794779688</v>
      </c>
      <c r="AG76" s="8">
        <f>IF(DASHBOARD!$Q$7&gt;'staging data'!X76,'staging data'!X76,DASHBOARD!$Q$7)</f>
        <v>0.122</v>
      </c>
      <c r="AH76">
        <f>(100%+DASHBOARD!$Q$8)*'staging data'!T76</f>
        <v>986.0329999999999</v>
      </c>
      <c r="AI76">
        <f>(100%+DASHBOARD!$Q$9)*'staging data'!Y76</f>
        <v>10.799999999999999</v>
      </c>
    </row>
    <row r="77" spans="1:35" x14ac:dyDescent="0.3">
      <c r="A77" s="3" t="s">
        <v>570</v>
      </c>
      <c r="B77" s="28">
        <v>45049</v>
      </c>
      <c r="C77" s="28" t="str">
        <f t="shared" si="27"/>
        <v>Q2</v>
      </c>
      <c r="D77" s="28" t="str">
        <f t="shared" si="28"/>
        <v>2023</v>
      </c>
      <c r="E77" s="28" t="str">
        <f t="shared" si="29"/>
        <v>May</v>
      </c>
      <c r="F77" s="5">
        <v>45053</v>
      </c>
      <c r="G77" s="5">
        <f t="shared" si="17"/>
        <v>45066</v>
      </c>
      <c r="H77" s="5">
        <v>45066</v>
      </c>
      <c r="I77" s="5" t="str">
        <f t="shared" si="30"/>
        <v>Achieved</v>
      </c>
      <c r="J77" s="14">
        <f t="shared" si="31"/>
        <v>13</v>
      </c>
      <c r="K77" s="14">
        <f t="shared" si="18"/>
        <v>13</v>
      </c>
      <c r="L77" s="3" t="s">
        <v>646</v>
      </c>
      <c r="M77" s="3" t="s">
        <v>653</v>
      </c>
      <c r="N77" s="3" t="s">
        <v>690</v>
      </c>
      <c r="O77" s="3" t="s">
        <v>705</v>
      </c>
      <c r="P77" s="3" t="s">
        <v>706</v>
      </c>
      <c r="Q77" s="3" t="s">
        <v>725</v>
      </c>
      <c r="R77" s="3" t="s">
        <v>732</v>
      </c>
      <c r="S77" s="3" t="s">
        <v>1287</v>
      </c>
      <c r="T77" s="21">
        <v>1443.28</v>
      </c>
      <c r="U77" s="21" t="str">
        <f t="shared" si="32"/>
        <v>High</v>
      </c>
      <c r="V77">
        <f t="shared" si="19"/>
        <v>2580.5700000000002</v>
      </c>
      <c r="W77" s="7">
        <v>2580.5700000000002</v>
      </c>
      <c r="X77" s="8">
        <v>0</v>
      </c>
      <c r="Y77" s="14">
        <v>18</v>
      </c>
      <c r="Z77" s="7">
        <f t="shared" si="20"/>
        <v>0</v>
      </c>
      <c r="AA77" s="7">
        <f t="shared" si="21"/>
        <v>46450.26</v>
      </c>
      <c r="AB77" s="7">
        <f t="shared" si="22"/>
        <v>46450.26</v>
      </c>
      <c r="AC77" s="7">
        <f t="shared" si="23"/>
        <v>25979.040000000001</v>
      </c>
      <c r="AD77" s="7">
        <f t="shared" si="24"/>
        <v>20471.22</v>
      </c>
      <c r="AE77" s="7">
        <f t="shared" si="25"/>
        <v>20471.22</v>
      </c>
      <c r="AF77" s="26">
        <f t="shared" si="26"/>
        <v>1.7879898564381131</v>
      </c>
      <c r="AG77" s="8">
        <f>IF(DASHBOARD!$Q$7&gt;'staging data'!X77,'staging data'!X77,DASHBOARD!$Q$7)</f>
        <v>0</v>
      </c>
      <c r="AH77">
        <f>(100%+DASHBOARD!$Q$8)*'staging data'!T77</f>
        <v>1659.7719999999999</v>
      </c>
      <c r="AI77">
        <f>(100%+DASHBOARD!$Q$9)*'staging data'!Y77</f>
        <v>21.599999999999998</v>
      </c>
    </row>
    <row r="78" spans="1:35" x14ac:dyDescent="0.3">
      <c r="A78" s="3" t="s">
        <v>568</v>
      </c>
      <c r="B78" s="28">
        <v>45050</v>
      </c>
      <c r="C78" s="28" t="str">
        <f t="shared" si="27"/>
        <v>Q2</v>
      </c>
      <c r="D78" s="28" t="str">
        <f t="shared" si="28"/>
        <v>2025</v>
      </c>
      <c r="E78" s="28" t="str">
        <f t="shared" si="29"/>
        <v>Feb</v>
      </c>
      <c r="F78" s="5">
        <v>45703</v>
      </c>
      <c r="G78" s="5">
        <f t="shared" si="17"/>
        <v>45717</v>
      </c>
      <c r="H78" s="5">
        <v>45717</v>
      </c>
      <c r="I78" s="5" t="str">
        <f t="shared" si="30"/>
        <v>Achieved</v>
      </c>
      <c r="J78" s="14">
        <f t="shared" si="31"/>
        <v>14</v>
      </c>
      <c r="K78" s="14">
        <f t="shared" si="18"/>
        <v>14</v>
      </c>
      <c r="L78" s="3" t="s">
        <v>645</v>
      </c>
      <c r="M78" s="3" t="s">
        <v>649</v>
      </c>
      <c r="N78" s="3" t="s">
        <v>674</v>
      </c>
      <c r="O78" s="3" t="s">
        <v>701</v>
      </c>
      <c r="P78" s="3" t="s">
        <v>710</v>
      </c>
      <c r="Q78" s="3" t="s">
        <v>715</v>
      </c>
      <c r="R78" s="3" t="s">
        <v>732</v>
      </c>
      <c r="S78" s="3" t="s">
        <v>1285</v>
      </c>
      <c r="T78" s="21">
        <v>1162.8599999999999</v>
      </c>
      <c r="U78" s="21" t="str">
        <f t="shared" si="32"/>
        <v>Medium</v>
      </c>
      <c r="V78">
        <f t="shared" si="19"/>
        <v>1447.68</v>
      </c>
      <c r="W78" s="7">
        <v>1447.68</v>
      </c>
      <c r="X78" s="8">
        <v>8.6999999999999994E-2</v>
      </c>
      <c r="Y78" s="14">
        <v>12</v>
      </c>
      <c r="Z78" s="7">
        <f t="shared" si="20"/>
        <v>125.94816</v>
      </c>
      <c r="AA78" s="7">
        <f t="shared" si="21"/>
        <v>15860.782080000001</v>
      </c>
      <c r="AB78" s="7">
        <f t="shared" si="22"/>
        <v>15734.833920000001</v>
      </c>
      <c r="AC78" s="7">
        <f t="shared" si="23"/>
        <v>13954.32</v>
      </c>
      <c r="AD78" s="7">
        <f t="shared" si="24"/>
        <v>1906.4620800000012</v>
      </c>
      <c r="AE78" s="7">
        <f t="shared" si="25"/>
        <v>1780.5139200000012</v>
      </c>
      <c r="AF78" s="26">
        <f t="shared" si="26"/>
        <v>1.1366216397502709</v>
      </c>
      <c r="AG78" s="8">
        <f>IF(DASHBOARD!$Q$7&gt;'staging data'!X78,'staging data'!X78,DASHBOARD!$Q$7)</f>
        <v>8.6999999999999994E-2</v>
      </c>
      <c r="AH78">
        <f>(100%+DASHBOARD!$Q$8)*'staging data'!T78</f>
        <v>1337.2889999999998</v>
      </c>
      <c r="AI78">
        <f>(100%+DASHBOARD!$Q$9)*'staging data'!Y78</f>
        <v>14.399999999999999</v>
      </c>
    </row>
    <row r="79" spans="1:35" x14ac:dyDescent="0.3">
      <c r="A79" s="3" t="s">
        <v>569</v>
      </c>
      <c r="B79" s="28">
        <v>45050</v>
      </c>
      <c r="C79" s="28" t="str">
        <f t="shared" si="27"/>
        <v>Q2</v>
      </c>
      <c r="D79" s="28" t="str">
        <f t="shared" si="28"/>
        <v>2024</v>
      </c>
      <c r="E79" s="28" t="str">
        <f t="shared" si="29"/>
        <v>Aug</v>
      </c>
      <c r="F79" s="5">
        <v>45535</v>
      </c>
      <c r="G79" s="5">
        <f t="shared" si="17"/>
        <v>45561</v>
      </c>
      <c r="H79" s="5">
        <v>45561</v>
      </c>
      <c r="I79" s="5" t="str">
        <f t="shared" si="30"/>
        <v>Achieved</v>
      </c>
      <c r="J79" s="14">
        <f t="shared" si="31"/>
        <v>26</v>
      </c>
      <c r="K79" s="14">
        <f t="shared" si="18"/>
        <v>26</v>
      </c>
      <c r="L79" s="3" t="s">
        <v>646</v>
      </c>
      <c r="M79" s="3" t="s">
        <v>651</v>
      </c>
      <c r="N79" s="3" t="s">
        <v>688</v>
      </c>
      <c r="O79" s="3" t="s">
        <v>701</v>
      </c>
      <c r="P79" s="3" t="s">
        <v>707</v>
      </c>
      <c r="Q79" s="3" t="s">
        <v>713</v>
      </c>
      <c r="R79" s="3" t="s">
        <v>729</v>
      </c>
      <c r="S79" s="3" t="s">
        <v>1286</v>
      </c>
      <c r="T79" s="21">
        <v>1189.03</v>
      </c>
      <c r="U79" s="21" t="str">
        <f t="shared" si="32"/>
        <v>High</v>
      </c>
      <c r="V79">
        <f t="shared" si="19"/>
        <v>2949.62</v>
      </c>
      <c r="W79" s="7">
        <v>2949.62</v>
      </c>
      <c r="X79" s="8">
        <v>0.125</v>
      </c>
      <c r="Y79" s="14">
        <v>13</v>
      </c>
      <c r="Z79" s="7">
        <f t="shared" si="20"/>
        <v>368.70249999999999</v>
      </c>
      <c r="AA79" s="7">
        <f t="shared" si="21"/>
        <v>33551.927499999998</v>
      </c>
      <c r="AB79" s="7">
        <f t="shared" si="22"/>
        <v>33183.224999999999</v>
      </c>
      <c r="AC79" s="7">
        <f t="shared" si="23"/>
        <v>15457.39</v>
      </c>
      <c r="AD79" s="7">
        <f t="shared" si="24"/>
        <v>18094.537499999999</v>
      </c>
      <c r="AE79" s="7">
        <f t="shared" si="25"/>
        <v>17725.834999999999</v>
      </c>
      <c r="AF79" s="26">
        <f t="shared" si="26"/>
        <v>2.1706075540566681</v>
      </c>
      <c r="AG79" s="8">
        <f>IF(DASHBOARD!$Q$7&gt;'staging data'!X79,'staging data'!X79,DASHBOARD!$Q$7)</f>
        <v>0.125</v>
      </c>
      <c r="AH79">
        <f>(100%+DASHBOARD!$Q$8)*'staging data'!T79</f>
        <v>1367.3844999999999</v>
      </c>
      <c r="AI79">
        <f>(100%+DASHBOARD!$Q$9)*'staging data'!Y79</f>
        <v>15.6</v>
      </c>
    </row>
    <row r="80" spans="1:35" x14ac:dyDescent="0.3">
      <c r="A80" s="3" t="s">
        <v>567</v>
      </c>
      <c r="B80" s="28">
        <v>45052</v>
      </c>
      <c r="C80" s="28" t="str">
        <f t="shared" si="27"/>
        <v>Q2</v>
      </c>
      <c r="D80" s="28" t="str">
        <f t="shared" si="28"/>
        <v>2025</v>
      </c>
      <c r="E80" s="28" t="str">
        <f t="shared" si="29"/>
        <v>Feb</v>
      </c>
      <c r="F80" s="5">
        <v>45704</v>
      </c>
      <c r="G80" s="5">
        <f t="shared" si="17"/>
        <v>45733</v>
      </c>
      <c r="H80" s="5">
        <v>45733</v>
      </c>
      <c r="I80" s="5" t="str">
        <f t="shared" si="30"/>
        <v>Achieved</v>
      </c>
      <c r="J80" s="14">
        <f t="shared" si="31"/>
        <v>29</v>
      </c>
      <c r="K80" s="14">
        <f t="shared" si="18"/>
        <v>29</v>
      </c>
      <c r="L80" s="3" t="s">
        <v>648</v>
      </c>
      <c r="M80" s="3" t="s">
        <v>655</v>
      </c>
      <c r="N80" s="3" t="s">
        <v>683</v>
      </c>
      <c r="O80" s="3" t="s">
        <v>703</v>
      </c>
      <c r="P80" s="3" t="s">
        <v>706</v>
      </c>
      <c r="Q80" s="3" t="s">
        <v>715</v>
      </c>
      <c r="R80" s="3" t="s">
        <v>732</v>
      </c>
      <c r="S80" s="3" t="s">
        <v>1284</v>
      </c>
      <c r="T80" s="21">
        <v>730.42</v>
      </c>
      <c r="U80" s="21" t="str">
        <f t="shared" si="32"/>
        <v>Medium</v>
      </c>
      <c r="V80">
        <f t="shared" si="19"/>
        <v>956.7</v>
      </c>
      <c r="W80" s="7">
        <v>956.7</v>
      </c>
      <c r="X80" s="8">
        <v>4.2000000000000003E-2</v>
      </c>
      <c r="Y80" s="14">
        <v>22</v>
      </c>
      <c r="Z80" s="7">
        <f t="shared" si="20"/>
        <v>40.181400000000004</v>
      </c>
      <c r="AA80" s="7">
        <f t="shared" si="21"/>
        <v>20163.409200000002</v>
      </c>
      <c r="AB80" s="7">
        <f t="shared" si="22"/>
        <v>20123.227800000001</v>
      </c>
      <c r="AC80" s="7">
        <f t="shared" si="23"/>
        <v>16069.24</v>
      </c>
      <c r="AD80" s="7">
        <f t="shared" si="24"/>
        <v>4094.1692000000021</v>
      </c>
      <c r="AE80" s="7">
        <f t="shared" si="25"/>
        <v>4053.9878000000008</v>
      </c>
      <c r="AF80" s="26">
        <f t="shared" si="26"/>
        <v>1.254783001560746</v>
      </c>
      <c r="AG80" s="8">
        <f>IF(DASHBOARD!$Q$7&gt;'staging data'!X80,'staging data'!X80,DASHBOARD!$Q$7)</f>
        <v>4.2000000000000003E-2</v>
      </c>
      <c r="AH80">
        <f>(100%+DASHBOARD!$Q$8)*'staging data'!T80</f>
        <v>839.98299999999983</v>
      </c>
      <c r="AI80">
        <f>(100%+DASHBOARD!$Q$9)*'staging data'!Y80</f>
        <v>26.4</v>
      </c>
    </row>
    <row r="81" spans="1:35" x14ac:dyDescent="0.3">
      <c r="A81" s="3" t="s">
        <v>564</v>
      </c>
      <c r="B81" s="28">
        <v>45053</v>
      </c>
      <c r="C81" s="28" t="str">
        <f t="shared" si="27"/>
        <v>Q2</v>
      </c>
      <c r="D81" s="28" t="str">
        <f t="shared" si="28"/>
        <v>2024</v>
      </c>
      <c r="E81" s="28" t="str">
        <f t="shared" si="29"/>
        <v>Dec</v>
      </c>
      <c r="F81" s="5">
        <v>45633</v>
      </c>
      <c r="G81" s="5">
        <f t="shared" si="17"/>
        <v>45652</v>
      </c>
      <c r="H81" s="5">
        <v>45652</v>
      </c>
      <c r="I81" s="5" t="str">
        <f t="shared" si="30"/>
        <v>Achieved</v>
      </c>
      <c r="J81" s="14">
        <f t="shared" si="31"/>
        <v>19</v>
      </c>
      <c r="K81" s="14">
        <f t="shared" si="18"/>
        <v>19</v>
      </c>
      <c r="L81" s="3" t="s">
        <v>648</v>
      </c>
      <c r="M81" s="3" t="s">
        <v>657</v>
      </c>
      <c r="N81" s="3" t="s">
        <v>682</v>
      </c>
      <c r="O81" s="3" t="s">
        <v>705</v>
      </c>
      <c r="P81" s="3" t="s">
        <v>707</v>
      </c>
      <c r="Q81" s="3" t="s">
        <v>725</v>
      </c>
      <c r="R81" s="3" t="s">
        <v>728</v>
      </c>
      <c r="S81" s="3" t="s">
        <v>1281</v>
      </c>
      <c r="T81" s="21">
        <v>1035.24</v>
      </c>
      <c r="U81" s="21" t="str">
        <f t="shared" si="32"/>
        <v>High</v>
      </c>
      <c r="V81">
        <f t="shared" si="19"/>
        <v>2383.41</v>
      </c>
      <c r="W81" s="7">
        <v>2383.41</v>
      </c>
      <c r="X81" s="8">
        <v>0.17</v>
      </c>
      <c r="Y81" s="14">
        <v>15</v>
      </c>
      <c r="Z81" s="7">
        <f t="shared" si="20"/>
        <v>405.17970000000003</v>
      </c>
      <c r="AA81" s="7">
        <f t="shared" si="21"/>
        <v>29673.454499999993</v>
      </c>
      <c r="AB81" s="7">
        <f t="shared" si="22"/>
        <v>29268.274799999992</v>
      </c>
      <c r="AC81" s="7">
        <f t="shared" si="23"/>
        <v>15528.6</v>
      </c>
      <c r="AD81" s="7">
        <f t="shared" si="24"/>
        <v>14144.854499999992</v>
      </c>
      <c r="AE81" s="7">
        <f t="shared" si="25"/>
        <v>13739.674799999992</v>
      </c>
      <c r="AF81" s="26">
        <f t="shared" si="26"/>
        <v>1.9108905181407205</v>
      </c>
      <c r="AG81" s="8">
        <f>IF(DASHBOARD!$Q$7&gt;'staging data'!X81,'staging data'!X81,DASHBOARD!$Q$7)</f>
        <v>0.17</v>
      </c>
      <c r="AH81">
        <f>(100%+DASHBOARD!$Q$8)*'staging data'!T81</f>
        <v>1190.5259999999998</v>
      </c>
      <c r="AI81">
        <f>(100%+DASHBOARD!$Q$9)*'staging data'!Y81</f>
        <v>18</v>
      </c>
    </row>
    <row r="82" spans="1:35" x14ac:dyDescent="0.3">
      <c r="A82" s="3" t="s">
        <v>565</v>
      </c>
      <c r="B82" s="28">
        <v>45053</v>
      </c>
      <c r="C82" s="28" t="str">
        <f t="shared" si="27"/>
        <v>Q2</v>
      </c>
      <c r="D82" s="28" t="str">
        <f t="shared" si="28"/>
        <v>2025</v>
      </c>
      <c r="E82" s="28" t="str">
        <f t="shared" si="29"/>
        <v>Aug</v>
      </c>
      <c r="F82" s="5">
        <v>45875</v>
      </c>
      <c r="G82" s="5">
        <f t="shared" si="17"/>
        <v>45892</v>
      </c>
      <c r="H82" s="5">
        <v>45892</v>
      </c>
      <c r="I82" s="5" t="str">
        <f t="shared" si="30"/>
        <v>Achieved</v>
      </c>
      <c r="J82" s="14">
        <f t="shared" si="31"/>
        <v>17</v>
      </c>
      <c r="K82" s="14">
        <f t="shared" si="18"/>
        <v>17</v>
      </c>
      <c r="L82" s="3" t="s">
        <v>647</v>
      </c>
      <c r="M82" s="3" t="s">
        <v>654</v>
      </c>
      <c r="N82" s="3" t="s">
        <v>671</v>
      </c>
      <c r="O82" s="3" t="s">
        <v>703</v>
      </c>
      <c r="P82" s="3" t="s">
        <v>709</v>
      </c>
      <c r="Q82" s="3" t="s">
        <v>719</v>
      </c>
      <c r="R82" s="3" t="s">
        <v>731</v>
      </c>
      <c r="S82" s="3" t="s">
        <v>1282</v>
      </c>
      <c r="T82" s="21">
        <v>86.64</v>
      </c>
      <c r="U82" s="21" t="str">
        <f t="shared" si="32"/>
        <v>Low</v>
      </c>
      <c r="V82">
        <f t="shared" si="19"/>
        <v>213.06</v>
      </c>
      <c r="W82" s="7">
        <v>213.06</v>
      </c>
      <c r="X82" s="8">
        <v>0.21199999999999999</v>
      </c>
      <c r="Y82" s="14">
        <v>11</v>
      </c>
      <c r="Z82" s="7">
        <f t="shared" si="20"/>
        <v>45.16872</v>
      </c>
      <c r="AA82" s="7">
        <f t="shared" si="21"/>
        <v>1846.8040799999999</v>
      </c>
      <c r="AB82" s="7">
        <f t="shared" si="22"/>
        <v>1801.63536</v>
      </c>
      <c r="AC82" s="7">
        <f t="shared" si="23"/>
        <v>953.04</v>
      </c>
      <c r="AD82" s="7">
        <f t="shared" si="24"/>
        <v>893.76407999999992</v>
      </c>
      <c r="AE82" s="7">
        <f t="shared" si="25"/>
        <v>848.59536000000003</v>
      </c>
      <c r="AF82" s="26">
        <f t="shared" si="26"/>
        <v>1.937803324099723</v>
      </c>
      <c r="AG82" s="8">
        <f>IF(DASHBOARD!$Q$7&gt;'staging data'!X82,'staging data'!X82,DASHBOARD!$Q$7)</f>
        <v>0.2</v>
      </c>
      <c r="AH82">
        <f>(100%+DASHBOARD!$Q$8)*'staging data'!T82</f>
        <v>99.635999999999996</v>
      </c>
      <c r="AI82">
        <f>(100%+DASHBOARD!$Q$9)*'staging data'!Y82</f>
        <v>13.2</v>
      </c>
    </row>
    <row r="83" spans="1:35" x14ac:dyDescent="0.3">
      <c r="A83" s="3" t="s">
        <v>566</v>
      </c>
      <c r="B83" s="28">
        <v>45053</v>
      </c>
      <c r="C83" s="28" t="str">
        <f t="shared" si="27"/>
        <v>Q2</v>
      </c>
      <c r="D83" s="28" t="str">
        <f t="shared" si="28"/>
        <v>2023</v>
      </c>
      <c r="E83" s="28" t="str">
        <f t="shared" si="29"/>
        <v>Mar</v>
      </c>
      <c r="F83" s="5">
        <v>44988</v>
      </c>
      <c r="G83" s="5">
        <f t="shared" si="17"/>
        <v>45005</v>
      </c>
      <c r="H83" s="5">
        <v>45005</v>
      </c>
      <c r="I83" s="5" t="str">
        <f t="shared" si="30"/>
        <v>Achieved</v>
      </c>
      <c r="J83" s="14">
        <f t="shared" si="31"/>
        <v>17</v>
      </c>
      <c r="K83" s="14">
        <f t="shared" si="18"/>
        <v>17</v>
      </c>
      <c r="L83" s="3" t="s">
        <v>646</v>
      </c>
      <c r="M83" s="3" t="s">
        <v>651</v>
      </c>
      <c r="N83" s="3" t="s">
        <v>693</v>
      </c>
      <c r="O83" s="3" t="s">
        <v>704</v>
      </c>
      <c r="P83" s="3" t="s">
        <v>707</v>
      </c>
      <c r="Q83" s="3" t="s">
        <v>725</v>
      </c>
      <c r="R83" s="3" t="s">
        <v>728</v>
      </c>
      <c r="S83" s="3" t="s">
        <v>1283</v>
      </c>
      <c r="T83" s="21">
        <v>1171.17</v>
      </c>
      <c r="U83" s="21" t="str">
        <f t="shared" si="32"/>
        <v>High</v>
      </c>
      <c r="V83">
        <f t="shared" si="19"/>
        <v>2030.64</v>
      </c>
      <c r="W83" s="7">
        <v>2030.64</v>
      </c>
      <c r="X83" s="8">
        <v>0.157</v>
      </c>
      <c r="Y83" s="14">
        <v>11</v>
      </c>
      <c r="Z83" s="7">
        <f t="shared" si="20"/>
        <v>318.81048000000004</v>
      </c>
      <c r="AA83" s="7">
        <f t="shared" si="21"/>
        <v>18830.12472</v>
      </c>
      <c r="AB83" s="7">
        <f t="shared" si="22"/>
        <v>18511.31424</v>
      </c>
      <c r="AC83" s="7">
        <f t="shared" si="23"/>
        <v>12882.87</v>
      </c>
      <c r="AD83" s="7">
        <f t="shared" si="24"/>
        <v>5947.254719999999</v>
      </c>
      <c r="AE83" s="7">
        <f t="shared" si="25"/>
        <v>5628.4442399999989</v>
      </c>
      <c r="AF83" s="26">
        <f t="shared" si="26"/>
        <v>1.461640513332821</v>
      </c>
      <c r="AG83" s="8">
        <f>IF(DASHBOARD!$Q$7&gt;'staging data'!X83,'staging data'!X83,DASHBOARD!$Q$7)</f>
        <v>0.157</v>
      </c>
      <c r="AH83">
        <f>(100%+DASHBOARD!$Q$8)*'staging data'!T83</f>
        <v>1346.8454999999999</v>
      </c>
      <c r="AI83">
        <f>(100%+DASHBOARD!$Q$9)*'staging data'!Y83</f>
        <v>13.2</v>
      </c>
    </row>
    <row r="84" spans="1:35" x14ac:dyDescent="0.3">
      <c r="A84" s="3" t="s">
        <v>562</v>
      </c>
      <c r="B84" s="28">
        <v>45056</v>
      </c>
      <c r="C84" s="28" t="str">
        <f t="shared" si="27"/>
        <v>Q2</v>
      </c>
      <c r="D84" s="28" t="str">
        <f t="shared" si="28"/>
        <v>2023</v>
      </c>
      <c r="E84" s="28" t="str">
        <f t="shared" si="29"/>
        <v>Feb</v>
      </c>
      <c r="F84" s="5">
        <v>44985</v>
      </c>
      <c r="G84" s="5">
        <f t="shared" si="17"/>
        <v>44991</v>
      </c>
      <c r="H84" s="5">
        <v>44991</v>
      </c>
      <c r="I84" s="5" t="str">
        <f t="shared" si="30"/>
        <v>Not achieved</v>
      </c>
      <c r="J84" s="14">
        <f t="shared" si="31"/>
        <v>6</v>
      </c>
      <c r="K84" s="14">
        <f t="shared" si="18"/>
        <v>6</v>
      </c>
      <c r="L84" s="3" t="s">
        <v>648</v>
      </c>
      <c r="M84" s="3" t="s">
        <v>655</v>
      </c>
      <c r="N84" s="3" t="s">
        <v>697</v>
      </c>
      <c r="O84" s="3" t="s">
        <v>704</v>
      </c>
      <c r="P84" s="3" t="s">
        <v>708</v>
      </c>
      <c r="Q84" s="3" t="s">
        <v>725</v>
      </c>
      <c r="R84" s="3" t="s">
        <v>727</v>
      </c>
      <c r="S84" s="3" t="s">
        <v>1279</v>
      </c>
      <c r="T84" s="21">
        <v>880.02</v>
      </c>
      <c r="U84" s="21" t="str">
        <f t="shared" si="32"/>
        <v>Medium</v>
      </c>
      <c r="V84">
        <f t="shared" si="19"/>
        <v>1251.21</v>
      </c>
      <c r="W84" s="7">
        <v>1251.21</v>
      </c>
      <c r="X84" s="8">
        <v>0.123</v>
      </c>
      <c r="Y84" s="14">
        <v>29</v>
      </c>
      <c r="Z84" s="7">
        <f t="shared" si="20"/>
        <v>153.89883</v>
      </c>
      <c r="AA84" s="7">
        <f t="shared" si="21"/>
        <v>31822.023930000003</v>
      </c>
      <c r="AB84" s="7">
        <f t="shared" si="22"/>
        <v>31668.125100000005</v>
      </c>
      <c r="AC84" s="7">
        <f t="shared" si="23"/>
        <v>25520.579999999998</v>
      </c>
      <c r="AD84" s="7">
        <f t="shared" si="24"/>
        <v>6301.4439300000049</v>
      </c>
      <c r="AE84" s="7">
        <f t="shared" si="25"/>
        <v>6147.5451000000066</v>
      </c>
      <c r="AF84" s="26">
        <f t="shared" si="26"/>
        <v>1.2469161723597193</v>
      </c>
      <c r="AG84" s="8">
        <f>IF(DASHBOARD!$Q$7&gt;'staging data'!X84,'staging data'!X84,DASHBOARD!$Q$7)</f>
        <v>0.123</v>
      </c>
      <c r="AH84">
        <f>(100%+DASHBOARD!$Q$8)*'staging data'!T84</f>
        <v>1012.0229999999999</v>
      </c>
      <c r="AI84">
        <f>(100%+DASHBOARD!$Q$9)*'staging data'!Y84</f>
        <v>34.799999999999997</v>
      </c>
    </row>
    <row r="85" spans="1:35" x14ac:dyDescent="0.3">
      <c r="A85" s="3" t="s">
        <v>563</v>
      </c>
      <c r="B85" s="28">
        <v>45056</v>
      </c>
      <c r="C85" s="28" t="str">
        <f t="shared" si="27"/>
        <v>Q2</v>
      </c>
      <c r="D85" s="28" t="str">
        <f t="shared" si="28"/>
        <v>2024</v>
      </c>
      <c r="E85" s="28" t="str">
        <f t="shared" si="29"/>
        <v>Jul</v>
      </c>
      <c r="F85" s="5">
        <v>45486</v>
      </c>
      <c r="G85" s="5">
        <f t="shared" si="17"/>
        <v>45507</v>
      </c>
      <c r="H85" s="5">
        <v>45507</v>
      </c>
      <c r="I85" s="5" t="str">
        <f t="shared" si="30"/>
        <v>Achieved</v>
      </c>
      <c r="J85" s="14">
        <f t="shared" si="31"/>
        <v>21</v>
      </c>
      <c r="K85" s="14">
        <f t="shared" si="18"/>
        <v>21</v>
      </c>
      <c r="L85" s="3" t="s">
        <v>647</v>
      </c>
      <c r="M85" s="3" t="s">
        <v>654</v>
      </c>
      <c r="N85" s="3" t="s">
        <v>691</v>
      </c>
      <c r="O85" s="3" t="s">
        <v>700</v>
      </c>
      <c r="P85" s="3" t="s">
        <v>708</v>
      </c>
      <c r="Q85" s="3" t="s">
        <v>723</v>
      </c>
      <c r="R85" s="3" t="s">
        <v>731</v>
      </c>
      <c r="S85" s="3" t="s">
        <v>1280</v>
      </c>
      <c r="T85" s="21">
        <v>702.98</v>
      </c>
      <c r="U85" s="21" t="str">
        <f t="shared" si="32"/>
        <v>Medium</v>
      </c>
      <c r="V85">
        <f t="shared" si="19"/>
        <v>1104.8</v>
      </c>
      <c r="W85" s="7">
        <v>1104.8</v>
      </c>
      <c r="X85" s="8">
        <v>0.17499999999999999</v>
      </c>
      <c r="Y85" s="14">
        <v>12</v>
      </c>
      <c r="Z85" s="7">
        <f t="shared" si="20"/>
        <v>193.33999999999997</v>
      </c>
      <c r="AA85" s="7">
        <f t="shared" si="21"/>
        <v>10937.519999999999</v>
      </c>
      <c r="AB85" s="7">
        <f t="shared" si="22"/>
        <v>10744.179999999998</v>
      </c>
      <c r="AC85" s="7">
        <f t="shared" si="23"/>
        <v>8435.76</v>
      </c>
      <c r="AD85" s="7">
        <f t="shared" si="24"/>
        <v>2501.7599999999984</v>
      </c>
      <c r="AE85" s="7">
        <f t="shared" si="25"/>
        <v>2308.4199999999983</v>
      </c>
      <c r="AF85" s="26">
        <f t="shared" si="26"/>
        <v>1.2965660473982188</v>
      </c>
      <c r="AG85" s="8">
        <f>IF(DASHBOARD!$Q$7&gt;'staging data'!X85,'staging data'!X85,DASHBOARD!$Q$7)</f>
        <v>0.17499999999999999</v>
      </c>
      <c r="AH85">
        <f>(100%+DASHBOARD!$Q$8)*'staging data'!T85</f>
        <v>808.42699999999991</v>
      </c>
      <c r="AI85">
        <f>(100%+DASHBOARD!$Q$9)*'staging data'!Y85</f>
        <v>14.399999999999999</v>
      </c>
    </row>
    <row r="86" spans="1:35" x14ac:dyDescent="0.3">
      <c r="A86" s="3" t="s">
        <v>560</v>
      </c>
      <c r="B86" s="28">
        <v>45057</v>
      </c>
      <c r="C86" s="28" t="str">
        <f t="shared" si="27"/>
        <v>Q2</v>
      </c>
      <c r="D86" s="28" t="str">
        <f t="shared" si="28"/>
        <v>2024</v>
      </c>
      <c r="E86" s="28" t="str">
        <f t="shared" si="29"/>
        <v>Mar</v>
      </c>
      <c r="F86" s="5">
        <v>45355</v>
      </c>
      <c r="G86" s="5">
        <f t="shared" si="17"/>
        <v>45367</v>
      </c>
      <c r="H86" s="5">
        <v>45367</v>
      </c>
      <c r="I86" s="5" t="str">
        <f t="shared" si="30"/>
        <v>Achieved</v>
      </c>
      <c r="J86" s="14">
        <f t="shared" si="31"/>
        <v>12</v>
      </c>
      <c r="K86" s="14">
        <f t="shared" si="18"/>
        <v>12</v>
      </c>
      <c r="L86" s="3" t="s">
        <v>645</v>
      </c>
      <c r="M86" s="3" t="s">
        <v>660</v>
      </c>
      <c r="N86" s="3" t="s">
        <v>681</v>
      </c>
      <c r="O86" s="3" t="s">
        <v>705</v>
      </c>
      <c r="P86" s="3" t="s">
        <v>709</v>
      </c>
      <c r="Q86" s="3" t="s">
        <v>723</v>
      </c>
      <c r="R86" s="3" t="s">
        <v>731</v>
      </c>
      <c r="S86" s="3" t="s">
        <v>1277</v>
      </c>
      <c r="T86" s="21">
        <v>441.08</v>
      </c>
      <c r="U86" s="21" t="str">
        <f t="shared" si="32"/>
        <v>Medium</v>
      </c>
      <c r="V86">
        <f t="shared" si="19"/>
        <v>1054.29</v>
      </c>
      <c r="W86" s="7">
        <v>1054.29</v>
      </c>
      <c r="X86" s="8">
        <v>0.23699999999999999</v>
      </c>
      <c r="Y86" s="14">
        <v>6</v>
      </c>
      <c r="Z86" s="7">
        <f t="shared" si="20"/>
        <v>249.86672999999999</v>
      </c>
      <c r="AA86" s="7">
        <f t="shared" si="21"/>
        <v>4826.5396199999996</v>
      </c>
      <c r="AB86" s="7">
        <f t="shared" si="22"/>
        <v>4576.6728899999998</v>
      </c>
      <c r="AC86" s="7">
        <f t="shared" si="23"/>
        <v>2646.48</v>
      </c>
      <c r="AD86" s="7">
        <f t="shared" si="24"/>
        <v>2180.0596199999995</v>
      </c>
      <c r="AE86" s="7">
        <f t="shared" si="25"/>
        <v>1930.1928899999998</v>
      </c>
      <c r="AF86" s="26">
        <f t="shared" si="26"/>
        <v>1.8237582071279586</v>
      </c>
      <c r="AG86" s="8">
        <f>IF(DASHBOARD!$Q$7&gt;'staging data'!X86,'staging data'!X86,DASHBOARD!$Q$7)</f>
        <v>0.2</v>
      </c>
      <c r="AH86">
        <f>(100%+DASHBOARD!$Q$8)*'staging data'!T86</f>
        <v>507.24199999999996</v>
      </c>
      <c r="AI86">
        <f>(100%+DASHBOARD!$Q$9)*'staging data'!Y86</f>
        <v>7.1999999999999993</v>
      </c>
    </row>
    <row r="87" spans="1:35" x14ac:dyDescent="0.3">
      <c r="A87" s="3" t="s">
        <v>561</v>
      </c>
      <c r="B87" s="28">
        <v>45057</v>
      </c>
      <c r="C87" s="28" t="str">
        <f t="shared" si="27"/>
        <v>Q2</v>
      </c>
      <c r="D87" s="28" t="str">
        <f t="shared" si="28"/>
        <v>2023</v>
      </c>
      <c r="E87" s="28" t="str">
        <f t="shared" si="29"/>
        <v>Sept</v>
      </c>
      <c r="F87" s="5">
        <v>45177</v>
      </c>
      <c r="G87" s="5">
        <f t="shared" si="17"/>
        <v>45201</v>
      </c>
      <c r="H87" s="5">
        <v>45201</v>
      </c>
      <c r="I87" s="5" t="str">
        <f t="shared" si="30"/>
        <v>Achieved</v>
      </c>
      <c r="J87" s="14">
        <f t="shared" si="31"/>
        <v>24</v>
      </c>
      <c r="K87" s="14">
        <f t="shared" si="18"/>
        <v>24</v>
      </c>
      <c r="L87" s="3" t="s">
        <v>647</v>
      </c>
      <c r="M87" s="3" t="s">
        <v>652</v>
      </c>
      <c r="N87" s="3" t="s">
        <v>666</v>
      </c>
      <c r="O87" s="3" t="s">
        <v>701</v>
      </c>
      <c r="P87" s="3" t="s">
        <v>710</v>
      </c>
      <c r="Q87" s="3" t="s">
        <v>719</v>
      </c>
      <c r="R87" s="3" t="s">
        <v>732</v>
      </c>
      <c r="S87" s="3" t="s">
        <v>1278</v>
      </c>
      <c r="T87" s="21">
        <v>1299.03</v>
      </c>
      <c r="U87" s="21" t="str">
        <f t="shared" si="32"/>
        <v>High</v>
      </c>
      <c r="V87">
        <f t="shared" si="19"/>
        <v>2451.2199999999998</v>
      </c>
      <c r="W87" s="7">
        <v>2451.2199999999998</v>
      </c>
      <c r="X87" s="8">
        <v>0.20799999999999999</v>
      </c>
      <c r="Y87" s="14">
        <v>8</v>
      </c>
      <c r="Z87" s="7">
        <f t="shared" si="20"/>
        <v>509.85375999999991</v>
      </c>
      <c r="AA87" s="7">
        <f t="shared" si="21"/>
        <v>15530.929919999999</v>
      </c>
      <c r="AB87" s="7">
        <f t="shared" si="22"/>
        <v>15021.076159999999</v>
      </c>
      <c r="AC87" s="7">
        <f t="shared" si="23"/>
        <v>10392.24</v>
      </c>
      <c r="AD87" s="7">
        <f t="shared" si="24"/>
        <v>5138.6899199999989</v>
      </c>
      <c r="AE87" s="7">
        <f t="shared" si="25"/>
        <v>4628.8361599999989</v>
      </c>
      <c r="AF87" s="26">
        <f t="shared" si="26"/>
        <v>1.4944737534929908</v>
      </c>
      <c r="AG87" s="8">
        <f>IF(DASHBOARD!$Q$7&gt;'staging data'!X87,'staging data'!X87,DASHBOARD!$Q$7)</f>
        <v>0.2</v>
      </c>
      <c r="AH87">
        <f>(100%+DASHBOARD!$Q$8)*'staging data'!T87</f>
        <v>1493.8844999999999</v>
      </c>
      <c r="AI87">
        <f>(100%+DASHBOARD!$Q$9)*'staging data'!Y87</f>
        <v>9.6</v>
      </c>
    </row>
    <row r="88" spans="1:35" x14ac:dyDescent="0.3">
      <c r="A88" s="3" t="s">
        <v>559</v>
      </c>
      <c r="B88" s="28">
        <v>45060</v>
      </c>
      <c r="C88" s="28" t="str">
        <f t="shared" si="27"/>
        <v>Q2</v>
      </c>
      <c r="D88" s="28" t="str">
        <f t="shared" si="28"/>
        <v>2025</v>
      </c>
      <c r="E88" s="28" t="str">
        <f t="shared" si="29"/>
        <v>Aug</v>
      </c>
      <c r="F88" s="5">
        <v>45889</v>
      </c>
      <c r="G88" s="5">
        <f t="shared" si="17"/>
        <v>45895</v>
      </c>
      <c r="H88" s="5">
        <v>45895</v>
      </c>
      <c r="I88" s="5" t="str">
        <f t="shared" si="30"/>
        <v>Not achieved</v>
      </c>
      <c r="J88" s="14">
        <f t="shared" si="31"/>
        <v>6</v>
      </c>
      <c r="K88" s="14">
        <f t="shared" si="18"/>
        <v>6</v>
      </c>
      <c r="L88" s="3" t="s">
        <v>647</v>
      </c>
      <c r="M88" s="3" t="s">
        <v>659</v>
      </c>
      <c r="N88" s="3" t="s">
        <v>699</v>
      </c>
      <c r="O88" s="3" t="s">
        <v>700</v>
      </c>
      <c r="P88" s="3" t="s">
        <v>706</v>
      </c>
      <c r="Q88" s="3" t="s">
        <v>723</v>
      </c>
      <c r="R88" s="3" t="s">
        <v>728</v>
      </c>
      <c r="S88" s="3" t="s">
        <v>1276</v>
      </c>
      <c r="T88" s="21">
        <v>1304.95</v>
      </c>
      <c r="U88" s="21" t="str">
        <f t="shared" si="32"/>
        <v>Medium</v>
      </c>
      <c r="V88">
        <f t="shared" si="19"/>
        <v>1712.03</v>
      </c>
      <c r="W88" s="7">
        <v>1712.03</v>
      </c>
      <c r="X88" s="8">
        <v>0.21199999999999999</v>
      </c>
      <c r="Y88" s="14">
        <v>8</v>
      </c>
      <c r="Z88" s="7">
        <f t="shared" si="20"/>
        <v>362.95035999999999</v>
      </c>
      <c r="AA88" s="7">
        <f t="shared" si="21"/>
        <v>10792.637119999999</v>
      </c>
      <c r="AB88" s="7">
        <f t="shared" si="22"/>
        <v>10429.686759999999</v>
      </c>
      <c r="AC88" s="7">
        <f t="shared" si="23"/>
        <v>10439.6</v>
      </c>
      <c r="AD88" s="7">
        <f t="shared" si="24"/>
        <v>353.03711999999905</v>
      </c>
      <c r="AE88" s="7">
        <f t="shared" si="25"/>
        <v>-9.9132400000016787</v>
      </c>
      <c r="AF88" s="26">
        <f t="shared" si="26"/>
        <v>1.0338171117667343</v>
      </c>
      <c r="AG88" s="8">
        <f>IF(DASHBOARD!$Q$7&gt;'staging data'!X88,'staging data'!X88,DASHBOARD!$Q$7)</f>
        <v>0.2</v>
      </c>
      <c r="AH88">
        <f>(100%+DASHBOARD!$Q$8)*'staging data'!T88</f>
        <v>1500.6924999999999</v>
      </c>
      <c r="AI88">
        <f>(100%+DASHBOARD!$Q$9)*'staging data'!Y88</f>
        <v>9.6</v>
      </c>
    </row>
    <row r="89" spans="1:35" x14ac:dyDescent="0.3">
      <c r="A89" s="3" t="s">
        <v>557</v>
      </c>
      <c r="B89" s="28">
        <v>45063</v>
      </c>
      <c r="C89" s="28" t="str">
        <f t="shared" si="27"/>
        <v>Q2</v>
      </c>
      <c r="D89" s="28" t="str">
        <f t="shared" si="28"/>
        <v>2023</v>
      </c>
      <c r="E89" s="28" t="str">
        <f t="shared" si="29"/>
        <v>Feb</v>
      </c>
      <c r="F89" s="5">
        <v>44968</v>
      </c>
      <c r="G89" s="5">
        <f t="shared" si="17"/>
        <v>44969</v>
      </c>
      <c r="H89" s="5">
        <v>44969</v>
      </c>
      <c r="I89" s="5" t="str">
        <f t="shared" si="30"/>
        <v>Not achieved</v>
      </c>
      <c r="J89" s="14">
        <f t="shared" si="31"/>
        <v>1</v>
      </c>
      <c r="K89" s="14">
        <f t="shared" si="18"/>
        <v>1</v>
      </c>
      <c r="L89" s="3" t="s">
        <v>645</v>
      </c>
      <c r="M89" s="3" t="s">
        <v>650</v>
      </c>
      <c r="N89" s="3" t="s">
        <v>662</v>
      </c>
      <c r="O89" s="3" t="s">
        <v>702</v>
      </c>
      <c r="P89" s="3" t="s">
        <v>710</v>
      </c>
      <c r="Q89" s="3" t="s">
        <v>725</v>
      </c>
      <c r="R89" s="3" t="s">
        <v>732</v>
      </c>
      <c r="S89" s="3" t="s">
        <v>1274</v>
      </c>
      <c r="T89" s="21">
        <v>944.61</v>
      </c>
      <c r="U89" s="21" t="str">
        <f t="shared" si="32"/>
        <v>Medium</v>
      </c>
      <c r="V89">
        <f t="shared" si="19"/>
        <v>839.04</v>
      </c>
      <c r="W89" s="7">
        <v>839.04</v>
      </c>
      <c r="X89" s="8">
        <v>5.8999999999999997E-2</v>
      </c>
      <c r="Y89" s="14">
        <v>6</v>
      </c>
      <c r="Z89" s="7">
        <f t="shared" si="20"/>
        <v>49.503359999999994</v>
      </c>
      <c r="AA89" s="7">
        <f t="shared" si="21"/>
        <v>4737.2198399999997</v>
      </c>
      <c r="AB89" s="7">
        <f t="shared" si="22"/>
        <v>4687.71648</v>
      </c>
      <c r="AC89" s="7">
        <f t="shared" si="23"/>
        <v>5667.66</v>
      </c>
      <c r="AD89" s="7">
        <f t="shared" si="24"/>
        <v>-930.44016000000011</v>
      </c>
      <c r="AE89" s="7">
        <f t="shared" si="25"/>
        <v>-979.94351999999981</v>
      </c>
      <c r="AF89" s="26">
        <f t="shared" si="26"/>
        <v>0.83583345507669826</v>
      </c>
      <c r="AG89" s="8">
        <f>IF(DASHBOARD!$Q$7&gt;'staging data'!X89,'staging data'!X89,DASHBOARD!$Q$7)</f>
        <v>5.8999999999999997E-2</v>
      </c>
      <c r="AH89">
        <f>(100%+DASHBOARD!$Q$8)*'staging data'!T89</f>
        <v>1086.3015</v>
      </c>
      <c r="AI89">
        <f>(100%+DASHBOARD!$Q$9)*'staging data'!Y89</f>
        <v>7.1999999999999993</v>
      </c>
    </row>
    <row r="90" spans="1:35" x14ac:dyDescent="0.3">
      <c r="A90" s="3" t="s">
        <v>558</v>
      </c>
      <c r="B90" s="28">
        <v>45063</v>
      </c>
      <c r="C90" s="28" t="str">
        <f t="shared" si="27"/>
        <v>Q2</v>
      </c>
      <c r="D90" s="28" t="str">
        <f t="shared" si="28"/>
        <v>2023</v>
      </c>
      <c r="E90" s="28" t="str">
        <f t="shared" si="29"/>
        <v>Jul</v>
      </c>
      <c r="F90" s="5">
        <v>45108</v>
      </c>
      <c r="G90" s="5">
        <f t="shared" si="17"/>
        <v>45115</v>
      </c>
      <c r="H90" s="5">
        <v>45115</v>
      </c>
      <c r="I90" s="5" t="str">
        <f t="shared" si="30"/>
        <v>Achieved</v>
      </c>
      <c r="J90" s="14">
        <f t="shared" si="31"/>
        <v>7</v>
      </c>
      <c r="K90" s="14">
        <f t="shared" si="18"/>
        <v>7</v>
      </c>
      <c r="L90" s="3" t="s">
        <v>648</v>
      </c>
      <c r="M90" s="3" t="s">
        <v>655</v>
      </c>
      <c r="N90" s="3" t="s">
        <v>697</v>
      </c>
      <c r="O90" s="3" t="s">
        <v>704</v>
      </c>
      <c r="P90" s="3" t="s">
        <v>709</v>
      </c>
      <c r="Q90" s="3" t="s">
        <v>724</v>
      </c>
      <c r="R90" s="3" t="s">
        <v>730</v>
      </c>
      <c r="S90" s="3" t="s">
        <v>1275</v>
      </c>
      <c r="T90" s="21">
        <v>460.21</v>
      </c>
      <c r="U90" s="21" t="str">
        <f t="shared" si="32"/>
        <v>Medium</v>
      </c>
      <c r="V90">
        <f t="shared" si="19"/>
        <v>1139.1500000000001</v>
      </c>
      <c r="W90" s="7">
        <v>1139.1500000000001</v>
      </c>
      <c r="X90" s="8">
        <v>0.115</v>
      </c>
      <c r="Y90" s="14">
        <v>14</v>
      </c>
      <c r="Z90" s="7">
        <f t="shared" si="20"/>
        <v>131.00225</v>
      </c>
      <c r="AA90" s="7">
        <f t="shared" si="21"/>
        <v>14114.068500000001</v>
      </c>
      <c r="AB90" s="7">
        <f t="shared" si="22"/>
        <v>13983.066250000002</v>
      </c>
      <c r="AC90" s="7">
        <f t="shared" si="23"/>
        <v>6442.94</v>
      </c>
      <c r="AD90" s="7">
        <f t="shared" si="24"/>
        <v>7671.1285000000016</v>
      </c>
      <c r="AE90" s="7">
        <f t="shared" si="25"/>
        <v>7540.1262500000021</v>
      </c>
      <c r="AF90" s="26">
        <f t="shared" si="26"/>
        <v>2.1906254753264816</v>
      </c>
      <c r="AG90" s="8">
        <f>IF(DASHBOARD!$Q$7&gt;'staging data'!X90,'staging data'!X90,DASHBOARD!$Q$7)</f>
        <v>0.115</v>
      </c>
      <c r="AH90">
        <f>(100%+DASHBOARD!$Q$8)*'staging data'!T90</f>
        <v>529.24149999999997</v>
      </c>
      <c r="AI90">
        <f>(100%+DASHBOARD!$Q$9)*'staging data'!Y90</f>
        <v>16.8</v>
      </c>
    </row>
    <row r="91" spans="1:35" x14ac:dyDescent="0.3">
      <c r="A91" s="3" t="s">
        <v>554</v>
      </c>
      <c r="B91" s="28">
        <v>45066</v>
      </c>
      <c r="C91" s="28" t="str">
        <f t="shared" si="27"/>
        <v>Q2</v>
      </c>
      <c r="D91" s="28" t="str">
        <f t="shared" si="28"/>
        <v>2023</v>
      </c>
      <c r="E91" s="28" t="str">
        <f t="shared" si="29"/>
        <v>Jan</v>
      </c>
      <c r="F91" s="5">
        <v>44952</v>
      </c>
      <c r="G91" s="5">
        <f t="shared" si="17"/>
        <v>44972</v>
      </c>
      <c r="H91" s="5">
        <v>44972</v>
      </c>
      <c r="I91" s="5" t="str">
        <f t="shared" si="30"/>
        <v>Achieved</v>
      </c>
      <c r="J91" s="14">
        <f t="shared" si="31"/>
        <v>20</v>
      </c>
      <c r="K91" s="14">
        <f t="shared" si="18"/>
        <v>20</v>
      </c>
      <c r="L91" s="3" t="s">
        <v>648</v>
      </c>
      <c r="M91" s="3" t="s">
        <v>655</v>
      </c>
      <c r="N91" s="3" t="s">
        <v>670</v>
      </c>
      <c r="O91" s="3" t="s">
        <v>704</v>
      </c>
      <c r="P91" s="3" t="s">
        <v>707</v>
      </c>
      <c r="Q91" s="3" t="s">
        <v>718</v>
      </c>
      <c r="R91" s="3" t="s">
        <v>728</v>
      </c>
      <c r="S91" s="3" t="s">
        <v>1271</v>
      </c>
      <c r="T91" s="21">
        <v>492.62</v>
      </c>
      <c r="U91" s="21" t="str">
        <f t="shared" si="32"/>
        <v>Low</v>
      </c>
      <c r="V91">
        <f t="shared" si="19"/>
        <v>366.7</v>
      </c>
      <c r="W91" s="7">
        <v>366.7</v>
      </c>
      <c r="X91" s="8">
        <v>8.8999999999999996E-2</v>
      </c>
      <c r="Y91" s="14">
        <v>10</v>
      </c>
      <c r="Z91" s="7">
        <f t="shared" si="20"/>
        <v>32.636299999999999</v>
      </c>
      <c r="AA91" s="7">
        <f t="shared" si="21"/>
        <v>3340.6370000000002</v>
      </c>
      <c r="AB91" s="7">
        <f t="shared" si="22"/>
        <v>3308.0007000000001</v>
      </c>
      <c r="AC91" s="7">
        <f t="shared" si="23"/>
        <v>4926.2</v>
      </c>
      <c r="AD91" s="7">
        <f t="shared" si="24"/>
        <v>-1585.5629999999996</v>
      </c>
      <c r="AE91" s="7">
        <f t="shared" si="25"/>
        <v>-1618.1992999999998</v>
      </c>
      <c r="AF91" s="26">
        <f t="shared" si="26"/>
        <v>0.67813669765742368</v>
      </c>
      <c r="AG91" s="8">
        <f>IF(DASHBOARD!$Q$7&gt;'staging data'!X91,'staging data'!X91,DASHBOARD!$Q$7)</f>
        <v>8.8999999999999996E-2</v>
      </c>
      <c r="AH91">
        <f>(100%+DASHBOARD!$Q$8)*'staging data'!T91</f>
        <v>566.51299999999992</v>
      </c>
      <c r="AI91">
        <f>(100%+DASHBOARD!$Q$9)*'staging data'!Y91</f>
        <v>12</v>
      </c>
    </row>
    <row r="92" spans="1:35" x14ac:dyDescent="0.3">
      <c r="A92" s="3" t="s">
        <v>555</v>
      </c>
      <c r="B92" s="28">
        <v>45066</v>
      </c>
      <c r="C92" s="28" t="str">
        <f t="shared" si="27"/>
        <v>Q2</v>
      </c>
      <c r="D92" s="28" t="str">
        <f t="shared" si="28"/>
        <v>2023</v>
      </c>
      <c r="E92" s="28" t="str">
        <f t="shared" si="29"/>
        <v>Jul</v>
      </c>
      <c r="F92" s="5">
        <v>45115</v>
      </c>
      <c r="G92" s="5">
        <f t="shared" si="17"/>
        <v>45116</v>
      </c>
      <c r="H92" s="5">
        <v>45116</v>
      </c>
      <c r="I92" s="5" t="str">
        <f t="shared" si="30"/>
        <v>Not achieved</v>
      </c>
      <c r="J92" s="14">
        <f t="shared" si="31"/>
        <v>1</v>
      </c>
      <c r="K92" s="14">
        <f t="shared" si="18"/>
        <v>1</v>
      </c>
      <c r="L92" s="3" t="s">
        <v>645</v>
      </c>
      <c r="M92" s="3" t="s">
        <v>649</v>
      </c>
      <c r="N92" s="3" t="s">
        <v>663</v>
      </c>
      <c r="O92" s="3" t="s">
        <v>703</v>
      </c>
      <c r="P92" s="3" t="s">
        <v>707</v>
      </c>
      <c r="Q92" s="3" t="s">
        <v>725</v>
      </c>
      <c r="R92" s="3" t="s">
        <v>730</v>
      </c>
      <c r="S92" s="3" t="s">
        <v>1272</v>
      </c>
      <c r="T92" s="21">
        <v>1258.72</v>
      </c>
      <c r="U92" s="21" t="str">
        <f t="shared" si="32"/>
        <v>High</v>
      </c>
      <c r="V92">
        <f t="shared" si="19"/>
        <v>2797.41</v>
      </c>
      <c r="W92" s="7">
        <v>2797.41</v>
      </c>
      <c r="X92" s="8">
        <v>0</v>
      </c>
      <c r="Y92" s="14">
        <v>7</v>
      </c>
      <c r="Z92" s="7">
        <f t="shared" si="20"/>
        <v>0</v>
      </c>
      <c r="AA92" s="7">
        <f t="shared" si="21"/>
        <v>19581.87</v>
      </c>
      <c r="AB92" s="7">
        <f t="shared" si="22"/>
        <v>19581.87</v>
      </c>
      <c r="AC92" s="7">
        <f t="shared" si="23"/>
        <v>8811.0400000000009</v>
      </c>
      <c r="AD92" s="7">
        <f t="shared" si="24"/>
        <v>10770.829999999998</v>
      </c>
      <c r="AE92" s="7">
        <f t="shared" si="25"/>
        <v>10770.829999999998</v>
      </c>
      <c r="AF92" s="26">
        <f t="shared" si="26"/>
        <v>2.2224243676115414</v>
      </c>
      <c r="AG92" s="8">
        <f>IF(DASHBOARD!$Q$7&gt;'staging data'!X92,'staging data'!X92,DASHBOARD!$Q$7)</f>
        <v>0</v>
      </c>
      <c r="AH92">
        <f>(100%+DASHBOARD!$Q$8)*'staging data'!T92</f>
        <v>1447.528</v>
      </c>
      <c r="AI92">
        <f>(100%+DASHBOARD!$Q$9)*'staging data'!Y92</f>
        <v>8.4</v>
      </c>
    </row>
    <row r="93" spans="1:35" x14ac:dyDescent="0.3">
      <c r="A93" s="3" t="s">
        <v>556</v>
      </c>
      <c r="B93" s="28">
        <v>45066</v>
      </c>
      <c r="C93" s="28" t="str">
        <f t="shared" si="27"/>
        <v>Q2</v>
      </c>
      <c r="D93" s="28" t="str">
        <f t="shared" si="28"/>
        <v>2024</v>
      </c>
      <c r="E93" s="28" t="str">
        <f t="shared" si="29"/>
        <v>Jun</v>
      </c>
      <c r="F93" s="5">
        <v>45450</v>
      </c>
      <c r="G93" s="5">
        <f t="shared" si="17"/>
        <v>45452</v>
      </c>
      <c r="H93" s="5">
        <v>45452</v>
      </c>
      <c r="I93" s="5" t="str">
        <f t="shared" si="30"/>
        <v>Not achieved</v>
      </c>
      <c r="J93" s="14">
        <f t="shared" si="31"/>
        <v>2</v>
      </c>
      <c r="K93" s="14">
        <f t="shared" si="18"/>
        <v>2</v>
      </c>
      <c r="L93" s="3" t="s">
        <v>646</v>
      </c>
      <c r="M93" s="3" t="s">
        <v>658</v>
      </c>
      <c r="N93" s="3" t="s">
        <v>684</v>
      </c>
      <c r="O93" s="3" t="s">
        <v>700</v>
      </c>
      <c r="P93" s="3" t="s">
        <v>706</v>
      </c>
      <c r="Q93" s="3" t="s">
        <v>718</v>
      </c>
      <c r="R93" s="3" t="s">
        <v>731</v>
      </c>
      <c r="S93" s="3" t="s">
        <v>1273</v>
      </c>
      <c r="T93" s="21">
        <v>1370.28</v>
      </c>
      <c r="U93" s="21" t="str">
        <f t="shared" si="32"/>
        <v>High</v>
      </c>
      <c r="V93">
        <f t="shared" si="19"/>
        <v>2209.66</v>
      </c>
      <c r="W93" s="7">
        <v>2209.66</v>
      </c>
      <c r="X93" s="8">
        <v>0.13300000000000001</v>
      </c>
      <c r="Y93" s="14">
        <v>16</v>
      </c>
      <c r="Z93" s="7">
        <f t="shared" si="20"/>
        <v>293.88477999999998</v>
      </c>
      <c r="AA93" s="7">
        <f t="shared" si="21"/>
        <v>30652.403519999996</v>
      </c>
      <c r="AB93" s="7">
        <f t="shared" si="22"/>
        <v>30358.518739999996</v>
      </c>
      <c r="AC93" s="7">
        <f t="shared" si="23"/>
        <v>21924.48</v>
      </c>
      <c r="AD93" s="7">
        <f t="shared" si="24"/>
        <v>8727.9235199999966</v>
      </c>
      <c r="AE93" s="7">
        <f t="shared" si="25"/>
        <v>8434.0387399999963</v>
      </c>
      <c r="AF93" s="26">
        <f t="shared" si="26"/>
        <v>1.3980903319029685</v>
      </c>
      <c r="AG93" s="8">
        <f>IF(DASHBOARD!$Q$7&gt;'staging data'!X93,'staging data'!X93,DASHBOARD!$Q$7)</f>
        <v>0.13300000000000001</v>
      </c>
      <c r="AH93">
        <f>(100%+DASHBOARD!$Q$8)*'staging data'!T93</f>
        <v>1575.8219999999999</v>
      </c>
      <c r="AI93">
        <f>(100%+DASHBOARD!$Q$9)*'staging data'!Y93</f>
        <v>19.2</v>
      </c>
    </row>
    <row r="94" spans="1:35" x14ac:dyDescent="0.3">
      <c r="A94" s="3" t="s">
        <v>552</v>
      </c>
      <c r="B94" s="28">
        <v>45069</v>
      </c>
      <c r="C94" s="28" t="str">
        <f t="shared" si="27"/>
        <v>Q2</v>
      </c>
      <c r="D94" s="28" t="str">
        <f t="shared" si="28"/>
        <v>2023</v>
      </c>
      <c r="E94" s="28" t="str">
        <f t="shared" si="29"/>
        <v>Jul</v>
      </c>
      <c r="F94" s="5">
        <v>45114</v>
      </c>
      <c r="G94" s="5">
        <f t="shared" si="17"/>
        <v>45120</v>
      </c>
      <c r="H94" s="5">
        <v>45120</v>
      </c>
      <c r="I94" s="5" t="str">
        <f t="shared" si="30"/>
        <v>Not achieved</v>
      </c>
      <c r="J94" s="14">
        <f t="shared" si="31"/>
        <v>6</v>
      </c>
      <c r="K94" s="14">
        <f t="shared" si="18"/>
        <v>6</v>
      </c>
      <c r="L94" s="3" t="s">
        <v>645</v>
      </c>
      <c r="M94" s="3" t="s">
        <v>660</v>
      </c>
      <c r="N94" s="3" t="s">
        <v>694</v>
      </c>
      <c r="O94" s="3" t="s">
        <v>704</v>
      </c>
      <c r="P94" s="3" t="s">
        <v>708</v>
      </c>
      <c r="Q94" s="3" t="s">
        <v>716</v>
      </c>
      <c r="R94" s="3" t="s">
        <v>732</v>
      </c>
      <c r="S94" s="3" t="s">
        <v>1269</v>
      </c>
      <c r="T94" s="21">
        <v>612.59</v>
      </c>
      <c r="U94" s="21" t="str">
        <f t="shared" si="32"/>
        <v>Medium</v>
      </c>
      <c r="V94">
        <f t="shared" si="19"/>
        <v>1424.74</v>
      </c>
      <c r="W94" s="7">
        <v>1424.74</v>
      </c>
      <c r="X94" s="8">
        <v>4.3999999999999997E-2</v>
      </c>
      <c r="Y94" s="14">
        <v>15</v>
      </c>
      <c r="Z94" s="7">
        <f t="shared" si="20"/>
        <v>62.688559999999995</v>
      </c>
      <c r="AA94" s="7">
        <f t="shared" si="21"/>
        <v>20430.771599999996</v>
      </c>
      <c r="AB94" s="7">
        <f t="shared" si="22"/>
        <v>20368.083039999998</v>
      </c>
      <c r="AC94" s="7">
        <f t="shared" si="23"/>
        <v>9188.85</v>
      </c>
      <c r="AD94" s="7">
        <f t="shared" si="24"/>
        <v>11241.921599999996</v>
      </c>
      <c r="AE94" s="7">
        <f t="shared" si="25"/>
        <v>11179.233039999997</v>
      </c>
      <c r="AF94" s="26">
        <f t="shared" si="26"/>
        <v>2.2234307448701411</v>
      </c>
      <c r="AG94" s="8">
        <f>IF(DASHBOARD!$Q$7&gt;'staging data'!X94,'staging data'!X94,DASHBOARD!$Q$7)</f>
        <v>4.3999999999999997E-2</v>
      </c>
      <c r="AH94">
        <f>(100%+DASHBOARD!$Q$8)*'staging data'!T94</f>
        <v>704.47849999999994</v>
      </c>
      <c r="AI94">
        <f>(100%+DASHBOARD!$Q$9)*'staging data'!Y94</f>
        <v>18</v>
      </c>
    </row>
    <row r="95" spans="1:35" x14ac:dyDescent="0.3">
      <c r="A95" s="3" t="s">
        <v>553</v>
      </c>
      <c r="B95" s="28">
        <v>45069</v>
      </c>
      <c r="C95" s="28" t="str">
        <f t="shared" si="27"/>
        <v>Q2</v>
      </c>
      <c r="D95" s="28" t="str">
        <f t="shared" si="28"/>
        <v>2023</v>
      </c>
      <c r="E95" s="28" t="str">
        <f t="shared" si="29"/>
        <v>Dec</v>
      </c>
      <c r="F95" s="5">
        <v>45288</v>
      </c>
      <c r="G95" s="5">
        <f t="shared" si="17"/>
        <v>45292</v>
      </c>
      <c r="H95" s="5">
        <v>45292</v>
      </c>
      <c r="I95" s="5" t="str">
        <f t="shared" si="30"/>
        <v>Not achieved</v>
      </c>
      <c r="J95" s="14">
        <f t="shared" si="31"/>
        <v>4</v>
      </c>
      <c r="K95" s="14">
        <f t="shared" si="18"/>
        <v>4</v>
      </c>
      <c r="L95" s="3" t="s">
        <v>645</v>
      </c>
      <c r="M95" s="3" t="s">
        <v>660</v>
      </c>
      <c r="N95" s="3" t="s">
        <v>694</v>
      </c>
      <c r="O95" s="3" t="s">
        <v>701</v>
      </c>
      <c r="P95" s="3" t="s">
        <v>709</v>
      </c>
      <c r="Q95" s="3" t="s">
        <v>719</v>
      </c>
      <c r="R95" s="3" t="s">
        <v>727</v>
      </c>
      <c r="S95" s="3" t="s">
        <v>1270</v>
      </c>
      <c r="T95" s="21">
        <v>1141.8</v>
      </c>
      <c r="U95" s="21" t="str">
        <f t="shared" si="32"/>
        <v>High</v>
      </c>
      <c r="V95">
        <f t="shared" si="19"/>
        <v>2318.7399999999998</v>
      </c>
      <c r="W95" s="7">
        <v>2318.7399999999998</v>
      </c>
      <c r="X95" s="8">
        <v>0.107</v>
      </c>
      <c r="Y95" s="14">
        <v>32</v>
      </c>
      <c r="Z95" s="7">
        <f t="shared" si="20"/>
        <v>248.10517999999996</v>
      </c>
      <c r="AA95" s="7">
        <f t="shared" si="21"/>
        <v>66260.314239999992</v>
      </c>
      <c r="AB95" s="7">
        <f t="shared" si="22"/>
        <v>66012.209059999994</v>
      </c>
      <c r="AC95" s="7">
        <f t="shared" si="23"/>
        <v>36537.599999999999</v>
      </c>
      <c r="AD95" s="7">
        <f t="shared" si="24"/>
        <v>29722.714239999994</v>
      </c>
      <c r="AE95" s="7">
        <f t="shared" si="25"/>
        <v>29474.609059999995</v>
      </c>
      <c r="AF95" s="26">
        <f t="shared" si="26"/>
        <v>1.8134829392187772</v>
      </c>
      <c r="AG95" s="8">
        <f>IF(DASHBOARD!$Q$7&gt;'staging data'!X95,'staging data'!X95,DASHBOARD!$Q$7)</f>
        <v>0.107</v>
      </c>
      <c r="AH95">
        <f>(100%+DASHBOARD!$Q$8)*'staging data'!T95</f>
        <v>1313.07</v>
      </c>
      <c r="AI95">
        <f>(100%+DASHBOARD!$Q$9)*'staging data'!Y95</f>
        <v>38.4</v>
      </c>
    </row>
    <row r="96" spans="1:35" x14ac:dyDescent="0.3">
      <c r="A96" s="3" t="s">
        <v>551</v>
      </c>
      <c r="B96" s="28">
        <v>45070</v>
      </c>
      <c r="C96" s="28" t="str">
        <f t="shared" si="27"/>
        <v>Q2</v>
      </c>
      <c r="D96" s="28" t="str">
        <f t="shared" si="28"/>
        <v>2024</v>
      </c>
      <c r="E96" s="28" t="str">
        <f t="shared" si="29"/>
        <v>Aug</v>
      </c>
      <c r="F96" s="5">
        <v>45520</v>
      </c>
      <c r="G96" s="5">
        <f t="shared" si="17"/>
        <v>45530</v>
      </c>
      <c r="H96" s="5">
        <v>45530</v>
      </c>
      <c r="I96" s="5" t="str">
        <f t="shared" si="30"/>
        <v>Achieved</v>
      </c>
      <c r="J96" s="14">
        <f t="shared" si="31"/>
        <v>10</v>
      </c>
      <c r="K96" s="14">
        <f t="shared" si="18"/>
        <v>10</v>
      </c>
      <c r="L96" s="3" t="s">
        <v>647</v>
      </c>
      <c r="M96" s="3" t="s">
        <v>659</v>
      </c>
      <c r="N96" s="3" t="s">
        <v>676</v>
      </c>
      <c r="O96" s="3" t="s">
        <v>700</v>
      </c>
      <c r="P96" s="3" t="s">
        <v>709</v>
      </c>
      <c r="Q96" s="3" t="s">
        <v>715</v>
      </c>
      <c r="R96" s="3" t="s">
        <v>730</v>
      </c>
      <c r="S96" s="3" t="s">
        <v>1120</v>
      </c>
      <c r="T96" s="21">
        <v>1291.7</v>
      </c>
      <c r="U96" s="21" t="str">
        <f t="shared" si="32"/>
        <v>High</v>
      </c>
      <c r="V96">
        <f t="shared" si="19"/>
        <v>2657.84</v>
      </c>
      <c r="W96" s="7">
        <v>2657.84</v>
      </c>
      <c r="X96" s="8">
        <v>8.6999999999999994E-2</v>
      </c>
      <c r="Y96" s="14">
        <v>21</v>
      </c>
      <c r="Z96" s="7">
        <f t="shared" si="20"/>
        <v>231.23208</v>
      </c>
      <c r="AA96" s="7">
        <f t="shared" si="21"/>
        <v>50958.766320000002</v>
      </c>
      <c r="AB96" s="7">
        <f t="shared" si="22"/>
        <v>50727.534240000001</v>
      </c>
      <c r="AC96" s="7">
        <f t="shared" si="23"/>
        <v>27125.7</v>
      </c>
      <c r="AD96" s="7">
        <f t="shared" si="24"/>
        <v>23833.066320000002</v>
      </c>
      <c r="AE96" s="7">
        <f t="shared" si="25"/>
        <v>23601.83424</v>
      </c>
      <c r="AF96" s="26">
        <f t="shared" si="26"/>
        <v>1.8786157157234653</v>
      </c>
      <c r="AG96" s="8">
        <f>IF(DASHBOARD!$Q$7&gt;'staging data'!X96,'staging data'!X96,DASHBOARD!$Q$7)</f>
        <v>8.6999999999999994E-2</v>
      </c>
      <c r="AH96">
        <f>(100%+DASHBOARD!$Q$8)*'staging data'!T96</f>
        <v>1485.4549999999999</v>
      </c>
      <c r="AI96">
        <f>(100%+DASHBOARD!$Q$9)*'staging data'!Y96</f>
        <v>25.2</v>
      </c>
    </row>
    <row r="97" spans="1:35" x14ac:dyDescent="0.3">
      <c r="A97" s="3" t="s">
        <v>550</v>
      </c>
      <c r="B97" s="28">
        <v>45073</v>
      </c>
      <c r="C97" s="28" t="str">
        <f t="shared" si="27"/>
        <v>Q2</v>
      </c>
      <c r="D97" s="28" t="str">
        <f t="shared" si="28"/>
        <v>2023</v>
      </c>
      <c r="E97" s="28" t="str">
        <f t="shared" si="29"/>
        <v>Jul</v>
      </c>
      <c r="F97" s="5">
        <v>45108</v>
      </c>
      <c r="G97" s="5">
        <f t="shared" si="17"/>
        <v>45118</v>
      </c>
      <c r="H97" s="5">
        <v>45118</v>
      </c>
      <c r="I97" s="5" t="str">
        <f t="shared" si="30"/>
        <v>Achieved</v>
      </c>
      <c r="J97" s="14">
        <f t="shared" si="31"/>
        <v>10</v>
      </c>
      <c r="K97" s="14">
        <f t="shared" si="18"/>
        <v>10</v>
      </c>
      <c r="L97" s="3" t="s">
        <v>648</v>
      </c>
      <c r="M97" s="3" t="s">
        <v>656</v>
      </c>
      <c r="N97" s="3" t="s">
        <v>689</v>
      </c>
      <c r="O97" s="3" t="s">
        <v>700</v>
      </c>
      <c r="P97" s="3" t="s">
        <v>710</v>
      </c>
      <c r="Q97" s="3" t="s">
        <v>720</v>
      </c>
      <c r="R97" s="3" t="s">
        <v>728</v>
      </c>
      <c r="S97" s="3" t="s">
        <v>1268</v>
      </c>
      <c r="T97" s="21">
        <v>479.5</v>
      </c>
      <c r="U97" s="21" t="str">
        <f t="shared" si="32"/>
        <v>Medium</v>
      </c>
      <c r="V97">
        <f t="shared" si="19"/>
        <v>656.66</v>
      </c>
      <c r="W97" s="7">
        <v>656.66</v>
      </c>
      <c r="X97" s="8">
        <v>0.14899999999999999</v>
      </c>
      <c r="Y97" s="14">
        <v>14</v>
      </c>
      <c r="Z97" s="7">
        <f t="shared" si="20"/>
        <v>97.842339999999993</v>
      </c>
      <c r="AA97" s="7">
        <f t="shared" si="21"/>
        <v>7823.4472399999995</v>
      </c>
      <c r="AB97" s="7">
        <f t="shared" si="22"/>
        <v>7725.6048999999994</v>
      </c>
      <c r="AC97" s="7">
        <f t="shared" si="23"/>
        <v>6713</v>
      </c>
      <c r="AD97" s="7">
        <f t="shared" si="24"/>
        <v>1110.4472399999995</v>
      </c>
      <c r="AE97" s="7">
        <f t="shared" si="25"/>
        <v>1012.6048999999994</v>
      </c>
      <c r="AF97" s="26">
        <f t="shared" si="26"/>
        <v>1.1654174348279458</v>
      </c>
      <c r="AG97" s="8">
        <f>IF(DASHBOARD!$Q$7&gt;'staging data'!X97,'staging data'!X97,DASHBOARD!$Q$7)</f>
        <v>0.14899999999999999</v>
      </c>
      <c r="AH97">
        <f>(100%+DASHBOARD!$Q$8)*'staging data'!T97</f>
        <v>551.42499999999995</v>
      </c>
      <c r="AI97">
        <f>(100%+DASHBOARD!$Q$9)*'staging data'!Y97</f>
        <v>16.8</v>
      </c>
    </row>
    <row r="98" spans="1:35" x14ac:dyDescent="0.3">
      <c r="A98" s="3" t="s">
        <v>549</v>
      </c>
      <c r="B98" s="28">
        <v>45075</v>
      </c>
      <c r="C98" s="28" t="str">
        <f t="shared" si="27"/>
        <v>Q2</v>
      </c>
      <c r="D98" s="28" t="str">
        <f t="shared" si="28"/>
        <v>2025</v>
      </c>
      <c r="E98" s="28" t="str">
        <f t="shared" si="29"/>
        <v>Jan</v>
      </c>
      <c r="F98" s="5">
        <v>45667</v>
      </c>
      <c r="G98" s="5">
        <f t="shared" si="17"/>
        <v>45694</v>
      </c>
      <c r="H98" s="5">
        <v>45694</v>
      </c>
      <c r="I98" s="5" t="str">
        <f t="shared" si="30"/>
        <v>Achieved</v>
      </c>
      <c r="J98" s="14">
        <f t="shared" si="31"/>
        <v>27</v>
      </c>
      <c r="K98" s="14">
        <f t="shared" si="18"/>
        <v>27</v>
      </c>
      <c r="L98" s="3" t="s">
        <v>647</v>
      </c>
      <c r="M98" s="3" t="s">
        <v>654</v>
      </c>
      <c r="N98" s="3" t="s">
        <v>671</v>
      </c>
      <c r="O98" s="3" t="s">
        <v>702</v>
      </c>
      <c r="P98" s="3" t="s">
        <v>706</v>
      </c>
      <c r="Q98" s="3" t="s">
        <v>716</v>
      </c>
      <c r="R98" s="3" t="s">
        <v>730</v>
      </c>
      <c r="S98" s="3" t="s">
        <v>1267</v>
      </c>
      <c r="T98" s="21">
        <v>725.62</v>
      </c>
      <c r="U98" s="21" t="str">
        <f t="shared" si="32"/>
        <v>Medium</v>
      </c>
      <c r="V98">
        <f t="shared" si="19"/>
        <v>1559.19</v>
      </c>
      <c r="W98" s="7">
        <v>1559.19</v>
      </c>
      <c r="X98" s="8">
        <v>0.19</v>
      </c>
      <c r="Y98" s="14">
        <v>12</v>
      </c>
      <c r="Z98" s="7">
        <f t="shared" si="20"/>
        <v>296.24610000000001</v>
      </c>
      <c r="AA98" s="7">
        <f t="shared" si="21"/>
        <v>15155.326800000001</v>
      </c>
      <c r="AB98" s="7">
        <f t="shared" si="22"/>
        <v>14859.0807</v>
      </c>
      <c r="AC98" s="7">
        <f t="shared" si="23"/>
        <v>8707.44</v>
      </c>
      <c r="AD98" s="7">
        <f t="shared" si="24"/>
        <v>6447.8868000000002</v>
      </c>
      <c r="AE98" s="7">
        <f t="shared" si="25"/>
        <v>6151.6406999999999</v>
      </c>
      <c r="AF98" s="26">
        <f t="shared" si="26"/>
        <v>1.7405031559218322</v>
      </c>
      <c r="AG98" s="8">
        <f>IF(DASHBOARD!$Q$7&gt;'staging data'!X98,'staging data'!X98,DASHBOARD!$Q$7)</f>
        <v>0.19</v>
      </c>
      <c r="AH98">
        <f>(100%+DASHBOARD!$Q$8)*'staging data'!T98</f>
        <v>834.46299999999997</v>
      </c>
      <c r="AI98">
        <f>(100%+DASHBOARD!$Q$9)*'staging data'!Y98</f>
        <v>14.399999999999999</v>
      </c>
    </row>
    <row r="99" spans="1:35" x14ac:dyDescent="0.3">
      <c r="A99" s="3" t="s">
        <v>547</v>
      </c>
      <c r="B99" s="28">
        <v>45078</v>
      </c>
      <c r="C99" s="28" t="str">
        <f t="shared" si="27"/>
        <v>Q2</v>
      </c>
      <c r="D99" s="28" t="str">
        <f t="shared" si="28"/>
        <v>2023</v>
      </c>
      <c r="E99" s="28" t="str">
        <f t="shared" si="29"/>
        <v>Aug</v>
      </c>
      <c r="F99" s="5">
        <v>45155</v>
      </c>
      <c r="G99" s="5">
        <f t="shared" si="17"/>
        <v>45172</v>
      </c>
      <c r="H99" s="5">
        <v>45172</v>
      </c>
      <c r="I99" s="5" t="str">
        <f t="shared" si="30"/>
        <v>Achieved</v>
      </c>
      <c r="J99" s="14">
        <f t="shared" si="31"/>
        <v>17</v>
      </c>
      <c r="K99" s="14">
        <f t="shared" si="18"/>
        <v>17</v>
      </c>
      <c r="L99" s="3" t="s">
        <v>645</v>
      </c>
      <c r="M99" s="3" t="s">
        <v>660</v>
      </c>
      <c r="N99" s="3" t="s">
        <v>686</v>
      </c>
      <c r="O99" s="3" t="s">
        <v>705</v>
      </c>
      <c r="P99" s="3" t="s">
        <v>706</v>
      </c>
      <c r="Q99" s="3" t="s">
        <v>719</v>
      </c>
      <c r="R99" s="3" t="s">
        <v>729</v>
      </c>
      <c r="S99" s="3" t="s">
        <v>1265</v>
      </c>
      <c r="T99" s="21">
        <v>676.37</v>
      </c>
      <c r="U99" s="21" t="str">
        <f t="shared" si="32"/>
        <v>Medium</v>
      </c>
      <c r="V99">
        <f t="shared" si="19"/>
        <v>1276.67</v>
      </c>
      <c r="W99" s="7">
        <v>1276.67</v>
      </c>
      <c r="X99" s="8">
        <v>6.6000000000000003E-2</v>
      </c>
      <c r="Y99" s="14">
        <v>10</v>
      </c>
      <c r="Z99" s="7">
        <f t="shared" si="20"/>
        <v>84.260220000000004</v>
      </c>
      <c r="AA99" s="7">
        <f t="shared" si="21"/>
        <v>11924.0978</v>
      </c>
      <c r="AB99" s="7">
        <f t="shared" si="22"/>
        <v>11839.837579999999</v>
      </c>
      <c r="AC99" s="7">
        <f t="shared" si="23"/>
        <v>6763.7</v>
      </c>
      <c r="AD99" s="7">
        <f t="shared" si="24"/>
        <v>5160.3977999999997</v>
      </c>
      <c r="AE99" s="7">
        <f t="shared" si="25"/>
        <v>5076.1375799999996</v>
      </c>
      <c r="AF99" s="26">
        <f t="shared" si="26"/>
        <v>1.7629548619838253</v>
      </c>
      <c r="AG99" s="8">
        <f>IF(DASHBOARD!$Q$7&gt;'staging data'!X99,'staging data'!X99,DASHBOARD!$Q$7)</f>
        <v>6.6000000000000003E-2</v>
      </c>
      <c r="AH99">
        <f>(100%+DASHBOARD!$Q$8)*'staging data'!T99</f>
        <v>777.82549999999992</v>
      </c>
      <c r="AI99">
        <f>(100%+DASHBOARD!$Q$9)*'staging data'!Y99</f>
        <v>12</v>
      </c>
    </row>
    <row r="100" spans="1:35" x14ac:dyDescent="0.3">
      <c r="A100" s="3" t="s">
        <v>548</v>
      </c>
      <c r="B100" s="28">
        <v>45078</v>
      </c>
      <c r="C100" s="28" t="str">
        <f t="shared" si="27"/>
        <v>Q2</v>
      </c>
      <c r="D100" s="28" t="str">
        <f t="shared" si="28"/>
        <v>2025</v>
      </c>
      <c r="E100" s="28" t="str">
        <f t="shared" si="29"/>
        <v>Jun</v>
      </c>
      <c r="F100" s="5">
        <v>45832</v>
      </c>
      <c r="G100" s="5">
        <f t="shared" si="17"/>
        <v>45852</v>
      </c>
      <c r="H100" s="5">
        <v>45852</v>
      </c>
      <c r="I100" s="5" t="str">
        <f t="shared" si="30"/>
        <v>Achieved</v>
      </c>
      <c r="J100" s="14">
        <f t="shared" si="31"/>
        <v>20</v>
      </c>
      <c r="K100" s="14">
        <f t="shared" si="18"/>
        <v>20</v>
      </c>
      <c r="L100" s="3" t="s">
        <v>645</v>
      </c>
      <c r="M100" s="3" t="s">
        <v>660</v>
      </c>
      <c r="N100" s="3" t="s">
        <v>681</v>
      </c>
      <c r="O100" s="3" t="s">
        <v>705</v>
      </c>
      <c r="P100" s="3" t="s">
        <v>708</v>
      </c>
      <c r="Q100" s="3" t="s">
        <v>712</v>
      </c>
      <c r="R100" s="3" t="s">
        <v>730</v>
      </c>
      <c r="S100" s="3" t="s">
        <v>1266</v>
      </c>
      <c r="T100" s="21">
        <v>1151.06</v>
      </c>
      <c r="U100" s="21" t="str">
        <f t="shared" si="32"/>
        <v>High</v>
      </c>
      <c r="V100">
        <f t="shared" si="19"/>
        <v>2821.36</v>
      </c>
      <c r="W100" s="7">
        <v>2821.36</v>
      </c>
      <c r="X100" s="8">
        <v>0.248</v>
      </c>
      <c r="Y100" s="14">
        <v>20</v>
      </c>
      <c r="Z100" s="7">
        <f t="shared" si="20"/>
        <v>699.69727999999998</v>
      </c>
      <c r="AA100" s="7">
        <f t="shared" si="21"/>
        <v>42433.254400000005</v>
      </c>
      <c r="AB100" s="7">
        <f t="shared" si="22"/>
        <v>41733.557120000005</v>
      </c>
      <c r="AC100" s="7">
        <f t="shared" si="23"/>
        <v>23021.199999999997</v>
      </c>
      <c r="AD100" s="7">
        <f t="shared" si="24"/>
        <v>19412.054400000008</v>
      </c>
      <c r="AE100" s="7">
        <f t="shared" si="25"/>
        <v>18712.357120000008</v>
      </c>
      <c r="AF100" s="26">
        <f t="shared" si="26"/>
        <v>1.8432251316178137</v>
      </c>
      <c r="AG100" s="8">
        <f>IF(DASHBOARD!$Q$7&gt;'staging data'!X100,'staging data'!X100,DASHBOARD!$Q$7)</f>
        <v>0.2</v>
      </c>
      <c r="AH100">
        <f>(100%+DASHBOARD!$Q$8)*'staging data'!T100</f>
        <v>1323.7189999999998</v>
      </c>
      <c r="AI100">
        <f>(100%+DASHBOARD!$Q$9)*'staging data'!Y100</f>
        <v>24</v>
      </c>
    </row>
    <row r="101" spans="1:35" x14ac:dyDescent="0.3">
      <c r="A101" s="3" t="s">
        <v>546</v>
      </c>
      <c r="B101" s="28">
        <v>45080</v>
      </c>
      <c r="C101" s="28" t="str">
        <f t="shared" si="27"/>
        <v>Q2</v>
      </c>
      <c r="D101" s="28" t="str">
        <f t="shared" si="28"/>
        <v>2025</v>
      </c>
      <c r="E101" s="28" t="str">
        <f t="shared" si="29"/>
        <v>Apr</v>
      </c>
      <c r="F101" s="5">
        <v>45769</v>
      </c>
      <c r="G101" s="5">
        <f t="shared" si="17"/>
        <v>45789</v>
      </c>
      <c r="H101" s="5">
        <v>45789</v>
      </c>
      <c r="I101" s="5" t="str">
        <f t="shared" si="30"/>
        <v>Achieved</v>
      </c>
      <c r="J101" s="14">
        <f t="shared" si="31"/>
        <v>20</v>
      </c>
      <c r="K101" s="14">
        <f t="shared" si="18"/>
        <v>20</v>
      </c>
      <c r="L101" s="3" t="s">
        <v>648</v>
      </c>
      <c r="M101" s="3" t="s">
        <v>656</v>
      </c>
      <c r="N101" s="3" t="s">
        <v>678</v>
      </c>
      <c r="O101" s="3" t="s">
        <v>705</v>
      </c>
      <c r="P101" s="3" t="s">
        <v>708</v>
      </c>
      <c r="Q101" s="3" t="s">
        <v>722</v>
      </c>
      <c r="R101" s="3" t="s">
        <v>731</v>
      </c>
      <c r="S101" s="3" t="s">
        <v>1264</v>
      </c>
      <c r="T101" s="21">
        <v>59.51</v>
      </c>
      <c r="U101" s="21" t="str">
        <f t="shared" si="32"/>
        <v>Low</v>
      </c>
      <c r="V101">
        <f t="shared" si="19"/>
        <v>67.040000000000006</v>
      </c>
      <c r="W101" s="7">
        <v>67.040000000000006</v>
      </c>
      <c r="X101" s="8">
        <v>0.114</v>
      </c>
      <c r="Y101" s="14">
        <v>9</v>
      </c>
      <c r="Z101" s="7">
        <f t="shared" si="20"/>
        <v>7.6425600000000014</v>
      </c>
      <c r="AA101" s="7">
        <f t="shared" si="21"/>
        <v>534.57695999999999</v>
      </c>
      <c r="AB101" s="7">
        <f t="shared" si="22"/>
        <v>526.93439999999998</v>
      </c>
      <c r="AC101" s="7">
        <f t="shared" si="23"/>
        <v>535.59</v>
      </c>
      <c r="AD101" s="7">
        <f t="shared" si="24"/>
        <v>-1.0130400000000463</v>
      </c>
      <c r="AE101" s="7">
        <f t="shared" si="25"/>
        <v>-8.6556000000000495</v>
      </c>
      <c r="AF101" s="26">
        <f t="shared" si="26"/>
        <v>0.99810855318433866</v>
      </c>
      <c r="AG101" s="8">
        <f>IF(DASHBOARD!$Q$7&gt;'staging data'!X101,'staging data'!X101,DASHBOARD!$Q$7)</f>
        <v>0.114</v>
      </c>
      <c r="AH101">
        <f>(100%+DASHBOARD!$Q$8)*'staging data'!T101</f>
        <v>68.436499999999995</v>
      </c>
      <c r="AI101">
        <f>(100%+DASHBOARD!$Q$9)*'staging data'!Y101</f>
        <v>10.799999999999999</v>
      </c>
    </row>
    <row r="102" spans="1:35" x14ac:dyDescent="0.3">
      <c r="A102" s="3" t="s">
        <v>545</v>
      </c>
      <c r="B102" s="28">
        <v>45082</v>
      </c>
      <c r="C102" s="28" t="str">
        <f t="shared" si="27"/>
        <v>Q2</v>
      </c>
      <c r="D102" s="28" t="str">
        <f t="shared" si="28"/>
        <v>2025</v>
      </c>
      <c r="E102" s="28" t="str">
        <f t="shared" si="29"/>
        <v>Mar</v>
      </c>
      <c r="F102" s="5">
        <v>45727</v>
      </c>
      <c r="G102" s="5">
        <f t="shared" si="17"/>
        <v>45742</v>
      </c>
      <c r="H102" s="5">
        <v>45742</v>
      </c>
      <c r="I102" s="5" t="str">
        <f t="shared" si="30"/>
        <v>Achieved</v>
      </c>
      <c r="J102" s="14">
        <f t="shared" si="31"/>
        <v>15</v>
      </c>
      <c r="K102" s="14">
        <f t="shared" si="18"/>
        <v>15</v>
      </c>
      <c r="L102" s="3" t="s">
        <v>648</v>
      </c>
      <c r="M102" s="3" t="s">
        <v>655</v>
      </c>
      <c r="N102" s="3" t="s">
        <v>670</v>
      </c>
      <c r="O102" s="3" t="s">
        <v>704</v>
      </c>
      <c r="P102" s="3" t="s">
        <v>707</v>
      </c>
      <c r="Q102" s="3" t="s">
        <v>713</v>
      </c>
      <c r="R102" s="3" t="s">
        <v>729</v>
      </c>
      <c r="S102" s="3" t="s">
        <v>1263</v>
      </c>
      <c r="T102" s="21">
        <v>116.97</v>
      </c>
      <c r="U102" s="21" t="str">
        <f t="shared" si="32"/>
        <v>Low</v>
      </c>
      <c r="V102">
        <f t="shared" si="19"/>
        <v>140.82</v>
      </c>
      <c r="W102" s="7">
        <v>140.82</v>
      </c>
      <c r="X102" s="8">
        <v>0.122</v>
      </c>
      <c r="Y102" s="14">
        <v>5</v>
      </c>
      <c r="Z102" s="7">
        <f t="shared" si="20"/>
        <v>17.180039999999998</v>
      </c>
      <c r="AA102" s="7">
        <f t="shared" si="21"/>
        <v>618.19979999999987</v>
      </c>
      <c r="AB102" s="7">
        <f t="shared" si="22"/>
        <v>601.01975999999991</v>
      </c>
      <c r="AC102" s="7">
        <f t="shared" si="23"/>
        <v>584.85</v>
      </c>
      <c r="AD102" s="7">
        <f t="shared" si="24"/>
        <v>33.349799999999846</v>
      </c>
      <c r="AE102" s="7">
        <f t="shared" si="25"/>
        <v>16.169759999999883</v>
      </c>
      <c r="AF102" s="26">
        <f t="shared" si="26"/>
        <v>1.0570228263657346</v>
      </c>
      <c r="AG102" s="8">
        <f>IF(DASHBOARD!$Q$7&gt;'staging data'!X102,'staging data'!X102,DASHBOARD!$Q$7)</f>
        <v>0.122</v>
      </c>
      <c r="AH102">
        <f>(100%+DASHBOARD!$Q$8)*'staging data'!T102</f>
        <v>134.51549999999997</v>
      </c>
      <c r="AI102">
        <f>(100%+DASHBOARD!$Q$9)*'staging data'!Y102</f>
        <v>6</v>
      </c>
    </row>
    <row r="103" spans="1:35" x14ac:dyDescent="0.3">
      <c r="A103" s="3" t="s">
        <v>544</v>
      </c>
      <c r="B103" s="28">
        <v>45086</v>
      </c>
      <c r="C103" s="28" t="str">
        <f t="shared" si="27"/>
        <v>Q2</v>
      </c>
      <c r="D103" s="28" t="str">
        <f t="shared" si="28"/>
        <v>2024</v>
      </c>
      <c r="E103" s="28" t="str">
        <f t="shared" si="29"/>
        <v>Jan</v>
      </c>
      <c r="F103" s="5">
        <v>45316</v>
      </c>
      <c r="G103" s="5">
        <f t="shared" si="17"/>
        <v>45330</v>
      </c>
      <c r="H103" s="5">
        <v>45330</v>
      </c>
      <c r="I103" s="5" t="str">
        <f t="shared" si="30"/>
        <v>Achieved</v>
      </c>
      <c r="J103" s="14">
        <f t="shared" si="31"/>
        <v>14</v>
      </c>
      <c r="K103" s="14">
        <f t="shared" si="18"/>
        <v>14</v>
      </c>
      <c r="L103" s="3" t="s">
        <v>646</v>
      </c>
      <c r="M103" s="3" t="s">
        <v>651</v>
      </c>
      <c r="N103" s="3" t="s">
        <v>665</v>
      </c>
      <c r="O103" s="3" t="s">
        <v>703</v>
      </c>
      <c r="P103" s="3" t="s">
        <v>708</v>
      </c>
      <c r="Q103" s="3" t="s">
        <v>713</v>
      </c>
      <c r="R103" s="3" t="s">
        <v>728</v>
      </c>
      <c r="S103" s="3" t="s">
        <v>1262</v>
      </c>
      <c r="T103" s="21">
        <v>937.16</v>
      </c>
      <c r="U103" s="21" t="str">
        <f t="shared" si="32"/>
        <v>Medium</v>
      </c>
      <c r="V103">
        <f t="shared" si="19"/>
        <v>1069.77</v>
      </c>
      <c r="W103" s="7">
        <v>1069.77</v>
      </c>
      <c r="X103" s="8">
        <v>3.7999999999999999E-2</v>
      </c>
      <c r="Y103" s="14">
        <v>9</v>
      </c>
      <c r="Z103" s="7">
        <f t="shared" si="20"/>
        <v>40.651260000000001</v>
      </c>
      <c r="AA103" s="7">
        <f t="shared" si="21"/>
        <v>9262.0686600000008</v>
      </c>
      <c r="AB103" s="7">
        <f t="shared" si="22"/>
        <v>9221.4174000000003</v>
      </c>
      <c r="AC103" s="7">
        <f t="shared" si="23"/>
        <v>8434.44</v>
      </c>
      <c r="AD103" s="7">
        <f t="shared" si="24"/>
        <v>827.62866000000031</v>
      </c>
      <c r="AE103" s="7">
        <f t="shared" si="25"/>
        <v>786.97739999999976</v>
      </c>
      <c r="AF103" s="26">
        <f t="shared" si="26"/>
        <v>1.0981249093004397</v>
      </c>
      <c r="AG103" s="8">
        <f>IF(DASHBOARD!$Q$7&gt;'staging data'!X103,'staging data'!X103,DASHBOARD!$Q$7)</f>
        <v>3.7999999999999999E-2</v>
      </c>
      <c r="AH103">
        <f>(100%+DASHBOARD!$Q$8)*'staging data'!T103</f>
        <v>1077.7339999999999</v>
      </c>
      <c r="AI103">
        <f>(100%+DASHBOARD!$Q$9)*'staging data'!Y103</f>
        <v>10.799999999999999</v>
      </c>
    </row>
    <row r="104" spans="1:35" x14ac:dyDescent="0.3">
      <c r="A104" s="3" t="s">
        <v>543</v>
      </c>
      <c r="B104" s="28">
        <v>45087</v>
      </c>
      <c r="C104" s="28" t="str">
        <f t="shared" si="27"/>
        <v>Q2</v>
      </c>
      <c r="D104" s="28" t="str">
        <f t="shared" si="28"/>
        <v>2023</v>
      </c>
      <c r="E104" s="28" t="str">
        <f t="shared" si="29"/>
        <v>Aug</v>
      </c>
      <c r="F104" s="5">
        <v>45162</v>
      </c>
      <c r="G104" s="5">
        <f t="shared" si="17"/>
        <v>45189</v>
      </c>
      <c r="H104" s="5">
        <v>45189</v>
      </c>
      <c r="I104" s="5" t="str">
        <f t="shared" si="30"/>
        <v>Achieved</v>
      </c>
      <c r="J104" s="14">
        <f t="shared" si="31"/>
        <v>27</v>
      </c>
      <c r="K104" s="14">
        <f t="shared" si="18"/>
        <v>27</v>
      </c>
      <c r="L104" s="3" t="s">
        <v>645</v>
      </c>
      <c r="M104" s="3" t="s">
        <v>660</v>
      </c>
      <c r="N104" s="3" t="s">
        <v>686</v>
      </c>
      <c r="O104" s="3" t="s">
        <v>704</v>
      </c>
      <c r="P104" s="3" t="s">
        <v>708</v>
      </c>
      <c r="Q104" s="3" t="s">
        <v>723</v>
      </c>
      <c r="R104" s="3" t="s">
        <v>727</v>
      </c>
      <c r="S104" s="3" t="s">
        <v>1261</v>
      </c>
      <c r="T104" s="21">
        <v>1399.64</v>
      </c>
      <c r="U104" s="21" t="str">
        <f t="shared" si="32"/>
        <v>High</v>
      </c>
      <c r="V104">
        <f t="shared" si="19"/>
        <v>3342.11</v>
      </c>
      <c r="W104" s="7">
        <v>3342.11</v>
      </c>
      <c r="X104" s="8">
        <v>0</v>
      </c>
      <c r="Y104" s="14">
        <v>10</v>
      </c>
      <c r="Z104" s="7">
        <f t="shared" si="20"/>
        <v>0</v>
      </c>
      <c r="AA104" s="7">
        <f t="shared" si="21"/>
        <v>33421.1</v>
      </c>
      <c r="AB104" s="7">
        <f t="shared" si="22"/>
        <v>33421.1</v>
      </c>
      <c r="AC104" s="7">
        <f t="shared" si="23"/>
        <v>13996.400000000001</v>
      </c>
      <c r="AD104" s="7">
        <f t="shared" si="24"/>
        <v>19424.699999999997</v>
      </c>
      <c r="AE104" s="7">
        <f t="shared" si="25"/>
        <v>19424.699999999997</v>
      </c>
      <c r="AF104" s="26">
        <f t="shared" si="26"/>
        <v>2.3878354433997311</v>
      </c>
      <c r="AG104" s="8">
        <f>IF(DASHBOARD!$Q$7&gt;'staging data'!X104,'staging data'!X104,DASHBOARD!$Q$7)</f>
        <v>0</v>
      </c>
      <c r="AH104">
        <f>(100%+DASHBOARD!$Q$8)*'staging data'!T104</f>
        <v>1609.586</v>
      </c>
      <c r="AI104">
        <f>(100%+DASHBOARD!$Q$9)*'staging data'!Y104</f>
        <v>12</v>
      </c>
    </row>
    <row r="105" spans="1:35" x14ac:dyDescent="0.3">
      <c r="A105" s="3" t="s">
        <v>542</v>
      </c>
      <c r="B105" s="28">
        <v>45090</v>
      </c>
      <c r="C105" s="28" t="str">
        <f t="shared" si="27"/>
        <v>Q2</v>
      </c>
      <c r="D105" s="28" t="str">
        <f t="shared" si="28"/>
        <v>2024</v>
      </c>
      <c r="E105" s="28" t="str">
        <f t="shared" si="29"/>
        <v>Jun</v>
      </c>
      <c r="F105" s="5">
        <v>45448</v>
      </c>
      <c r="G105" s="5">
        <f t="shared" si="17"/>
        <v>45466</v>
      </c>
      <c r="H105" s="5">
        <v>45466</v>
      </c>
      <c r="I105" s="5" t="str">
        <f t="shared" si="30"/>
        <v>Achieved</v>
      </c>
      <c r="J105" s="14">
        <f t="shared" si="31"/>
        <v>18</v>
      </c>
      <c r="K105" s="14">
        <f t="shared" si="18"/>
        <v>18</v>
      </c>
      <c r="L105" s="3" t="s">
        <v>645</v>
      </c>
      <c r="M105" s="3" t="s">
        <v>649</v>
      </c>
      <c r="N105" s="3" t="s">
        <v>663</v>
      </c>
      <c r="O105" s="3" t="s">
        <v>703</v>
      </c>
      <c r="P105" s="3" t="s">
        <v>709</v>
      </c>
      <c r="Q105" s="3" t="s">
        <v>725</v>
      </c>
      <c r="R105" s="3" t="s">
        <v>730</v>
      </c>
      <c r="S105" s="3" t="s">
        <v>1260</v>
      </c>
      <c r="T105" s="21">
        <v>1208.74</v>
      </c>
      <c r="U105" s="21" t="str">
        <f t="shared" si="32"/>
        <v>Medium</v>
      </c>
      <c r="V105">
        <f t="shared" si="19"/>
        <v>1594.78</v>
      </c>
      <c r="W105" s="7">
        <v>1594.78</v>
      </c>
      <c r="X105" s="8">
        <v>5.8999999999999997E-2</v>
      </c>
      <c r="Y105" s="14">
        <v>39</v>
      </c>
      <c r="Z105" s="7">
        <f t="shared" si="20"/>
        <v>94.092019999999991</v>
      </c>
      <c r="AA105" s="7">
        <f t="shared" si="21"/>
        <v>58526.83122</v>
      </c>
      <c r="AB105" s="7">
        <f t="shared" si="22"/>
        <v>58432.739200000004</v>
      </c>
      <c r="AC105" s="7">
        <f t="shared" si="23"/>
        <v>47140.86</v>
      </c>
      <c r="AD105" s="7">
        <f t="shared" si="24"/>
        <v>11385.971219999999</v>
      </c>
      <c r="AE105" s="7">
        <f t="shared" si="25"/>
        <v>11291.879200000003</v>
      </c>
      <c r="AF105" s="26">
        <f t="shared" si="26"/>
        <v>1.2415308337607758</v>
      </c>
      <c r="AG105" s="8">
        <f>IF(DASHBOARD!$Q$7&gt;'staging data'!X105,'staging data'!X105,DASHBOARD!$Q$7)</f>
        <v>5.8999999999999997E-2</v>
      </c>
      <c r="AH105">
        <f>(100%+DASHBOARD!$Q$8)*'staging data'!T105</f>
        <v>1390.0509999999999</v>
      </c>
      <c r="AI105">
        <f>(100%+DASHBOARD!$Q$9)*'staging data'!Y105</f>
        <v>46.8</v>
      </c>
    </row>
    <row r="106" spans="1:35" x14ac:dyDescent="0.3">
      <c r="A106" s="3" t="s">
        <v>541</v>
      </c>
      <c r="B106" s="28">
        <v>45091</v>
      </c>
      <c r="C106" s="28" t="str">
        <f t="shared" si="27"/>
        <v>Q2</v>
      </c>
      <c r="D106" s="28" t="str">
        <f t="shared" si="28"/>
        <v>2023</v>
      </c>
      <c r="E106" s="28" t="str">
        <f t="shared" si="29"/>
        <v>Jan</v>
      </c>
      <c r="F106" s="5">
        <v>44938</v>
      </c>
      <c r="G106" s="5">
        <f t="shared" si="17"/>
        <v>44952</v>
      </c>
      <c r="H106" s="5">
        <v>44952</v>
      </c>
      <c r="I106" s="5" t="str">
        <f t="shared" si="30"/>
        <v>Achieved</v>
      </c>
      <c r="J106" s="14">
        <f t="shared" si="31"/>
        <v>14</v>
      </c>
      <c r="K106" s="14">
        <f t="shared" si="18"/>
        <v>14</v>
      </c>
      <c r="L106" s="3" t="s">
        <v>646</v>
      </c>
      <c r="M106" s="3" t="s">
        <v>658</v>
      </c>
      <c r="N106" s="3" t="s">
        <v>675</v>
      </c>
      <c r="O106" s="3" t="s">
        <v>702</v>
      </c>
      <c r="P106" s="3" t="s">
        <v>706</v>
      </c>
      <c r="Q106" s="3" t="s">
        <v>723</v>
      </c>
      <c r="R106" s="3" t="s">
        <v>727</v>
      </c>
      <c r="S106" s="3" t="s">
        <v>1259</v>
      </c>
      <c r="T106" s="21">
        <v>1083.0899999999999</v>
      </c>
      <c r="U106" s="21" t="str">
        <f t="shared" si="32"/>
        <v>Medium</v>
      </c>
      <c r="V106">
        <f t="shared" si="19"/>
        <v>1425.87</v>
      </c>
      <c r="W106" s="7">
        <v>1425.87</v>
      </c>
      <c r="X106" s="8">
        <v>0</v>
      </c>
      <c r="Y106" s="14">
        <v>8</v>
      </c>
      <c r="Z106" s="7">
        <f t="shared" si="20"/>
        <v>0</v>
      </c>
      <c r="AA106" s="7">
        <f t="shared" si="21"/>
        <v>11406.96</v>
      </c>
      <c r="AB106" s="7">
        <f t="shared" si="22"/>
        <v>11406.96</v>
      </c>
      <c r="AC106" s="7">
        <f t="shared" si="23"/>
        <v>8664.7199999999993</v>
      </c>
      <c r="AD106" s="7">
        <f t="shared" si="24"/>
        <v>2742.24</v>
      </c>
      <c r="AE106" s="7">
        <f t="shared" si="25"/>
        <v>2742.24</v>
      </c>
      <c r="AF106" s="26">
        <f t="shared" si="26"/>
        <v>1.3164833947317398</v>
      </c>
      <c r="AG106" s="8">
        <f>IF(DASHBOARD!$Q$7&gt;'staging data'!X106,'staging data'!X106,DASHBOARD!$Q$7)</f>
        <v>0</v>
      </c>
      <c r="AH106">
        <f>(100%+DASHBOARD!$Q$8)*'staging data'!T106</f>
        <v>1245.5534999999998</v>
      </c>
      <c r="AI106">
        <f>(100%+DASHBOARD!$Q$9)*'staging data'!Y106</f>
        <v>9.6</v>
      </c>
    </row>
    <row r="107" spans="1:35" x14ac:dyDescent="0.3">
      <c r="A107" s="3" t="s">
        <v>539</v>
      </c>
      <c r="B107" s="28">
        <v>45092</v>
      </c>
      <c r="C107" s="28" t="str">
        <f t="shared" si="27"/>
        <v>Q2</v>
      </c>
      <c r="D107" s="28" t="str">
        <f t="shared" si="28"/>
        <v>2024</v>
      </c>
      <c r="E107" s="28" t="str">
        <f t="shared" si="29"/>
        <v>Apr</v>
      </c>
      <c r="F107" s="5">
        <v>45398</v>
      </c>
      <c r="G107" s="5">
        <f t="shared" si="17"/>
        <v>45409</v>
      </c>
      <c r="H107" s="5">
        <v>45409</v>
      </c>
      <c r="I107" s="5" t="str">
        <f t="shared" si="30"/>
        <v>Achieved</v>
      </c>
      <c r="J107" s="14">
        <f t="shared" si="31"/>
        <v>11</v>
      </c>
      <c r="K107" s="14">
        <f t="shared" si="18"/>
        <v>11</v>
      </c>
      <c r="L107" s="3" t="s">
        <v>645</v>
      </c>
      <c r="M107" s="3" t="s">
        <v>649</v>
      </c>
      <c r="N107" s="3" t="s">
        <v>677</v>
      </c>
      <c r="O107" s="3" t="s">
        <v>705</v>
      </c>
      <c r="P107" s="3" t="s">
        <v>707</v>
      </c>
      <c r="Q107" s="3" t="s">
        <v>725</v>
      </c>
      <c r="R107" s="3" t="s">
        <v>727</v>
      </c>
      <c r="S107" s="3" t="s">
        <v>1257</v>
      </c>
      <c r="T107" s="21">
        <v>401.3</v>
      </c>
      <c r="U107" s="21" t="str">
        <f t="shared" si="32"/>
        <v>Medium</v>
      </c>
      <c r="V107">
        <f t="shared" si="19"/>
        <v>826.47</v>
      </c>
      <c r="W107" s="7">
        <v>826.47</v>
      </c>
      <c r="X107" s="8">
        <v>0.22500000000000001</v>
      </c>
      <c r="Y107" s="14">
        <v>13</v>
      </c>
      <c r="Z107" s="7">
        <f t="shared" si="20"/>
        <v>185.95575000000002</v>
      </c>
      <c r="AA107" s="7">
        <f t="shared" si="21"/>
        <v>8326.6852500000005</v>
      </c>
      <c r="AB107" s="7">
        <f t="shared" si="22"/>
        <v>8140.7295000000004</v>
      </c>
      <c r="AC107" s="7">
        <f t="shared" si="23"/>
        <v>5216.9000000000005</v>
      </c>
      <c r="AD107" s="7">
        <f t="shared" si="24"/>
        <v>3109.7852499999999</v>
      </c>
      <c r="AE107" s="7">
        <f t="shared" si="25"/>
        <v>2923.8294999999998</v>
      </c>
      <c r="AF107" s="26">
        <f t="shared" si="26"/>
        <v>1.5960983055071019</v>
      </c>
      <c r="AG107" s="8">
        <f>IF(DASHBOARD!$Q$7&gt;'staging data'!X107,'staging data'!X107,DASHBOARD!$Q$7)</f>
        <v>0.2</v>
      </c>
      <c r="AH107">
        <f>(100%+DASHBOARD!$Q$8)*'staging data'!T107</f>
        <v>461.495</v>
      </c>
      <c r="AI107">
        <f>(100%+DASHBOARD!$Q$9)*'staging data'!Y107</f>
        <v>15.6</v>
      </c>
    </row>
    <row r="108" spans="1:35" x14ac:dyDescent="0.3">
      <c r="A108" s="3" t="s">
        <v>540</v>
      </c>
      <c r="B108" s="28">
        <v>45092</v>
      </c>
      <c r="C108" s="28" t="str">
        <f t="shared" si="27"/>
        <v>Q2</v>
      </c>
      <c r="D108" s="28" t="str">
        <f t="shared" si="28"/>
        <v>2025</v>
      </c>
      <c r="E108" s="28" t="str">
        <f t="shared" si="29"/>
        <v>Feb</v>
      </c>
      <c r="F108" s="5">
        <v>45695</v>
      </c>
      <c r="G108" s="5">
        <f t="shared" si="17"/>
        <v>45704</v>
      </c>
      <c r="H108" s="5">
        <v>45704</v>
      </c>
      <c r="I108" s="5" t="str">
        <f t="shared" si="30"/>
        <v>Achieved</v>
      </c>
      <c r="J108" s="14">
        <f t="shared" si="31"/>
        <v>9</v>
      </c>
      <c r="K108" s="14">
        <f t="shared" si="18"/>
        <v>9</v>
      </c>
      <c r="L108" s="3" t="s">
        <v>645</v>
      </c>
      <c r="M108" s="3" t="s">
        <v>650</v>
      </c>
      <c r="N108" s="3" t="s">
        <v>664</v>
      </c>
      <c r="O108" s="3" t="s">
        <v>704</v>
      </c>
      <c r="P108" s="3" t="s">
        <v>709</v>
      </c>
      <c r="Q108" s="3" t="s">
        <v>711</v>
      </c>
      <c r="R108" s="3" t="s">
        <v>727</v>
      </c>
      <c r="S108" s="3" t="s">
        <v>1258</v>
      </c>
      <c r="T108" s="21">
        <v>90.68</v>
      </c>
      <c r="U108" s="21" t="str">
        <f t="shared" si="32"/>
        <v>Low</v>
      </c>
      <c r="V108">
        <f t="shared" si="19"/>
        <v>118.17</v>
      </c>
      <c r="W108" s="7">
        <v>118.17</v>
      </c>
      <c r="X108" s="8">
        <v>0.13500000000000001</v>
      </c>
      <c r="Y108" s="14">
        <v>21</v>
      </c>
      <c r="Z108" s="7">
        <f t="shared" si="20"/>
        <v>15.952950000000001</v>
      </c>
      <c r="AA108" s="7">
        <f t="shared" si="21"/>
        <v>2146.5580500000001</v>
      </c>
      <c r="AB108" s="7">
        <f t="shared" si="22"/>
        <v>2130.6051000000002</v>
      </c>
      <c r="AC108" s="7">
        <f t="shared" si="23"/>
        <v>1904.2800000000002</v>
      </c>
      <c r="AD108" s="7">
        <f t="shared" si="24"/>
        <v>242.27804999999989</v>
      </c>
      <c r="AE108" s="7">
        <f t="shared" si="25"/>
        <v>226.32510000000002</v>
      </c>
      <c r="AF108" s="26">
        <f t="shared" si="26"/>
        <v>1.1272281649757387</v>
      </c>
      <c r="AG108" s="8">
        <f>IF(DASHBOARD!$Q$7&gt;'staging data'!X108,'staging data'!X108,DASHBOARD!$Q$7)</f>
        <v>0.13500000000000001</v>
      </c>
      <c r="AH108">
        <f>(100%+DASHBOARD!$Q$8)*'staging data'!T108</f>
        <v>104.282</v>
      </c>
      <c r="AI108">
        <f>(100%+DASHBOARD!$Q$9)*'staging data'!Y108</f>
        <v>25.2</v>
      </c>
    </row>
    <row r="109" spans="1:35" x14ac:dyDescent="0.3">
      <c r="A109" s="3" t="s">
        <v>538</v>
      </c>
      <c r="B109" s="28">
        <v>45094</v>
      </c>
      <c r="C109" s="28" t="str">
        <f t="shared" si="27"/>
        <v>Q2</v>
      </c>
      <c r="D109" s="28" t="str">
        <f t="shared" si="28"/>
        <v>2024</v>
      </c>
      <c r="E109" s="28" t="str">
        <f t="shared" si="29"/>
        <v>Jan</v>
      </c>
      <c r="F109" s="5">
        <v>45304</v>
      </c>
      <c r="G109" s="5">
        <f t="shared" si="17"/>
        <v>45306</v>
      </c>
      <c r="H109" s="5">
        <v>45306</v>
      </c>
      <c r="I109" s="5" t="str">
        <f t="shared" si="30"/>
        <v>Not achieved</v>
      </c>
      <c r="J109" s="14">
        <f t="shared" si="31"/>
        <v>2</v>
      </c>
      <c r="K109" s="14">
        <f t="shared" si="18"/>
        <v>2</v>
      </c>
      <c r="L109" s="3" t="s">
        <v>647</v>
      </c>
      <c r="M109" s="3" t="s">
        <v>659</v>
      </c>
      <c r="N109" s="3" t="s">
        <v>685</v>
      </c>
      <c r="O109" s="3" t="s">
        <v>702</v>
      </c>
      <c r="P109" s="3" t="s">
        <v>710</v>
      </c>
      <c r="Q109" s="3" t="s">
        <v>717</v>
      </c>
      <c r="R109" s="3" t="s">
        <v>726</v>
      </c>
      <c r="S109" s="3" t="s">
        <v>1256</v>
      </c>
      <c r="T109" s="21">
        <v>1061.3699999999999</v>
      </c>
      <c r="U109" s="21" t="str">
        <f t="shared" si="32"/>
        <v>High</v>
      </c>
      <c r="V109">
        <f t="shared" si="19"/>
        <v>1938.33</v>
      </c>
      <c r="W109" s="7">
        <v>1938.33</v>
      </c>
      <c r="X109" s="8">
        <v>0.17</v>
      </c>
      <c r="Y109" s="14">
        <v>4</v>
      </c>
      <c r="Z109" s="7">
        <f t="shared" si="20"/>
        <v>329.51609999999999</v>
      </c>
      <c r="AA109" s="7">
        <f t="shared" si="21"/>
        <v>6435.2555999999995</v>
      </c>
      <c r="AB109" s="7">
        <f t="shared" si="22"/>
        <v>6105.7394999999997</v>
      </c>
      <c r="AC109" s="7">
        <f t="shared" si="23"/>
        <v>4245.4799999999996</v>
      </c>
      <c r="AD109" s="7">
        <f t="shared" si="24"/>
        <v>2189.7755999999999</v>
      </c>
      <c r="AE109" s="7">
        <f t="shared" si="25"/>
        <v>1860.2595000000001</v>
      </c>
      <c r="AF109" s="26">
        <f t="shared" si="26"/>
        <v>1.5157898753497838</v>
      </c>
      <c r="AG109" s="8">
        <f>IF(DASHBOARD!$Q$7&gt;'staging data'!X109,'staging data'!X109,DASHBOARD!$Q$7)</f>
        <v>0.17</v>
      </c>
      <c r="AH109">
        <f>(100%+DASHBOARD!$Q$8)*'staging data'!T109</f>
        <v>1220.5754999999997</v>
      </c>
      <c r="AI109">
        <f>(100%+DASHBOARD!$Q$9)*'staging data'!Y109</f>
        <v>4.8</v>
      </c>
    </row>
    <row r="110" spans="1:35" x14ac:dyDescent="0.3">
      <c r="A110" s="3" t="s">
        <v>535</v>
      </c>
      <c r="B110" s="28">
        <v>45097</v>
      </c>
      <c r="C110" s="28" t="str">
        <f t="shared" si="27"/>
        <v>Q2</v>
      </c>
      <c r="D110" s="28" t="str">
        <f t="shared" si="28"/>
        <v>2023</v>
      </c>
      <c r="E110" s="28" t="str">
        <f t="shared" si="29"/>
        <v>May</v>
      </c>
      <c r="F110" s="5">
        <v>45056</v>
      </c>
      <c r="G110" s="5">
        <f t="shared" si="17"/>
        <v>45073</v>
      </c>
      <c r="H110" s="5">
        <v>45073</v>
      </c>
      <c r="I110" s="5" t="str">
        <f t="shared" si="30"/>
        <v>Achieved</v>
      </c>
      <c r="J110" s="14">
        <f t="shared" si="31"/>
        <v>17</v>
      </c>
      <c r="K110" s="14">
        <f t="shared" si="18"/>
        <v>17</v>
      </c>
      <c r="L110" s="3" t="s">
        <v>646</v>
      </c>
      <c r="M110" s="3" t="s">
        <v>653</v>
      </c>
      <c r="N110" s="3" t="s">
        <v>690</v>
      </c>
      <c r="O110" s="3" t="s">
        <v>703</v>
      </c>
      <c r="P110" s="3" t="s">
        <v>706</v>
      </c>
      <c r="Q110" s="3" t="s">
        <v>723</v>
      </c>
      <c r="R110" s="3" t="s">
        <v>730</v>
      </c>
      <c r="S110" s="3" t="s">
        <v>1253</v>
      </c>
      <c r="T110" s="21">
        <v>1286.1600000000001</v>
      </c>
      <c r="U110" s="21" t="str">
        <f t="shared" si="32"/>
        <v>High</v>
      </c>
      <c r="V110">
        <f t="shared" si="19"/>
        <v>3101.11</v>
      </c>
      <c r="W110" s="7">
        <v>3101.11</v>
      </c>
      <c r="X110" s="8">
        <v>0.1</v>
      </c>
      <c r="Y110" s="14">
        <v>23</v>
      </c>
      <c r="Z110" s="7">
        <f t="shared" si="20"/>
        <v>310.11100000000005</v>
      </c>
      <c r="AA110" s="7">
        <f t="shared" si="21"/>
        <v>64192.976999999999</v>
      </c>
      <c r="AB110" s="7">
        <f t="shared" si="22"/>
        <v>63882.866000000002</v>
      </c>
      <c r="AC110" s="7">
        <f t="shared" si="23"/>
        <v>29581.68</v>
      </c>
      <c r="AD110" s="7">
        <f t="shared" si="24"/>
        <v>34611.296999999999</v>
      </c>
      <c r="AE110" s="7">
        <f t="shared" si="25"/>
        <v>34301.186000000002</v>
      </c>
      <c r="AF110" s="26">
        <f t="shared" si="26"/>
        <v>2.1700247247620825</v>
      </c>
      <c r="AG110" s="8">
        <f>IF(DASHBOARD!$Q$7&gt;'staging data'!X110,'staging data'!X110,DASHBOARD!$Q$7)</f>
        <v>0.1</v>
      </c>
      <c r="AH110">
        <f>(100%+DASHBOARD!$Q$8)*'staging data'!T110</f>
        <v>1479.0840000000001</v>
      </c>
      <c r="AI110">
        <f>(100%+DASHBOARD!$Q$9)*'staging data'!Y110</f>
        <v>27.599999999999998</v>
      </c>
    </row>
    <row r="111" spans="1:35" x14ac:dyDescent="0.3">
      <c r="A111" s="3" t="s">
        <v>536</v>
      </c>
      <c r="B111" s="28">
        <v>45097</v>
      </c>
      <c r="C111" s="28" t="str">
        <f t="shared" si="27"/>
        <v>Q2</v>
      </c>
      <c r="D111" s="28" t="str">
        <f t="shared" si="28"/>
        <v>2024</v>
      </c>
      <c r="E111" s="28" t="str">
        <f t="shared" si="29"/>
        <v>Jul</v>
      </c>
      <c r="F111" s="5">
        <v>45482</v>
      </c>
      <c r="G111" s="5">
        <f t="shared" si="17"/>
        <v>45485</v>
      </c>
      <c r="H111" s="5">
        <v>45485</v>
      </c>
      <c r="I111" s="5" t="str">
        <f t="shared" si="30"/>
        <v>Not achieved</v>
      </c>
      <c r="J111" s="14">
        <f t="shared" si="31"/>
        <v>3</v>
      </c>
      <c r="K111" s="14">
        <f t="shared" si="18"/>
        <v>3</v>
      </c>
      <c r="L111" s="3" t="s">
        <v>646</v>
      </c>
      <c r="M111" s="3" t="s">
        <v>658</v>
      </c>
      <c r="N111" s="3" t="s">
        <v>684</v>
      </c>
      <c r="O111" s="3" t="s">
        <v>704</v>
      </c>
      <c r="P111" s="3" t="s">
        <v>706</v>
      </c>
      <c r="Q111" s="3" t="s">
        <v>725</v>
      </c>
      <c r="R111" s="3" t="s">
        <v>732</v>
      </c>
      <c r="S111" s="3" t="s">
        <v>1254</v>
      </c>
      <c r="T111" s="21">
        <v>748.39</v>
      </c>
      <c r="U111" s="21" t="str">
        <f t="shared" si="32"/>
        <v>Medium</v>
      </c>
      <c r="V111">
        <f t="shared" si="19"/>
        <v>979.42</v>
      </c>
      <c r="W111" s="7">
        <v>979.42</v>
      </c>
      <c r="X111" s="8">
        <v>0</v>
      </c>
      <c r="Y111" s="14">
        <v>23</v>
      </c>
      <c r="Z111" s="7">
        <f t="shared" si="20"/>
        <v>0</v>
      </c>
      <c r="AA111" s="7">
        <f t="shared" si="21"/>
        <v>22526.66</v>
      </c>
      <c r="AB111" s="7">
        <f t="shared" si="22"/>
        <v>22526.66</v>
      </c>
      <c r="AC111" s="7">
        <f t="shared" si="23"/>
        <v>17212.97</v>
      </c>
      <c r="AD111" s="7">
        <f t="shared" si="24"/>
        <v>5313.6899999999987</v>
      </c>
      <c r="AE111" s="7">
        <f t="shared" si="25"/>
        <v>5313.6899999999987</v>
      </c>
      <c r="AF111" s="26">
        <f t="shared" si="26"/>
        <v>1.3087026817568379</v>
      </c>
      <c r="AG111" s="8">
        <f>IF(DASHBOARD!$Q$7&gt;'staging data'!X111,'staging data'!X111,DASHBOARD!$Q$7)</f>
        <v>0</v>
      </c>
      <c r="AH111">
        <f>(100%+DASHBOARD!$Q$8)*'staging data'!T111</f>
        <v>860.6484999999999</v>
      </c>
      <c r="AI111">
        <f>(100%+DASHBOARD!$Q$9)*'staging data'!Y111</f>
        <v>27.599999999999998</v>
      </c>
    </row>
    <row r="112" spans="1:35" x14ac:dyDescent="0.3">
      <c r="A112" s="3" t="s">
        <v>537</v>
      </c>
      <c r="B112" s="28">
        <v>45097</v>
      </c>
      <c r="C112" s="28" t="str">
        <f t="shared" si="27"/>
        <v>Q2</v>
      </c>
      <c r="D112" s="28" t="str">
        <f t="shared" si="28"/>
        <v>2024</v>
      </c>
      <c r="E112" s="28" t="str">
        <f t="shared" si="29"/>
        <v>Apr</v>
      </c>
      <c r="F112" s="5">
        <v>45406</v>
      </c>
      <c r="G112" s="5">
        <f t="shared" si="17"/>
        <v>45422</v>
      </c>
      <c r="H112" s="5">
        <v>45422</v>
      </c>
      <c r="I112" s="5" t="str">
        <f t="shared" si="30"/>
        <v>Achieved</v>
      </c>
      <c r="J112" s="14">
        <f t="shared" si="31"/>
        <v>16</v>
      </c>
      <c r="K112" s="14">
        <f t="shared" si="18"/>
        <v>16</v>
      </c>
      <c r="L112" s="3" t="s">
        <v>645</v>
      </c>
      <c r="M112" s="3" t="s">
        <v>649</v>
      </c>
      <c r="N112" s="3" t="s">
        <v>661</v>
      </c>
      <c r="O112" s="3" t="s">
        <v>702</v>
      </c>
      <c r="P112" s="3" t="s">
        <v>707</v>
      </c>
      <c r="Q112" s="3" t="s">
        <v>724</v>
      </c>
      <c r="R112" s="3" t="s">
        <v>731</v>
      </c>
      <c r="S112" s="3" t="s">
        <v>1255</v>
      </c>
      <c r="T112" s="21">
        <v>513.30999999999995</v>
      </c>
      <c r="U112" s="21" t="str">
        <f t="shared" si="32"/>
        <v>Medium</v>
      </c>
      <c r="V112">
        <f t="shared" si="19"/>
        <v>1186.26</v>
      </c>
      <c r="W112" s="7">
        <v>1186.26</v>
      </c>
      <c r="X112" s="8">
        <v>9.4E-2</v>
      </c>
      <c r="Y112" s="14">
        <v>15</v>
      </c>
      <c r="Z112" s="7">
        <f t="shared" si="20"/>
        <v>111.50843999999999</v>
      </c>
      <c r="AA112" s="7">
        <f t="shared" si="21"/>
        <v>16121.273400000002</v>
      </c>
      <c r="AB112" s="7">
        <f t="shared" si="22"/>
        <v>16009.764960000002</v>
      </c>
      <c r="AC112" s="7">
        <f t="shared" si="23"/>
        <v>7699.65</v>
      </c>
      <c r="AD112" s="7">
        <f t="shared" si="24"/>
        <v>8421.6234000000022</v>
      </c>
      <c r="AE112" s="7">
        <f t="shared" si="25"/>
        <v>8310.1149600000026</v>
      </c>
      <c r="AF112" s="26">
        <f t="shared" si="26"/>
        <v>2.093767041359023</v>
      </c>
      <c r="AG112" s="8">
        <f>IF(DASHBOARD!$Q$7&gt;'staging data'!X112,'staging data'!X112,DASHBOARD!$Q$7)</f>
        <v>9.4E-2</v>
      </c>
      <c r="AH112">
        <f>(100%+DASHBOARD!$Q$8)*'staging data'!T112</f>
        <v>590.30649999999991</v>
      </c>
      <c r="AI112">
        <f>(100%+DASHBOARD!$Q$9)*'staging data'!Y112</f>
        <v>18</v>
      </c>
    </row>
    <row r="113" spans="1:35" x14ac:dyDescent="0.3">
      <c r="A113" s="3" t="s">
        <v>534</v>
      </c>
      <c r="B113" s="28">
        <v>45099</v>
      </c>
      <c r="C113" s="28" t="str">
        <f t="shared" si="27"/>
        <v>Q2</v>
      </c>
      <c r="D113" s="28" t="str">
        <f t="shared" si="28"/>
        <v>2024</v>
      </c>
      <c r="E113" s="28" t="str">
        <f t="shared" si="29"/>
        <v>Jul</v>
      </c>
      <c r="F113" s="5">
        <v>45482</v>
      </c>
      <c r="G113" s="5">
        <f t="shared" si="17"/>
        <v>45512</v>
      </c>
      <c r="H113" s="5">
        <v>45512</v>
      </c>
      <c r="I113" s="5" t="str">
        <f t="shared" si="30"/>
        <v>Achieved</v>
      </c>
      <c r="J113" s="14">
        <f t="shared" si="31"/>
        <v>30</v>
      </c>
      <c r="K113" s="14">
        <f t="shared" si="18"/>
        <v>30</v>
      </c>
      <c r="L113" s="3" t="s">
        <v>648</v>
      </c>
      <c r="M113" s="3" t="s">
        <v>656</v>
      </c>
      <c r="N113" s="3" t="s">
        <v>672</v>
      </c>
      <c r="O113" s="3" t="s">
        <v>700</v>
      </c>
      <c r="P113" s="3" t="s">
        <v>710</v>
      </c>
      <c r="Q113" s="3" t="s">
        <v>712</v>
      </c>
      <c r="R113" s="3" t="s">
        <v>726</v>
      </c>
      <c r="S113" s="3" t="s">
        <v>1252</v>
      </c>
      <c r="T113" s="21">
        <v>1062.3800000000001</v>
      </c>
      <c r="U113" s="21" t="str">
        <f t="shared" si="32"/>
        <v>Medium</v>
      </c>
      <c r="V113">
        <f t="shared" si="19"/>
        <v>1503.96</v>
      </c>
      <c r="W113" s="7">
        <v>1503.96</v>
      </c>
      <c r="X113" s="8">
        <v>0.18</v>
      </c>
      <c r="Y113" s="14">
        <v>6</v>
      </c>
      <c r="Z113" s="7">
        <f t="shared" si="20"/>
        <v>270.71280000000002</v>
      </c>
      <c r="AA113" s="7">
        <f t="shared" si="21"/>
        <v>7399.4832000000006</v>
      </c>
      <c r="AB113" s="7">
        <f t="shared" si="22"/>
        <v>7128.7704000000003</v>
      </c>
      <c r="AC113" s="7">
        <f t="shared" si="23"/>
        <v>6374.2800000000007</v>
      </c>
      <c r="AD113" s="7">
        <f t="shared" si="24"/>
        <v>1025.2031999999999</v>
      </c>
      <c r="AE113" s="7">
        <f t="shared" si="25"/>
        <v>754.49039999999968</v>
      </c>
      <c r="AF113" s="26">
        <f t="shared" si="26"/>
        <v>1.1608343530563452</v>
      </c>
      <c r="AG113" s="8">
        <f>IF(DASHBOARD!$Q$7&gt;'staging data'!X113,'staging data'!X113,DASHBOARD!$Q$7)</f>
        <v>0.18</v>
      </c>
      <c r="AH113">
        <f>(100%+DASHBOARD!$Q$8)*'staging data'!T113</f>
        <v>1221.7370000000001</v>
      </c>
      <c r="AI113">
        <f>(100%+DASHBOARD!$Q$9)*'staging data'!Y113</f>
        <v>7.1999999999999993</v>
      </c>
    </row>
    <row r="114" spans="1:35" x14ac:dyDescent="0.3">
      <c r="A114" s="3" t="s">
        <v>532</v>
      </c>
      <c r="B114" s="28">
        <v>45100</v>
      </c>
      <c r="C114" s="28" t="str">
        <f t="shared" si="27"/>
        <v>Q2</v>
      </c>
      <c r="D114" s="28" t="str">
        <f t="shared" si="28"/>
        <v>2024</v>
      </c>
      <c r="E114" s="28" t="str">
        <f t="shared" si="29"/>
        <v>May</v>
      </c>
      <c r="F114" s="5">
        <v>45413</v>
      </c>
      <c r="G114" s="5">
        <f t="shared" si="17"/>
        <v>45438</v>
      </c>
      <c r="H114" s="5">
        <v>45438</v>
      </c>
      <c r="I114" s="5" t="str">
        <f t="shared" si="30"/>
        <v>Achieved</v>
      </c>
      <c r="J114" s="14">
        <f t="shared" si="31"/>
        <v>25</v>
      </c>
      <c r="K114" s="14">
        <f t="shared" si="18"/>
        <v>25</v>
      </c>
      <c r="L114" s="3" t="s">
        <v>648</v>
      </c>
      <c r="M114" s="3" t="s">
        <v>655</v>
      </c>
      <c r="N114" s="3" t="s">
        <v>670</v>
      </c>
      <c r="O114" s="3" t="s">
        <v>702</v>
      </c>
      <c r="P114" s="3" t="s">
        <v>706</v>
      </c>
      <c r="Q114" s="3" t="s">
        <v>716</v>
      </c>
      <c r="R114" s="3" t="s">
        <v>728</v>
      </c>
      <c r="S114" s="3" t="s">
        <v>1250</v>
      </c>
      <c r="T114" s="21">
        <v>930.71</v>
      </c>
      <c r="U114" s="21" t="str">
        <f t="shared" si="32"/>
        <v>Medium</v>
      </c>
      <c r="V114">
        <f t="shared" si="19"/>
        <v>1625.42</v>
      </c>
      <c r="W114" s="7">
        <v>1625.42</v>
      </c>
      <c r="X114" s="8">
        <v>0.13800000000000001</v>
      </c>
      <c r="Y114" s="14">
        <v>7</v>
      </c>
      <c r="Z114" s="7">
        <f t="shared" si="20"/>
        <v>224.30796000000004</v>
      </c>
      <c r="AA114" s="7">
        <f t="shared" si="21"/>
        <v>9807.7842799999999</v>
      </c>
      <c r="AB114" s="7">
        <f t="shared" si="22"/>
        <v>9583.4763199999998</v>
      </c>
      <c r="AC114" s="7">
        <f t="shared" si="23"/>
        <v>6514.97</v>
      </c>
      <c r="AD114" s="7">
        <f t="shared" si="24"/>
        <v>3292.8142799999996</v>
      </c>
      <c r="AE114" s="7">
        <f t="shared" si="25"/>
        <v>3068.5063199999995</v>
      </c>
      <c r="AF114" s="26">
        <f t="shared" si="26"/>
        <v>1.505422784755724</v>
      </c>
      <c r="AG114" s="8">
        <f>IF(DASHBOARD!$Q$7&gt;'staging data'!X114,'staging data'!X114,DASHBOARD!$Q$7)</f>
        <v>0.13800000000000001</v>
      </c>
      <c r="AH114">
        <f>(100%+DASHBOARD!$Q$8)*'staging data'!T114</f>
        <v>1070.3164999999999</v>
      </c>
      <c r="AI114">
        <f>(100%+DASHBOARD!$Q$9)*'staging data'!Y114</f>
        <v>8.4</v>
      </c>
    </row>
    <row r="115" spans="1:35" x14ac:dyDescent="0.3">
      <c r="A115" s="3" t="s">
        <v>533</v>
      </c>
      <c r="B115" s="28">
        <v>45100</v>
      </c>
      <c r="C115" s="28" t="str">
        <f t="shared" si="27"/>
        <v>Q2</v>
      </c>
      <c r="D115" s="28" t="str">
        <f t="shared" si="28"/>
        <v>2023</v>
      </c>
      <c r="E115" s="28" t="str">
        <f t="shared" si="29"/>
        <v>May</v>
      </c>
      <c r="F115" s="5">
        <v>45047</v>
      </c>
      <c r="G115" s="5">
        <f t="shared" si="17"/>
        <v>45064</v>
      </c>
      <c r="H115" s="5">
        <v>45064</v>
      </c>
      <c r="I115" s="5" t="str">
        <f t="shared" si="30"/>
        <v>Achieved</v>
      </c>
      <c r="J115" s="14">
        <f t="shared" si="31"/>
        <v>17</v>
      </c>
      <c r="K115" s="14">
        <f t="shared" si="18"/>
        <v>17</v>
      </c>
      <c r="L115" s="3" t="s">
        <v>645</v>
      </c>
      <c r="M115" s="3" t="s">
        <v>650</v>
      </c>
      <c r="N115" s="3" t="s">
        <v>662</v>
      </c>
      <c r="O115" s="3" t="s">
        <v>700</v>
      </c>
      <c r="P115" s="3" t="s">
        <v>710</v>
      </c>
      <c r="Q115" s="3" t="s">
        <v>720</v>
      </c>
      <c r="R115" s="3" t="s">
        <v>726</v>
      </c>
      <c r="S115" s="3" t="s">
        <v>1251</v>
      </c>
      <c r="T115" s="21">
        <v>327.97</v>
      </c>
      <c r="U115" s="21" t="str">
        <f t="shared" si="32"/>
        <v>Low</v>
      </c>
      <c r="V115">
        <f t="shared" si="19"/>
        <v>299.94</v>
      </c>
      <c r="W115" s="7">
        <v>299.94</v>
      </c>
      <c r="X115" s="8">
        <v>4.9000000000000002E-2</v>
      </c>
      <c r="Y115" s="14">
        <v>3</v>
      </c>
      <c r="Z115" s="7">
        <f t="shared" si="20"/>
        <v>14.69706</v>
      </c>
      <c r="AA115" s="7">
        <f t="shared" si="21"/>
        <v>855.72881999999993</v>
      </c>
      <c r="AB115" s="7">
        <f t="shared" si="22"/>
        <v>841.03175999999996</v>
      </c>
      <c r="AC115" s="7">
        <f t="shared" si="23"/>
        <v>983.91000000000008</v>
      </c>
      <c r="AD115" s="7">
        <f t="shared" si="24"/>
        <v>-128.18118000000015</v>
      </c>
      <c r="AE115" s="7">
        <f t="shared" si="25"/>
        <v>-142.87824000000012</v>
      </c>
      <c r="AF115" s="26">
        <f t="shared" si="26"/>
        <v>0.86972265756014255</v>
      </c>
      <c r="AG115" s="8">
        <f>IF(DASHBOARD!$Q$7&gt;'staging data'!X115,'staging data'!X115,DASHBOARD!$Q$7)</f>
        <v>4.9000000000000002E-2</v>
      </c>
      <c r="AH115">
        <f>(100%+DASHBOARD!$Q$8)*'staging data'!T115</f>
        <v>377.16550000000001</v>
      </c>
      <c r="AI115">
        <f>(100%+DASHBOARD!$Q$9)*'staging data'!Y115</f>
        <v>3.5999999999999996</v>
      </c>
    </row>
    <row r="116" spans="1:35" x14ac:dyDescent="0.3">
      <c r="A116" s="3" t="s">
        <v>529</v>
      </c>
      <c r="B116" s="28">
        <v>45101</v>
      </c>
      <c r="C116" s="28" t="str">
        <f t="shared" si="27"/>
        <v>Q2</v>
      </c>
      <c r="D116" s="28" t="str">
        <f t="shared" si="28"/>
        <v>2025</v>
      </c>
      <c r="E116" s="28" t="str">
        <f t="shared" si="29"/>
        <v>Aug</v>
      </c>
      <c r="F116" s="5">
        <v>45874</v>
      </c>
      <c r="G116" s="5">
        <f t="shared" si="17"/>
        <v>45897</v>
      </c>
      <c r="H116" s="5">
        <v>45897</v>
      </c>
      <c r="I116" s="5" t="str">
        <f t="shared" si="30"/>
        <v>Achieved</v>
      </c>
      <c r="J116" s="14">
        <f t="shared" si="31"/>
        <v>23</v>
      </c>
      <c r="K116" s="14">
        <f t="shared" si="18"/>
        <v>23</v>
      </c>
      <c r="L116" s="3" t="s">
        <v>646</v>
      </c>
      <c r="M116" s="3" t="s">
        <v>653</v>
      </c>
      <c r="N116" s="3" t="s">
        <v>690</v>
      </c>
      <c r="O116" s="3" t="s">
        <v>702</v>
      </c>
      <c r="P116" s="3" t="s">
        <v>709</v>
      </c>
      <c r="Q116" s="3" t="s">
        <v>724</v>
      </c>
      <c r="R116" s="3" t="s">
        <v>730</v>
      </c>
      <c r="S116" s="3" t="s">
        <v>1247</v>
      </c>
      <c r="T116" s="21">
        <v>638.54</v>
      </c>
      <c r="U116" s="21" t="str">
        <f t="shared" si="32"/>
        <v>Medium</v>
      </c>
      <c r="V116">
        <f t="shared" si="19"/>
        <v>987.24</v>
      </c>
      <c r="W116" s="7">
        <v>987.24</v>
      </c>
      <c r="X116" s="8">
        <v>0</v>
      </c>
      <c r="Y116" s="14">
        <v>11</v>
      </c>
      <c r="Z116" s="7">
        <f t="shared" si="20"/>
        <v>0</v>
      </c>
      <c r="AA116" s="7">
        <f t="shared" si="21"/>
        <v>10859.64</v>
      </c>
      <c r="AB116" s="7">
        <f t="shared" si="22"/>
        <v>10859.64</v>
      </c>
      <c r="AC116" s="7">
        <f t="shared" si="23"/>
        <v>7023.94</v>
      </c>
      <c r="AD116" s="7">
        <f t="shared" si="24"/>
        <v>3835.7</v>
      </c>
      <c r="AE116" s="7">
        <f t="shared" si="25"/>
        <v>3835.7</v>
      </c>
      <c r="AF116" s="26">
        <f t="shared" si="26"/>
        <v>1.5460895167099946</v>
      </c>
      <c r="AG116" s="8">
        <f>IF(DASHBOARD!$Q$7&gt;'staging data'!X116,'staging data'!X116,DASHBOARD!$Q$7)</f>
        <v>0</v>
      </c>
      <c r="AH116">
        <f>(100%+DASHBOARD!$Q$8)*'staging data'!T116</f>
        <v>734.32099999999991</v>
      </c>
      <c r="AI116">
        <f>(100%+DASHBOARD!$Q$9)*'staging data'!Y116</f>
        <v>13.2</v>
      </c>
    </row>
    <row r="117" spans="1:35" x14ac:dyDescent="0.3">
      <c r="A117" s="3" t="s">
        <v>530</v>
      </c>
      <c r="B117" s="28">
        <v>45101</v>
      </c>
      <c r="C117" s="28" t="str">
        <f t="shared" si="27"/>
        <v>Q2</v>
      </c>
      <c r="D117" s="28" t="str">
        <f t="shared" si="28"/>
        <v>2023</v>
      </c>
      <c r="E117" s="28" t="str">
        <f t="shared" si="29"/>
        <v>Sept</v>
      </c>
      <c r="F117" s="5">
        <v>45199</v>
      </c>
      <c r="G117" s="5">
        <f t="shared" si="17"/>
        <v>45229</v>
      </c>
      <c r="H117" s="5">
        <v>45229</v>
      </c>
      <c r="I117" s="5" t="str">
        <f t="shared" si="30"/>
        <v>Achieved</v>
      </c>
      <c r="J117" s="14">
        <f t="shared" si="31"/>
        <v>30</v>
      </c>
      <c r="K117" s="14">
        <f t="shared" si="18"/>
        <v>30</v>
      </c>
      <c r="L117" s="3" t="s">
        <v>646</v>
      </c>
      <c r="M117" s="3" t="s">
        <v>651</v>
      </c>
      <c r="N117" s="3" t="s">
        <v>688</v>
      </c>
      <c r="O117" s="3" t="s">
        <v>705</v>
      </c>
      <c r="P117" s="3" t="s">
        <v>707</v>
      </c>
      <c r="Q117" s="3" t="s">
        <v>725</v>
      </c>
      <c r="R117" s="3" t="s">
        <v>727</v>
      </c>
      <c r="S117" s="3" t="s">
        <v>1248</v>
      </c>
      <c r="T117" s="21">
        <v>649.13</v>
      </c>
      <c r="U117" s="21" t="str">
        <f t="shared" si="32"/>
        <v>Medium</v>
      </c>
      <c r="V117">
        <f t="shared" si="19"/>
        <v>975.43</v>
      </c>
      <c r="W117" s="7">
        <v>975.43</v>
      </c>
      <c r="X117" s="8">
        <v>0.157</v>
      </c>
      <c r="Y117" s="14">
        <v>27</v>
      </c>
      <c r="Z117" s="7">
        <f t="shared" si="20"/>
        <v>153.14250999999999</v>
      </c>
      <c r="AA117" s="7">
        <f t="shared" si="21"/>
        <v>22201.762229999997</v>
      </c>
      <c r="AB117" s="7">
        <f t="shared" si="22"/>
        <v>22048.619719999995</v>
      </c>
      <c r="AC117" s="7">
        <f t="shared" si="23"/>
        <v>17526.509999999998</v>
      </c>
      <c r="AD117" s="7">
        <f t="shared" si="24"/>
        <v>4675.2522299999982</v>
      </c>
      <c r="AE117" s="7">
        <f t="shared" si="25"/>
        <v>4522.1097199999967</v>
      </c>
      <c r="AF117" s="26">
        <f t="shared" si="26"/>
        <v>1.2667531773296565</v>
      </c>
      <c r="AG117" s="8">
        <f>IF(DASHBOARD!$Q$7&gt;'staging data'!X117,'staging data'!X117,DASHBOARD!$Q$7)</f>
        <v>0.157</v>
      </c>
      <c r="AH117">
        <f>(100%+DASHBOARD!$Q$8)*'staging data'!T117</f>
        <v>746.4994999999999</v>
      </c>
      <c r="AI117">
        <f>(100%+DASHBOARD!$Q$9)*'staging data'!Y117</f>
        <v>32.4</v>
      </c>
    </row>
    <row r="118" spans="1:35" x14ac:dyDescent="0.3">
      <c r="A118" s="3" t="s">
        <v>531</v>
      </c>
      <c r="B118" s="28">
        <v>45101</v>
      </c>
      <c r="C118" s="28" t="str">
        <f t="shared" si="27"/>
        <v>Q2</v>
      </c>
      <c r="D118" s="28" t="str">
        <f t="shared" si="28"/>
        <v>2025</v>
      </c>
      <c r="E118" s="28" t="str">
        <f t="shared" si="29"/>
        <v>May</v>
      </c>
      <c r="F118" s="5">
        <v>45794</v>
      </c>
      <c r="G118" s="5">
        <f t="shared" si="17"/>
        <v>45807</v>
      </c>
      <c r="H118" s="5">
        <v>45807</v>
      </c>
      <c r="I118" s="5" t="str">
        <f t="shared" si="30"/>
        <v>Achieved</v>
      </c>
      <c r="J118" s="14">
        <f t="shared" si="31"/>
        <v>13</v>
      </c>
      <c r="K118" s="14">
        <f t="shared" si="18"/>
        <v>13</v>
      </c>
      <c r="L118" s="3" t="s">
        <v>645</v>
      </c>
      <c r="M118" s="3" t="s">
        <v>650</v>
      </c>
      <c r="N118" s="3" t="s">
        <v>664</v>
      </c>
      <c r="O118" s="3" t="s">
        <v>703</v>
      </c>
      <c r="P118" s="3" t="s">
        <v>709</v>
      </c>
      <c r="Q118" s="3" t="s">
        <v>720</v>
      </c>
      <c r="R118" s="3" t="s">
        <v>732</v>
      </c>
      <c r="S118" s="3" t="s">
        <v>1249</v>
      </c>
      <c r="T118" s="21">
        <v>66.400000000000006</v>
      </c>
      <c r="U118" s="21" t="str">
        <f t="shared" si="32"/>
        <v>Low</v>
      </c>
      <c r="V118">
        <f t="shared" si="19"/>
        <v>141.43</v>
      </c>
      <c r="W118" s="7">
        <v>141.43</v>
      </c>
      <c r="X118" s="8">
        <v>0.107</v>
      </c>
      <c r="Y118" s="14">
        <v>8</v>
      </c>
      <c r="Z118" s="7">
        <f t="shared" si="20"/>
        <v>15.133010000000001</v>
      </c>
      <c r="AA118" s="7">
        <f t="shared" si="21"/>
        <v>1010.3759200000001</v>
      </c>
      <c r="AB118" s="7">
        <f t="shared" si="22"/>
        <v>995.24291000000005</v>
      </c>
      <c r="AC118" s="7">
        <f t="shared" si="23"/>
        <v>531.20000000000005</v>
      </c>
      <c r="AD118" s="7">
        <f t="shared" si="24"/>
        <v>479.17592000000002</v>
      </c>
      <c r="AE118" s="7">
        <f t="shared" si="25"/>
        <v>464.04291000000001</v>
      </c>
      <c r="AF118" s="26">
        <f t="shared" si="26"/>
        <v>1.9020631024096386</v>
      </c>
      <c r="AG118" s="8">
        <f>IF(DASHBOARD!$Q$7&gt;'staging data'!X118,'staging data'!X118,DASHBOARD!$Q$7)</f>
        <v>0.107</v>
      </c>
      <c r="AH118">
        <f>(100%+DASHBOARD!$Q$8)*'staging data'!T118</f>
        <v>76.36</v>
      </c>
      <c r="AI118">
        <f>(100%+DASHBOARD!$Q$9)*'staging data'!Y118</f>
        <v>9.6</v>
      </c>
    </row>
    <row r="119" spans="1:35" x14ac:dyDescent="0.3">
      <c r="A119" s="3" t="s">
        <v>528</v>
      </c>
      <c r="B119" s="28">
        <v>45106</v>
      </c>
      <c r="C119" s="28" t="str">
        <f t="shared" si="27"/>
        <v>Q2</v>
      </c>
      <c r="D119" s="28" t="str">
        <f t="shared" si="28"/>
        <v>2025</v>
      </c>
      <c r="E119" s="28" t="str">
        <f t="shared" si="29"/>
        <v>Jan</v>
      </c>
      <c r="F119" s="5">
        <v>45661</v>
      </c>
      <c r="G119" s="5">
        <f t="shared" si="17"/>
        <v>45662</v>
      </c>
      <c r="H119" s="5">
        <v>45662</v>
      </c>
      <c r="I119" s="5" t="str">
        <f t="shared" si="30"/>
        <v>Not achieved</v>
      </c>
      <c r="J119" s="14">
        <f t="shared" si="31"/>
        <v>1</v>
      </c>
      <c r="K119" s="14">
        <f t="shared" si="18"/>
        <v>1</v>
      </c>
      <c r="L119" s="3" t="s">
        <v>646</v>
      </c>
      <c r="M119" s="3" t="s">
        <v>653</v>
      </c>
      <c r="N119" s="3" t="s">
        <v>679</v>
      </c>
      <c r="O119" s="3" t="s">
        <v>701</v>
      </c>
      <c r="P119" s="3" t="s">
        <v>706</v>
      </c>
      <c r="Q119" s="3" t="s">
        <v>713</v>
      </c>
      <c r="R119" s="3" t="s">
        <v>726</v>
      </c>
      <c r="S119" s="3" t="s">
        <v>1246</v>
      </c>
      <c r="T119" s="21">
        <v>1428.33</v>
      </c>
      <c r="U119" s="21" t="str">
        <f t="shared" si="32"/>
        <v>High</v>
      </c>
      <c r="V119">
        <f t="shared" si="19"/>
        <v>3028.05</v>
      </c>
      <c r="W119" s="7">
        <v>3028.05</v>
      </c>
      <c r="X119" s="8">
        <v>0</v>
      </c>
      <c r="Y119" s="14">
        <v>11</v>
      </c>
      <c r="Z119" s="7">
        <f t="shared" si="20"/>
        <v>0</v>
      </c>
      <c r="AA119" s="7">
        <f t="shared" si="21"/>
        <v>33308.550000000003</v>
      </c>
      <c r="AB119" s="7">
        <f t="shared" si="22"/>
        <v>33308.550000000003</v>
      </c>
      <c r="AC119" s="7">
        <f t="shared" si="23"/>
        <v>15711.63</v>
      </c>
      <c r="AD119" s="7">
        <f t="shared" si="24"/>
        <v>17596.920000000006</v>
      </c>
      <c r="AE119" s="7">
        <f t="shared" si="25"/>
        <v>17596.920000000006</v>
      </c>
      <c r="AF119" s="26">
        <f t="shared" si="26"/>
        <v>2.1199932788641282</v>
      </c>
      <c r="AG119" s="8">
        <f>IF(DASHBOARD!$Q$7&gt;'staging data'!X119,'staging data'!X119,DASHBOARD!$Q$7)</f>
        <v>0</v>
      </c>
      <c r="AH119">
        <f>(100%+DASHBOARD!$Q$8)*'staging data'!T119</f>
        <v>1642.5794999999998</v>
      </c>
      <c r="AI119">
        <f>(100%+DASHBOARD!$Q$9)*'staging data'!Y119</f>
        <v>13.2</v>
      </c>
    </row>
    <row r="120" spans="1:35" x14ac:dyDescent="0.3">
      <c r="A120" s="3" t="s">
        <v>525</v>
      </c>
      <c r="B120" s="28">
        <v>45108</v>
      </c>
      <c r="C120" s="28" t="str">
        <f t="shared" si="27"/>
        <v>Q3</v>
      </c>
      <c r="D120" s="28" t="str">
        <f t="shared" si="28"/>
        <v>2024</v>
      </c>
      <c r="E120" s="28" t="str">
        <f t="shared" si="29"/>
        <v>Mar</v>
      </c>
      <c r="F120" s="5">
        <v>45353</v>
      </c>
      <c r="G120" s="5">
        <f t="shared" si="17"/>
        <v>45374</v>
      </c>
      <c r="H120" s="5">
        <v>45374</v>
      </c>
      <c r="I120" s="5" t="str">
        <f t="shared" si="30"/>
        <v>Achieved</v>
      </c>
      <c r="J120" s="14">
        <f t="shared" si="31"/>
        <v>21</v>
      </c>
      <c r="K120" s="14">
        <f t="shared" si="18"/>
        <v>21</v>
      </c>
      <c r="L120" s="3" t="s">
        <v>647</v>
      </c>
      <c r="M120" s="3" t="s">
        <v>659</v>
      </c>
      <c r="N120" s="3" t="s">
        <v>676</v>
      </c>
      <c r="O120" s="3" t="s">
        <v>704</v>
      </c>
      <c r="P120" s="3" t="s">
        <v>707</v>
      </c>
      <c r="Q120" s="3" t="s">
        <v>720</v>
      </c>
      <c r="R120" s="3" t="s">
        <v>726</v>
      </c>
      <c r="S120" s="3" t="s">
        <v>1243</v>
      </c>
      <c r="T120" s="21">
        <v>225.01</v>
      </c>
      <c r="U120" s="21" t="str">
        <f t="shared" si="32"/>
        <v>Low</v>
      </c>
      <c r="V120">
        <f t="shared" si="19"/>
        <v>333.48</v>
      </c>
      <c r="W120" s="7">
        <v>333.48</v>
      </c>
      <c r="X120" s="8">
        <v>0.11899999999999999</v>
      </c>
      <c r="Y120" s="14">
        <v>12</v>
      </c>
      <c r="Z120" s="7">
        <f t="shared" si="20"/>
        <v>39.68412</v>
      </c>
      <c r="AA120" s="7">
        <f t="shared" si="21"/>
        <v>3525.5505600000001</v>
      </c>
      <c r="AB120" s="7">
        <f t="shared" si="22"/>
        <v>3485.8664400000002</v>
      </c>
      <c r="AC120" s="7">
        <f t="shared" si="23"/>
        <v>2700.12</v>
      </c>
      <c r="AD120" s="7">
        <f t="shared" si="24"/>
        <v>825.43056000000024</v>
      </c>
      <c r="AE120" s="7">
        <f t="shared" si="25"/>
        <v>785.74644000000035</v>
      </c>
      <c r="AF120" s="26">
        <f t="shared" si="26"/>
        <v>1.305701435491756</v>
      </c>
      <c r="AG120" s="8">
        <f>IF(DASHBOARD!$Q$7&gt;'staging data'!X120,'staging data'!X120,DASHBOARD!$Q$7)</f>
        <v>0.11899999999999999</v>
      </c>
      <c r="AH120">
        <f>(100%+DASHBOARD!$Q$8)*'staging data'!T120</f>
        <v>258.76149999999996</v>
      </c>
      <c r="AI120">
        <f>(100%+DASHBOARD!$Q$9)*'staging data'!Y120</f>
        <v>14.399999999999999</v>
      </c>
    </row>
    <row r="121" spans="1:35" x14ac:dyDescent="0.3">
      <c r="A121" s="3" t="s">
        <v>526</v>
      </c>
      <c r="B121" s="28">
        <v>45108</v>
      </c>
      <c r="C121" s="28" t="str">
        <f t="shared" si="27"/>
        <v>Q3</v>
      </c>
      <c r="D121" s="28" t="str">
        <f t="shared" si="28"/>
        <v>2024</v>
      </c>
      <c r="E121" s="28" t="str">
        <f t="shared" si="29"/>
        <v>Oct</v>
      </c>
      <c r="F121" s="5">
        <v>45575</v>
      </c>
      <c r="G121" s="5">
        <f t="shared" si="17"/>
        <v>45576</v>
      </c>
      <c r="H121" s="5">
        <v>45576</v>
      </c>
      <c r="I121" s="5" t="str">
        <f t="shared" si="30"/>
        <v>Not achieved</v>
      </c>
      <c r="J121" s="14">
        <f t="shared" si="31"/>
        <v>1</v>
      </c>
      <c r="K121" s="14">
        <f t="shared" si="18"/>
        <v>1</v>
      </c>
      <c r="L121" s="3" t="s">
        <v>648</v>
      </c>
      <c r="M121" s="3" t="s">
        <v>657</v>
      </c>
      <c r="N121" s="3" t="s">
        <v>692</v>
      </c>
      <c r="O121" s="3" t="s">
        <v>702</v>
      </c>
      <c r="P121" s="3" t="s">
        <v>709</v>
      </c>
      <c r="Q121" s="3" t="s">
        <v>715</v>
      </c>
      <c r="R121" s="3" t="s">
        <v>726</v>
      </c>
      <c r="S121" s="3" t="s">
        <v>1244</v>
      </c>
      <c r="T121" s="21">
        <v>1389.46</v>
      </c>
      <c r="U121" s="21" t="str">
        <f t="shared" si="32"/>
        <v>Medium</v>
      </c>
      <c r="V121">
        <f t="shared" si="19"/>
        <v>1784.7</v>
      </c>
      <c r="W121" s="7">
        <v>1784.7</v>
      </c>
      <c r="X121" s="8">
        <v>0.14599999999999999</v>
      </c>
      <c r="Y121" s="14">
        <v>33</v>
      </c>
      <c r="Z121" s="7">
        <f t="shared" si="20"/>
        <v>260.56619999999998</v>
      </c>
      <c r="AA121" s="7">
        <f t="shared" si="21"/>
        <v>50296.415399999998</v>
      </c>
      <c r="AB121" s="7">
        <f t="shared" si="22"/>
        <v>50035.849199999997</v>
      </c>
      <c r="AC121" s="7">
        <f t="shared" si="23"/>
        <v>45852.18</v>
      </c>
      <c r="AD121" s="7">
        <f t="shared" si="24"/>
        <v>4444.2353999999978</v>
      </c>
      <c r="AE121" s="7">
        <f t="shared" si="25"/>
        <v>4183.6691999999966</v>
      </c>
      <c r="AF121" s="26">
        <f t="shared" si="26"/>
        <v>1.0969252803247305</v>
      </c>
      <c r="AG121" s="8">
        <f>IF(DASHBOARD!$Q$7&gt;'staging data'!X121,'staging data'!X121,DASHBOARD!$Q$7)</f>
        <v>0.14599999999999999</v>
      </c>
      <c r="AH121">
        <f>(100%+DASHBOARD!$Q$8)*'staging data'!T121</f>
        <v>1597.8789999999999</v>
      </c>
      <c r="AI121">
        <f>(100%+DASHBOARD!$Q$9)*'staging data'!Y121</f>
        <v>39.6</v>
      </c>
    </row>
    <row r="122" spans="1:35" x14ac:dyDescent="0.3">
      <c r="A122" s="3" t="s">
        <v>527</v>
      </c>
      <c r="B122" s="28">
        <v>45108</v>
      </c>
      <c r="C122" s="28" t="str">
        <f t="shared" si="27"/>
        <v>Q3</v>
      </c>
      <c r="D122" s="28" t="str">
        <f t="shared" si="28"/>
        <v>2023</v>
      </c>
      <c r="E122" s="28" t="str">
        <f t="shared" si="29"/>
        <v>Jun</v>
      </c>
      <c r="F122" s="5">
        <v>45078</v>
      </c>
      <c r="G122" s="5">
        <f t="shared" si="17"/>
        <v>45085</v>
      </c>
      <c r="H122" s="5">
        <v>45085</v>
      </c>
      <c r="I122" s="5" t="str">
        <f t="shared" si="30"/>
        <v>Achieved</v>
      </c>
      <c r="J122" s="14">
        <f t="shared" si="31"/>
        <v>7</v>
      </c>
      <c r="K122" s="14">
        <f t="shared" si="18"/>
        <v>7</v>
      </c>
      <c r="L122" s="3" t="s">
        <v>648</v>
      </c>
      <c r="M122" s="3" t="s">
        <v>655</v>
      </c>
      <c r="N122" s="3" t="s">
        <v>697</v>
      </c>
      <c r="O122" s="3" t="s">
        <v>703</v>
      </c>
      <c r="P122" s="3" t="s">
        <v>707</v>
      </c>
      <c r="Q122" s="3" t="s">
        <v>719</v>
      </c>
      <c r="R122" s="3" t="s">
        <v>729</v>
      </c>
      <c r="S122" s="3" t="s">
        <v>1245</v>
      </c>
      <c r="T122" s="21">
        <v>804.17</v>
      </c>
      <c r="U122" s="21" t="str">
        <f t="shared" si="32"/>
        <v>Medium</v>
      </c>
      <c r="V122">
        <f t="shared" si="19"/>
        <v>1072.29</v>
      </c>
      <c r="W122" s="7">
        <v>1072.29</v>
      </c>
      <c r="X122" s="8">
        <v>3.2000000000000001E-2</v>
      </c>
      <c r="Y122" s="14">
        <v>5</v>
      </c>
      <c r="Z122" s="7">
        <f t="shared" si="20"/>
        <v>34.313279999999999</v>
      </c>
      <c r="AA122" s="7">
        <f t="shared" si="21"/>
        <v>5189.8836000000001</v>
      </c>
      <c r="AB122" s="7">
        <f t="shared" si="22"/>
        <v>5155.5703199999998</v>
      </c>
      <c r="AC122" s="7">
        <f t="shared" si="23"/>
        <v>4020.85</v>
      </c>
      <c r="AD122" s="7">
        <f t="shared" si="24"/>
        <v>1169.0336000000002</v>
      </c>
      <c r="AE122" s="7">
        <f t="shared" si="25"/>
        <v>1134.7203199999999</v>
      </c>
      <c r="AF122" s="26">
        <f t="shared" si="26"/>
        <v>1.2907429026200927</v>
      </c>
      <c r="AG122" s="8">
        <f>IF(DASHBOARD!$Q$7&gt;'staging data'!X122,'staging data'!X122,DASHBOARD!$Q$7)</f>
        <v>3.2000000000000001E-2</v>
      </c>
      <c r="AH122">
        <f>(100%+DASHBOARD!$Q$8)*'staging data'!T122</f>
        <v>924.79549999999983</v>
      </c>
      <c r="AI122">
        <f>(100%+DASHBOARD!$Q$9)*'staging data'!Y122</f>
        <v>6</v>
      </c>
    </row>
    <row r="123" spans="1:35" x14ac:dyDescent="0.3">
      <c r="A123" s="3" t="s">
        <v>524</v>
      </c>
      <c r="B123" s="28">
        <v>45109</v>
      </c>
      <c r="C123" s="28" t="str">
        <f t="shared" si="27"/>
        <v>Q3</v>
      </c>
      <c r="D123" s="28" t="str">
        <f t="shared" si="28"/>
        <v>2023</v>
      </c>
      <c r="E123" s="28" t="str">
        <f t="shared" si="29"/>
        <v>May</v>
      </c>
      <c r="F123" s="5">
        <v>45056</v>
      </c>
      <c r="G123" s="5">
        <f t="shared" si="17"/>
        <v>45060</v>
      </c>
      <c r="H123" s="5">
        <v>45060</v>
      </c>
      <c r="I123" s="5" t="str">
        <f t="shared" si="30"/>
        <v>Not achieved</v>
      </c>
      <c r="J123" s="14">
        <f t="shared" si="31"/>
        <v>4</v>
      </c>
      <c r="K123" s="14">
        <f t="shared" si="18"/>
        <v>4</v>
      </c>
      <c r="L123" s="3" t="s">
        <v>646</v>
      </c>
      <c r="M123" s="3" t="s">
        <v>653</v>
      </c>
      <c r="N123" s="3" t="s">
        <v>679</v>
      </c>
      <c r="O123" s="3" t="s">
        <v>702</v>
      </c>
      <c r="P123" s="3" t="s">
        <v>709</v>
      </c>
      <c r="Q123" s="3" t="s">
        <v>711</v>
      </c>
      <c r="R123" s="3" t="s">
        <v>731</v>
      </c>
      <c r="S123" s="3" t="s">
        <v>1242</v>
      </c>
      <c r="T123" s="21">
        <v>622.6</v>
      </c>
      <c r="U123" s="21" t="str">
        <f t="shared" si="32"/>
        <v>Medium</v>
      </c>
      <c r="V123">
        <f t="shared" si="19"/>
        <v>833.69</v>
      </c>
      <c r="W123" s="7">
        <v>833.69</v>
      </c>
      <c r="X123" s="8">
        <v>0.20899999999999999</v>
      </c>
      <c r="Y123" s="14">
        <v>14</v>
      </c>
      <c r="Z123" s="7">
        <f t="shared" si="20"/>
        <v>174.24121</v>
      </c>
      <c r="AA123" s="7">
        <f t="shared" si="21"/>
        <v>9232.2830599999998</v>
      </c>
      <c r="AB123" s="7">
        <f t="shared" si="22"/>
        <v>9058.0418499999996</v>
      </c>
      <c r="AC123" s="7">
        <f t="shared" si="23"/>
        <v>8716.4</v>
      </c>
      <c r="AD123" s="7">
        <f t="shared" si="24"/>
        <v>515.88306000000011</v>
      </c>
      <c r="AE123" s="7">
        <f t="shared" si="25"/>
        <v>341.64184999999998</v>
      </c>
      <c r="AF123" s="26">
        <f t="shared" si="26"/>
        <v>1.0591853356890459</v>
      </c>
      <c r="AG123" s="8">
        <f>IF(DASHBOARD!$Q$7&gt;'staging data'!X123,'staging data'!X123,DASHBOARD!$Q$7)</f>
        <v>0.2</v>
      </c>
      <c r="AH123">
        <f>(100%+DASHBOARD!$Q$8)*'staging data'!T123</f>
        <v>715.99</v>
      </c>
      <c r="AI123">
        <f>(100%+DASHBOARD!$Q$9)*'staging data'!Y123</f>
        <v>16.8</v>
      </c>
    </row>
    <row r="124" spans="1:35" x14ac:dyDescent="0.3">
      <c r="A124" s="3" t="s">
        <v>523</v>
      </c>
      <c r="B124" s="28">
        <v>45110</v>
      </c>
      <c r="C124" s="28" t="str">
        <f t="shared" si="27"/>
        <v>Q3</v>
      </c>
      <c r="D124" s="28" t="str">
        <f t="shared" si="28"/>
        <v>2024</v>
      </c>
      <c r="E124" s="28" t="str">
        <f t="shared" si="29"/>
        <v>Nov</v>
      </c>
      <c r="F124" s="5">
        <v>45608</v>
      </c>
      <c r="G124" s="5">
        <f t="shared" si="17"/>
        <v>45617</v>
      </c>
      <c r="H124" s="5">
        <v>45617</v>
      </c>
      <c r="I124" s="5" t="str">
        <f t="shared" si="30"/>
        <v>Achieved</v>
      </c>
      <c r="J124" s="14">
        <f t="shared" si="31"/>
        <v>9</v>
      </c>
      <c r="K124" s="14">
        <f t="shared" si="18"/>
        <v>9</v>
      </c>
      <c r="L124" s="3" t="s">
        <v>646</v>
      </c>
      <c r="M124" s="3" t="s">
        <v>653</v>
      </c>
      <c r="N124" s="3" t="s">
        <v>690</v>
      </c>
      <c r="O124" s="3" t="s">
        <v>700</v>
      </c>
      <c r="P124" s="3" t="s">
        <v>710</v>
      </c>
      <c r="Q124" s="3" t="s">
        <v>721</v>
      </c>
      <c r="R124" s="3" t="s">
        <v>730</v>
      </c>
      <c r="S124" s="3" t="s">
        <v>1241</v>
      </c>
      <c r="T124" s="21">
        <v>903.41</v>
      </c>
      <c r="U124" s="21" t="str">
        <f t="shared" si="32"/>
        <v>Medium</v>
      </c>
      <c r="V124">
        <f t="shared" si="19"/>
        <v>1860.41</v>
      </c>
      <c r="W124" s="7">
        <v>1860.41</v>
      </c>
      <c r="X124" s="8">
        <v>0.108</v>
      </c>
      <c r="Y124" s="14">
        <v>5</v>
      </c>
      <c r="Z124" s="7">
        <f t="shared" si="20"/>
        <v>200.92428000000001</v>
      </c>
      <c r="AA124" s="7">
        <f t="shared" si="21"/>
        <v>8297.4286000000011</v>
      </c>
      <c r="AB124" s="7">
        <f t="shared" si="22"/>
        <v>8096.5043200000009</v>
      </c>
      <c r="AC124" s="7">
        <f t="shared" si="23"/>
        <v>4517.05</v>
      </c>
      <c r="AD124" s="7">
        <f t="shared" si="24"/>
        <v>3780.3786000000009</v>
      </c>
      <c r="AE124" s="7">
        <f t="shared" si="25"/>
        <v>3579.4543200000007</v>
      </c>
      <c r="AF124" s="26">
        <f t="shared" si="26"/>
        <v>1.8369131623515349</v>
      </c>
      <c r="AG124" s="8">
        <f>IF(DASHBOARD!$Q$7&gt;'staging data'!X124,'staging data'!X124,DASHBOARD!$Q$7)</f>
        <v>0.108</v>
      </c>
      <c r="AH124">
        <f>(100%+DASHBOARD!$Q$8)*'staging data'!T124</f>
        <v>1038.9214999999999</v>
      </c>
      <c r="AI124">
        <f>(100%+DASHBOARD!$Q$9)*'staging data'!Y124</f>
        <v>6</v>
      </c>
    </row>
    <row r="125" spans="1:35" x14ac:dyDescent="0.3">
      <c r="A125" s="3" t="s">
        <v>522</v>
      </c>
      <c r="B125" s="28">
        <v>45112</v>
      </c>
      <c r="C125" s="28" t="str">
        <f t="shared" si="27"/>
        <v>Q3</v>
      </c>
      <c r="D125" s="28" t="str">
        <f t="shared" si="28"/>
        <v>2023</v>
      </c>
      <c r="E125" s="28" t="str">
        <f t="shared" si="29"/>
        <v>Apr</v>
      </c>
      <c r="F125" s="5">
        <v>45029</v>
      </c>
      <c r="G125" s="5">
        <f t="shared" si="17"/>
        <v>45036</v>
      </c>
      <c r="H125" s="5">
        <v>45036</v>
      </c>
      <c r="I125" s="5" t="str">
        <f t="shared" si="30"/>
        <v>Achieved</v>
      </c>
      <c r="J125" s="14">
        <f t="shared" si="31"/>
        <v>7</v>
      </c>
      <c r="K125" s="14">
        <f t="shared" si="18"/>
        <v>7</v>
      </c>
      <c r="L125" s="3" t="s">
        <v>648</v>
      </c>
      <c r="M125" s="3" t="s">
        <v>656</v>
      </c>
      <c r="N125" s="3" t="s">
        <v>678</v>
      </c>
      <c r="O125" s="3" t="s">
        <v>704</v>
      </c>
      <c r="P125" s="3" t="s">
        <v>707</v>
      </c>
      <c r="Q125" s="3" t="s">
        <v>719</v>
      </c>
      <c r="R125" s="3" t="s">
        <v>730</v>
      </c>
      <c r="S125" s="3" t="s">
        <v>1240</v>
      </c>
      <c r="T125" s="21">
        <v>227.02</v>
      </c>
      <c r="U125" s="21" t="str">
        <f t="shared" si="32"/>
        <v>Low</v>
      </c>
      <c r="V125">
        <f t="shared" si="19"/>
        <v>434.72</v>
      </c>
      <c r="W125" s="7">
        <v>434.72</v>
      </c>
      <c r="X125" s="8">
        <v>9.8000000000000004E-2</v>
      </c>
      <c r="Y125" s="14">
        <v>10</v>
      </c>
      <c r="Z125" s="7">
        <f t="shared" si="20"/>
        <v>42.602560000000004</v>
      </c>
      <c r="AA125" s="7">
        <f t="shared" si="21"/>
        <v>3921.1744000000008</v>
      </c>
      <c r="AB125" s="7">
        <f t="shared" si="22"/>
        <v>3878.571840000001</v>
      </c>
      <c r="AC125" s="7">
        <f t="shared" si="23"/>
        <v>2270.2000000000003</v>
      </c>
      <c r="AD125" s="7">
        <f t="shared" si="24"/>
        <v>1650.9744000000005</v>
      </c>
      <c r="AE125" s="7">
        <f t="shared" si="25"/>
        <v>1608.3718400000007</v>
      </c>
      <c r="AF125" s="26">
        <f t="shared" si="26"/>
        <v>1.7272374240155053</v>
      </c>
      <c r="AG125" s="8">
        <f>IF(DASHBOARD!$Q$7&gt;'staging data'!X125,'staging data'!X125,DASHBOARD!$Q$7)</f>
        <v>9.8000000000000004E-2</v>
      </c>
      <c r="AH125">
        <f>(100%+DASHBOARD!$Q$8)*'staging data'!T125</f>
        <v>261.07299999999998</v>
      </c>
      <c r="AI125">
        <f>(100%+DASHBOARD!$Q$9)*'staging data'!Y125</f>
        <v>12</v>
      </c>
    </row>
    <row r="126" spans="1:35" x14ac:dyDescent="0.3">
      <c r="A126" s="3" t="s">
        <v>521</v>
      </c>
      <c r="B126" s="28">
        <v>45114</v>
      </c>
      <c r="C126" s="28" t="str">
        <f t="shared" si="27"/>
        <v>Q3</v>
      </c>
      <c r="D126" s="28" t="str">
        <f t="shared" si="28"/>
        <v>2024</v>
      </c>
      <c r="E126" s="28" t="str">
        <f t="shared" si="29"/>
        <v>Oct</v>
      </c>
      <c r="F126" s="5">
        <v>45589</v>
      </c>
      <c r="G126" s="5">
        <f t="shared" si="17"/>
        <v>45593</v>
      </c>
      <c r="H126" s="5">
        <v>45593</v>
      </c>
      <c r="I126" s="5" t="str">
        <f t="shared" si="30"/>
        <v>Not achieved</v>
      </c>
      <c r="J126" s="14">
        <f t="shared" si="31"/>
        <v>4</v>
      </c>
      <c r="K126" s="14">
        <f t="shared" si="18"/>
        <v>4</v>
      </c>
      <c r="L126" s="3" t="s">
        <v>646</v>
      </c>
      <c r="M126" s="3" t="s">
        <v>658</v>
      </c>
      <c r="N126" s="3" t="s">
        <v>684</v>
      </c>
      <c r="O126" s="3" t="s">
        <v>704</v>
      </c>
      <c r="P126" s="3" t="s">
        <v>709</v>
      </c>
      <c r="Q126" s="3" t="s">
        <v>713</v>
      </c>
      <c r="R126" s="3" t="s">
        <v>728</v>
      </c>
      <c r="S126" s="3" t="s">
        <v>1239</v>
      </c>
      <c r="T126" s="21">
        <v>1331.77</v>
      </c>
      <c r="U126" s="21" t="str">
        <f t="shared" si="32"/>
        <v>High</v>
      </c>
      <c r="V126">
        <f t="shared" si="19"/>
        <v>2606.11</v>
      </c>
      <c r="W126" s="7">
        <v>2606.11</v>
      </c>
      <c r="X126" s="8">
        <v>0.02</v>
      </c>
      <c r="Y126" s="14">
        <v>6</v>
      </c>
      <c r="Z126" s="7">
        <f t="shared" si="20"/>
        <v>52.122200000000007</v>
      </c>
      <c r="AA126" s="7">
        <f t="shared" si="21"/>
        <v>15323.926799999999</v>
      </c>
      <c r="AB126" s="7">
        <f t="shared" si="22"/>
        <v>15271.804599999999</v>
      </c>
      <c r="AC126" s="7">
        <f t="shared" si="23"/>
        <v>7990.62</v>
      </c>
      <c r="AD126" s="7">
        <f t="shared" si="24"/>
        <v>7333.3067999999994</v>
      </c>
      <c r="AE126" s="7">
        <f t="shared" si="25"/>
        <v>7281.1845999999996</v>
      </c>
      <c r="AF126" s="26">
        <f t="shared" si="26"/>
        <v>1.9177393994458503</v>
      </c>
      <c r="AG126" s="8">
        <f>IF(DASHBOARD!$Q$7&gt;'staging data'!X126,'staging data'!X126,DASHBOARD!$Q$7)</f>
        <v>0.02</v>
      </c>
      <c r="AH126">
        <f>(100%+DASHBOARD!$Q$8)*'staging data'!T126</f>
        <v>1531.5355</v>
      </c>
      <c r="AI126">
        <f>(100%+DASHBOARD!$Q$9)*'staging data'!Y126</f>
        <v>7.1999999999999993</v>
      </c>
    </row>
    <row r="127" spans="1:35" x14ac:dyDescent="0.3">
      <c r="A127" s="3" t="s">
        <v>520</v>
      </c>
      <c r="B127" s="28">
        <v>45115</v>
      </c>
      <c r="C127" s="28" t="str">
        <f t="shared" si="27"/>
        <v>Q3</v>
      </c>
      <c r="D127" s="28" t="str">
        <f t="shared" si="28"/>
        <v>2025</v>
      </c>
      <c r="E127" s="28" t="str">
        <f t="shared" si="29"/>
        <v>Apr</v>
      </c>
      <c r="F127" s="5">
        <v>45774</v>
      </c>
      <c r="G127" s="5">
        <f t="shared" si="17"/>
        <v>45794</v>
      </c>
      <c r="H127" s="5">
        <v>45794</v>
      </c>
      <c r="I127" s="5" t="str">
        <f t="shared" si="30"/>
        <v>Achieved</v>
      </c>
      <c r="J127" s="14">
        <f t="shared" si="31"/>
        <v>20</v>
      </c>
      <c r="K127" s="14">
        <f t="shared" si="18"/>
        <v>20</v>
      </c>
      <c r="L127" s="3" t="s">
        <v>647</v>
      </c>
      <c r="M127" s="3" t="s">
        <v>659</v>
      </c>
      <c r="N127" s="3" t="s">
        <v>696</v>
      </c>
      <c r="O127" s="3" t="s">
        <v>700</v>
      </c>
      <c r="P127" s="3" t="s">
        <v>710</v>
      </c>
      <c r="Q127" s="3" t="s">
        <v>724</v>
      </c>
      <c r="R127" s="3" t="s">
        <v>729</v>
      </c>
      <c r="S127" s="3" t="s">
        <v>1238</v>
      </c>
      <c r="T127" s="21">
        <v>932.26</v>
      </c>
      <c r="U127" s="21" t="str">
        <f t="shared" si="32"/>
        <v>Medium</v>
      </c>
      <c r="V127">
        <f t="shared" si="19"/>
        <v>1624.67</v>
      </c>
      <c r="W127" s="7">
        <v>1624.67</v>
      </c>
      <c r="X127" s="8">
        <v>0.23499999999999999</v>
      </c>
      <c r="Y127" s="14">
        <v>28</v>
      </c>
      <c r="Z127" s="7">
        <f t="shared" si="20"/>
        <v>381.79744999999997</v>
      </c>
      <c r="AA127" s="7">
        <f t="shared" si="21"/>
        <v>34800.431400000001</v>
      </c>
      <c r="AB127" s="7">
        <f t="shared" si="22"/>
        <v>34418.633950000003</v>
      </c>
      <c r="AC127" s="7">
        <f t="shared" si="23"/>
        <v>26103.279999999999</v>
      </c>
      <c r="AD127" s="7">
        <f t="shared" si="24"/>
        <v>8697.1514000000025</v>
      </c>
      <c r="AE127" s="7">
        <f t="shared" si="25"/>
        <v>8315.3539500000043</v>
      </c>
      <c r="AF127" s="26">
        <f t="shared" si="26"/>
        <v>1.333182320382726</v>
      </c>
      <c r="AG127" s="8">
        <f>IF(DASHBOARD!$Q$7&gt;'staging data'!X127,'staging data'!X127,DASHBOARD!$Q$7)</f>
        <v>0.2</v>
      </c>
      <c r="AH127">
        <f>(100%+DASHBOARD!$Q$8)*'staging data'!T127</f>
        <v>1072.0989999999999</v>
      </c>
      <c r="AI127">
        <f>(100%+DASHBOARD!$Q$9)*'staging data'!Y127</f>
        <v>33.6</v>
      </c>
    </row>
    <row r="128" spans="1:35" x14ac:dyDescent="0.3">
      <c r="A128" s="3" t="s">
        <v>519</v>
      </c>
      <c r="B128" s="28">
        <v>45116</v>
      </c>
      <c r="C128" s="28" t="str">
        <f t="shared" si="27"/>
        <v>Q3</v>
      </c>
      <c r="D128" s="28" t="str">
        <f t="shared" si="28"/>
        <v>2024</v>
      </c>
      <c r="E128" s="28" t="str">
        <f t="shared" si="29"/>
        <v>Apr</v>
      </c>
      <c r="F128" s="5">
        <v>45387</v>
      </c>
      <c r="G128" s="5">
        <f t="shared" si="17"/>
        <v>45391</v>
      </c>
      <c r="H128" s="5">
        <v>45391</v>
      </c>
      <c r="I128" s="5" t="str">
        <f t="shared" si="30"/>
        <v>Not achieved</v>
      </c>
      <c r="J128" s="14">
        <f t="shared" si="31"/>
        <v>4</v>
      </c>
      <c r="K128" s="14">
        <f t="shared" si="18"/>
        <v>4</v>
      </c>
      <c r="L128" s="3" t="s">
        <v>645</v>
      </c>
      <c r="M128" s="3" t="s">
        <v>650</v>
      </c>
      <c r="N128" s="3" t="s">
        <v>664</v>
      </c>
      <c r="O128" s="3" t="s">
        <v>702</v>
      </c>
      <c r="P128" s="3" t="s">
        <v>710</v>
      </c>
      <c r="Q128" s="3" t="s">
        <v>722</v>
      </c>
      <c r="R128" s="3" t="s">
        <v>726</v>
      </c>
      <c r="S128" s="3" t="s">
        <v>1237</v>
      </c>
      <c r="T128" s="21">
        <v>395.07</v>
      </c>
      <c r="U128" s="21" t="str">
        <f t="shared" si="32"/>
        <v>Medium</v>
      </c>
      <c r="V128">
        <f t="shared" si="19"/>
        <v>970.27</v>
      </c>
      <c r="W128" s="7">
        <v>970.27</v>
      </c>
      <c r="X128" s="8">
        <v>0.123</v>
      </c>
      <c r="Y128" s="14">
        <v>38</v>
      </c>
      <c r="Z128" s="7">
        <f t="shared" si="20"/>
        <v>119.34321</v>
      </c>
      <c r="AA128" s="7">
        <f t="shared" si="21"/>
        <v>32335.21802</v>
      </c>
      <c r="AB128" s="7">
        <f t="shared" si="22"/>
        <v>32215.874810000001</v>
      </c>
      <c r="AC128" s="7">
        <f t="shared" si="23"/>
        <v>15012.66</v>
      </c>
      <c r="AD128" s="7">
        <f t="shared" si="24"/>
        <v>17322.55802</v>
      </c>
      <c r="AE128" s="7">
        <f t="shared" si="25"/>
        <v>17203.214810000001</v>
      </c>
      <c r="AF128" s="26">
        <f t="shared" si="26"/>
        <v>2.1538633406738046</v>
      </c>
      <c r="AG128" s="8">
        <f>IF(DASHBOARD!$Q$7&gt;'staging data'!X128,'staging data'!X128,DASHBOARD!$Q$7)</f>
        <v>0.123</v>
      </c>
      <c r="AH128">
        <f>(100%+DASHBOARD!$Q$8)*'staging data'!T128</f>
        <v>454.33049999999997</v>
      </c>
      <c r="AI128">
        <f>(100%+DASHBOARD!$Q$9)*'staging data'!Y128</f>
        <v>45.6</v>
      </c>
    </row>
    <row r="129" spans="1:35" x14ac:dyDescent="0.3">
      <c r="A129" s="3" t="s">
        <v>518</v>
      </c>
      <c r="B129" s="28">
        <v>45117</v>
      </c>
      <c r="C129" s="28" t="str">
        <f t="shared" si="27"/>
        <v>Q3</v>
      </c>
      <c r="D129" s="28" t="str">
        <f t="shared" si="28"/>
        <v>2025</v>
      </c>
      <c r="E129" s="28" t="str">
        <f t="shared" si="29"/>
        <v>Mar</v>
      </c>
      <c r="F129" s="5">
        <v>45726</v>
      </c>
      <c r="G129" s="5">
        <f t="shared" si="17"/>
        <v>45743</v>
      </c>
      <c r="H129" s="5">
        <v>45743</v>
      </c>
      <c r="I129" s="5" t="str">
        <f t="shared" si="30"/>
        <v>Achieved</v>
      </c>
      <c r="J129" s="14">
        <f t="shared" si="31"/>
        <v>17</v>
      </c>
      <c r="K129" s="14">
        <f t="shared" si="18"/>
        <v>17</v>
      </c>
      <c r="L129" s="3" t="s">
        <v>647</v>
      </c>
      <c r="M129" s="3" t="s">
        <v>654</v>
      </c>
      <c r="N129" s="3" t="s">
        <v>691</v>
      </c>
      <c r="O129" s="3" t="s">
        <v>705</v>
      </c>
      <c r="P129" s="3" t="s">
        <v>710</v>
      </c>
      <c r="Q129" s="3" t="s">
        <v>720</v>
      </c>
      <c r="R129" s="3" t="s">
        <v>728</v>
      </c>
      <c r="S129" s="3" t="s">
        <v>1236</v>
      </c>
      <c r="T129" s="21">
        <v>996.73</v>
      </c>
      <c r="U129" s="21" t="str">
        <f t="shared" si="32"/>
        <v>Medium</v>
      </c>
      <c r="V129">
        <f t="shared" si="19"/>
        <v>1217.43</v>
      </c>
      <c r="W129" s="7">
        <v>1217.43</v>
      </c>
      <c r="X129" s="8">
        <v>7.0000000000000007E-2</v>
      </c>
      <c r="Y129" s="14">
        <v>9</v>
      </c>
      <c r="Z129" s="7">
        <f t="shared" si="20"/>
        <v>85.220100000000016</v>
      </c>
      <c r="AA129" s="7">
        <f t="shared" si="21"/>
        <v>10189.8891</v>
      </c>
      <c r="AB129" s="7">
        <f t="shared" si="22"/>
        <v>10104.669</v>
      </c>
      <c r="AC129" s="7">
        <f t="shared" si="23"/>
        <v>8970.57</v>
      </c>
      <c r="AD129" s="7">
        <f t="shared" si="24"/>
        <v>1219.3191000000006</v>
      </c>
      <c r="AE129" s="7">
        <f t="shared" si="25"/>
        <v>1134.0990000000002</v>
      </c>
      <c r="AF129" s="26">
        <f t="shared" si="26"/>
        <v>1.1359243726987249</v>
      </c>
      <c r="AG129" s="8">
        <f>IF(DASHBOARD!$Q$7&gt;'staging data'!X129,'staging data'!X129,DASHBOARD!$Q$7)</f>
        <v>7.0000000000000007E-2</v>
      </c>
      <c r="AH129">
        <f>(100%+DASHBOARD!$Q$8)*'staging data'!T129</f>
        <v>1146.2394999999999</v>
      </c>
      <c r="AI129">
        <f>(100%+DASHBOARD!$Q$9)*'staging data'!Y129</f>
        <v>10.799999999999999</v>
      </c>
    </row>
    <row r="130" spans="1:35" x14ac:dyDescent="0.3">
      <c r="A130" s="3" t="s">
        <v>516</v>
      </c>
      <c r="B130" s="28">
        <v>45121</v>
      </c>
      <c r="C130" s="28" t="str">
        <f t="shared" si="27"/>
        <v>Q3</v>
      </c>
      <c r="D130" s="28" t="str">
        <f t="shared" si="28"/>
        <v>2023</v>
      </c>
      <c r="E130" s="28" t="str">
        <f t="shared" si="29"/>
        <v>Feb</v>
      </c>
      <c r="F130" s="5">
        <v>44980</v>
      </c>
      <c r="G130" s="5">
        <f t="shared" ref="G130:G193" si="33">IF(H130&gt;=F130, H130, (H130-K130))</f>
        <v>45003</v>
      </c>
      <c r="H130" s="5">
        <v>45003</v>
      </c>
      <c r="I130" s="5" t="str">
        <f t="shared" si="30"/>
        <v>Achieved</v>
      </c>
      <c r="J130" s="14">
        <f t="shared" si="31"/>
        <v>23</v>
      </c>
      <c r="K130" s="14">
        <f t="shared" ref="K130:K193" si="34">_xlfn.DAYS(H130,F130)</f>
        <v>23</v>
      </c>
      <c r="L130" s="3" t="s">
        <v>646</v>
      </c>
      <c r="M130" s="3" t="s">
        <v>658</v>
      </c>
      <c r="N130" s="3" t="s">
        <v>698</v>
      </c>
      <c r="O130" s="3" t="s">
        <v>701</v>
      </c>
      <c r="P130" s="3" t="s">
        <v>709</v>
      </c>
      <c r="Q130" s="3" t="s">
        <v>722</v>
      </c>
      <c r="R130" s="3" t="s">
        <v>727</v>
      </c>
      <c r="S130" s="3" t="s">
        <v>1234</v>
      </c>
      <c r="T130" s="21">
        <v>770.11</v>
      </c>
      <c r="U130" s="21" t="str">
        <f t="shared" si="32"/>
        <v>Medium</v>
      </c>
      <c r="V130">
        <f t="shared" ref="V130:V193" si="35">ABS(W130)</f>
        <v>1667.82</v>
      </c>
      <c r="W130" s="7">
        <v>1667.82</v>
      </c>
      <c r="X130" s="8">
        <v>6.9000000000000006E-2</v>
      </c>
      <c r="Y130" s="14">
        <v>7</v>
      </c>
      <c r="Z130" s="7">
        <f t="shared" ref="Z130:Z193" si="36">X130*V130</f>
        <v>115.07958000000001</v>
      </c>
      <c r="AA130" s="7">
        <f t="shared" ref="AA130:AA193" si="37">(V130*Y130)*(1-X130)</f>
        <v>10869.182940000001</v>
      </c>
      <c r="AB130" s="7">
        <f t="shared" ref="AB130:AB193" si="38">AA130-Z130</f>
        <v>10754.103360000001</v>
      </c>
      <c r="AC130" s="7">
        <f t="shared" ref="AC130:AC193" si="39">T130*Y130</f>
        <v>5390.77</v>
      </c>
      <c r="AD130" s="7">
        <f t="shared" ref="AD130:AD193" si="40">AA130-AC130</f>
        <v>5478.4129400000002</v>
      </c>
      <c r="AE130" s="7">
        <f t="shared" ref="AE130:AE193" si="41">AB130-AC130</f>
        <v>5363.3333600000005</v>
      </c>
      <c r="AF130" s="26">
        <f t="shared" ref="AF130:AF193" si="42">IF(AA130=0,0,AA130/AC130)</f>
        <v>2.0162579631481217</v>
      </c>
      <c r="AG130" s="8">
        <f>IF(DASHBOARD!$Q$7&gt;'staging data'!X130,'staging data'!X130,DASHBOARD!$Q$7)</f>
        <v>6.9000000000000006E-2</v>
      </c>
      <c r="AH130">
        <f>(100%+DASHBOARD!$Q$8)*'staging data'!T130</f>
        <v>885.62649999999996</v>
      </c>
      <c r="AI130">
        <f>(100%+DASHBOARD!$Q$9)*'staging data'!Y130</f>
        <v>8.4</v>
      </c>
    </row>
    <row r="131" spans="1:35" x14ac:dyDescent="0.3">
      <c r="A131" s="3" t="s">
        <v>517</v>
      </c>
      <c r="B131" s="28">
        <v>45121</v>
      </c>
      <c r="C131" s="28" t="str">
        <f t="shared" ref="C131:C194" si="43">"Q" &amp; ROUNDUP(MONTH(B131)/3,0)</f>
        <v>Q3</v>
      </c>
      <c r="D131" s="28" t="str">
        <f t="shared" ref="D131:D194" si="44">TEXT(F131,"YYYY")</f>
        <v>2025</v>
      </c>
      <c r="E131" s="28" t="str">
        <f t="shared" ref="E131:E194" si="45">TEXT(F131,"MMM")</f>
        <v>Mar</v>
      </c>
      <c r="F131" s="5">
        <v>45740</v>
      </c>
      <c r="G131" s="5">
        <f t="shared" si="33"/>
        <v>45741</v>
      </c>
      <c r="H131" s="5">
        <v>45741</v>
      </c>
      <c r="I131" s="5" t="str">
        <f t="shared" ref="I131:I194" si="46">IF(J131&gt;=7,"Achieved","Not achieved")</f>
        <v>Not achieved</v>
      </c>
      <c r="J131" s="14">
        <f t="shared" ref="J131:J194" si="47">_xlfn.DAYS(G131,F131)</f>
        <v>1</v>
      </c>
      <c r="K131" s="14">
        <f t="shared" si="34"/>
        <v>1</v>
      </c>
      <c r="L131" s="3" t="s">
        <v>646</v>
      </c>
      <c r="M131" s="3" t="s">
        <v>658</v>
      </c>
      <c r="N131" s="3" t="s">
        <v>698</v>
      </c>
      <c r="O131" s="3" t="s">
        <v>702</v>
      </c>
      <c r="P131" s="3" t="s">
        <v>707</v>
      </c>
      <c r="Q131" s="3" t="s">
        <v>714</v>
      </c>
      <c r="R131" s="3" t="s">
        <v>728</v>
      </c>
      <c r="S131" s="3" t="s">
        <v>1235</v>
      </c>
      <c r="T131" s="21">
        <v>1133.03</v>
      </c>
      <c r="U131" s="21" t="str">
        <f t="shared" si="32"/>
        <v>High</v>
      </c>
      <c r="V131">
        <f t="shared" si="35"/>
        <v>1921.51</v>
      </c>
      <c r="W131" s="7">
        <v>1921.51</v>
      </c>
      <c r="X131" s="8">
        <v>0.10100000000000001</v>
      </c>
      <c r="Y131" s="14">
        <v>5</v>
      </c>
      <c r="Z131" s="7">
        <f t="shared" si="36"/>
        <v>194.07251000000002</v>
      </c>
      <c r="AA131" s="7">
        <f t="shared" si="37"/>
        <v>8637.1874499999994</v>
      </c>
      <c r="AB131" s="7">
        <f t="shared" si="38"/>
        <v>8443.1149399999995</v>
      </c>
      <c r="AC131" s="7">
        <f t="shared" si="39"/>
        <v>5665.15</v>
      </c>
      <c r="AD131" s="7">
        <f t="shared" si="40"/>
        <v>2972.0374499999998</v>
      </c>
      <c r="AE131" s="7">
        <f t="shared" si="41"/>
        <v>2777.9649399999998</v>
      </c>
      <c r="AF131" s="26">
        <f t="shared" si="42"/>
        <v>1.5246176094189916</v>
      </c>
      <c r="AG131" s="8">
        <f>IF(DASHBOARD!$Q$7&gt;'staging data'!X131,'staging data'!X131,DASHBOARD!$Q$7)</f>
        <v>0.10100000000000001</v>
      </c>
      <c r="AH131">
        <f>(100%+DASHBOARD!$Q$8)*'staging data'!T131</f>
        <v>1302.9844999999998</v>
      </c>
      <c r="AI131">
        <f>(100%+DASHBOARD!$Q$9)*'staging data'!Y131</f>
        <v>6</v>
      </c>
    </row>
    <row r="132" spans="1:35" x14ac:dyDescent="0.3">
      <c r="A132" s="3" t="s">
        <v>515</v>
      </c>
      <c r="B132" s="28">
        <v>45123</v>
      </c>
      <c r="C132" s="28" t="str">
        <f t="shared" si="43"/>
        <v>Q3</v>
      </c>
      <c r="D132" s="28" t="str">
        <f t="shared" si="44"/>
        <v>2024</v>
      </c>
      <c r="E132" s="28" t="str">
        <f t="shared" si="45"/>
        <v>Apr</v>
      </c>
      <c r="F132" s="5">
        <v>45408</v>
      </c>
      <c r="G132" s="5">
        <f t="shared" si="33"/>
        <v>45408</v>
      </c>
      <c r="H132" s="5">
        <v>45406</v>
      </c>
      <c r="I132" s="5" t="str">
        <f t="shared" si="46"/>
        <v>Not achieved</v>
      </c>
      <c r="J132" s="14">
        <f t="shared" si="47"/>
        <v>0</v>
      </c>
      <c r="K132" s="14">
        <f t="shared" si="34"/>
        <v>-2</v>
      </c>
      <c r="L132" s="3" t="s">
        <v>648</v>
      </c>
      <c r="M132" s="3" t="s">
        <v>657</v>
      </c>
      <c r="N132" s="3" t="s">
        <v>682</v>
      </c>
      <c r="O132" s="3" t="s">
        <v>702</v>
      </c>
      <c r="P132" s="3" t="s">
        <v>709</v>
      </c>
      <c r="Q132" s="3" t="s">
        <v>724</v>
      </c>
      <c r="R132" s="3" t="s">
        <v>729</v>
      </c>
      <c r="S132" s="3" t="s">
        <v>1233</v>
      </c>
      <c r="T132" s="21">
        <v>1232.77</v>
      </c>
      <c r="U132" s="21" t="str">
        <f t="shared" ref="U132:U195" si="48">IF(V132&lt;=QUARTILE(V132:V761,1),"Low",IF(V132&gt;=QUARTILE(V132:V761,3),"High","Medium"))</f>
        <v>Medium</v>
      </c>
      <c r="V132">
        <f t="shared" si="35"/>
        <v>891.73</v>
      </c>
      <c r="W132" s="7">
        <v>891.73</v>
      </c>
      <c r="X132" s="8">
        <v>0.16700000000000001</v>
      </c>
      <c r="Y132" s="14">
        <v>10</v>
      </c>
      <c r="Z132" s="7">
        <f t="shared" si="36"/>
        <v>148.91891000000001</v>
      </c>
      <c r="AA132" s="7">
        <f t="shared" si="37"/>
        <v>7428.1108999999988</v>
      </c>
      <c r="AB132" s="7">
        <f t="shared" si="38"/>
        <v>7279.1919899999984</v>
      </c>
      <c r="AC132" s="7">
        <f t="shared" si="39"/>
        <v>12327.7</v>
      </c>
      <c r="AD132" s="7">
        <f t="shared" si="40"/>
        <v>-4899.589100000002</v>
      </c>
      <c r="AE132" s="7">
        <f t="shared" si="41"/>
        <v>-5048.5080100000023</v>
      </c>
      <c r="AF132" s="26">
        <f t="shared" si="42"/>
        <v>0.60255448299358338</v>
      </c>
      <c r="AG132" s="8">
        <f>IF(DASHBOARD!$Q$7&gt;'staging data'!X132,'staging data'!X132,DASHBOARD!$Q$7)</f>
        <v>0.16700000000000001</v>
      </c>
      <c r="AH132">
        <f>(100%+DASHBOARD!$Q$8)*'staging data'!T132</f>
        <v>1417.6854999999998</v>
      </c>
      <c r="AI132">
        <f>(100%+DASHBOARD!$Q$9)*'staging data'!Y132</f>
        <v>12</v>
      </c>
    </row>
    <row r="133" spans="1:35" x14ac:dyDescent="0.3">
      <c r="A133" s="3" t="s">
        <v>513</v>
      </c>
      <c r="B133" s="28">
        <v>45125</v>
      </c>
      <c r="C133" s="28" t="str">
        <f t="shared" si="43"/>
        <v>Q3</v>
      </c>
      <c r="D133" s="28" t="str">
        <f t="shared" si="44"/>
        <v>2025</v>
      </c>
      <c r="E133" s="28" t="str">
        <f t="shared" si="45"/>
        <v>Sept</v>
      </c>
      <c r="F133" s="5">
        <v>45908</v>
      </c>
      <c r="G133" s="5">
        <f t="shared" si="33"/>
        <v>45935</v>
      </c>
      <c r="H133" s="5">
        <v>45935</v>
      </c>
      <c r="I133" s="5" t="str">
        <f t="shared" si="46"/>
        <v>Achieved</v>
      </c>
      <c r="J133" s="14">
        <f t="shared" si="47"/>
        <v>27</v>
      </c>
      <c r="K133" s="14">
        <f t="shared" si="34"/>
        <v>27</v>
      </c>
      <c r="L133" s="3" t="s">
        <v>647</v>
      </c>
      <c r="M133" s="3" t="s">
        <v>654</v>
      </c>
      <c r="N133" s="3" t="s">
        <v>691</v>
      </c>
      <c r="O133" s="3" t="s">
        <v>701</v>
      </c>
      <c r="P133" s="3" t="s">
        <v>707</v>
      </c>
      <c r="Q133" s="3" t="s">
        <v>711</v>
      </c>
      <c r="R133" s="3" t="s">
        <v>731</v>
      </c>
      <c r="S133" s="3" t="s">
        <v>1231</v>
      </c>
      <c r="T133" s="21">
        <v>660.78</v>
      </c>
      <c r="U133" s="21" t="str">
        <f t="shared" si="48"/>
        <v>Medium</v>
      </c>
      <c r="V133">
        <f t="shared" si="35"/>
        <v>1630.39</v>
      </c>
      <c r="W133" s="7">
        <v>1630.39</v>
      </c>
      <c r="X133" s="8">
        <v>0.218</v>
      </c>
      <c r="Y133" s="14">
        <v>13</v>
      </c>
      <c r="Z133" s="7">
        <f t="shared" si="36"/>
        <v>355.42502000000002</v>
      </c>
      <c r="AA133" s="7">
        <f t="shared" si="37"/>
        <v>16574.544740000001</v>
      </c>
      <c r="AB133" s="7">
        <f t="shared" si="38"/>
        <v>16219.119720000001</v>
      </c>
      <c r="AC133" s="7">
        <f t="shared" si="39"/>
        <v>8590.14</v>
      </c>
      <c r="AD133" s="7">
        <f t="shared" si="40"/>
        <v>7984.4047400000018</v>
      </c>
      <c r="AE133" s="7">
        <f t="shared" si="41"/>
        <v>7628.9797200000012</v>
      </c>
      <c r="AF133" s="26">
        <f t="shared" si="42"/>
        <v>1.929484820969158</v>
      </c>
      <c r="AG133" s="8">
        <f>IF(DASHBOARD!$Q$7&gt;'staging data'!X133,'staging data'!X133,DASHBOARD!$Q$7)</f>
        <v>0.2</v>
      </c>
      <c r="AH133">
        <f>(100%+DASHBOARD!$Q$8)*'staging data'!T133</f>
        <v>759.89699999999993</v>
      </c>
      <c r="AI133">
        <f>(100%+DASHBOARD!$Q$9)*'staging data'!Y133</f>
        <v>15.6</v>
      </c>
    </row>
    <row r="134" spans="1:35" x14ac:dyDescent="0.3">
      <c r="A134" s="3" t="s">
        <v>514</v>
      </c>
      <c r="B134" s="28">
        <v>45125</v>
      </c>
      <c r="C134" s="28" t="str">
        <f t="shared" si="43"/>
        <v>Q3</v>
      </c>
      <c r="D134" s="28" t="str">
        <f t="shared" si="44"/>
        <v>2023</v>
      </c>
      <c r="E134" s="28" t="str">
        <f t="shared" si="45"/>
        <v>May</v>
      </c>
      <c r="F134" s="5">
        <v>45048</v>
      </c>
      <c r="G134" s="5">
        <f t="shared" si="33"/>
        <v>45062</v>
      </c>
      <c r="H134" s="5">
        <v>45062</v>
      </c>
      <c r="I134" s="5" t="str">
        <f t="shared" si="46"/>
        <v>Achieved</v>
      </c>
      <c r="J134" s="14">
        <f t="shared" si="47"/>
        <v>14</v>
      </c>
      <c r="K134" s="14">
        <f t="shared" si="34"/>
        <v>14</v>
      </c>
      <c r="L134" s="3" t="s">
        <v>646</v>
      </c>
      <c r="M134" s="3" t="s">
        <v>653</v>
      </c>
      <c r="N134" s="3" t="s">
        <v>667</v>
      </c>
      <c r="O134" s="3" t="s">
        <v>702</v>
      </c>
      <c r="P134" s="3" t="s">
        <v>706</v>
      </c>
      <c r="Q134" s="3" t="s">
        <v>715</v>
      </c>
      <c r="R134" s="3" t="s">
        <v>731</v>
      </c>
      <c r="S134" s="3" t="s">
        <v>1232</v>
      </c>
      <c r="T134" s="21">
        <v>475.37</v>
      </c>
      <c r="U134" s="21" t="str">
        <f t="shared" si="48"/>
        <v>Medium</v>
      </c>
      <c r="V134">
        <f t="shared" si="35"/>
        <v>963.73</v>
      </c>
      <c r="W134" s="7">
        <v>963.73</v>
      </c>
      <c r="X134" s="8">
        <v>4.1000000000000002E-2</v>
      </c>
      <c r="Y134" s="14">
        <v>22</v>
      </c>
      <c r="Z134" s="7">
        <f t="shared" si="36"/>
        <v>39.512930000000004</v>
      </c>
      <c r="AA134" s="7">
        <f t="shared" si="37"/>
        <v>20332.775539999999</v>
      </c>
      <c r="AB134" s="7">
        <f t="shared" si="38"/>
        <v>20293.262609999998</v>
      </c>
      <c r="AC134" s="7">
        <f t="shared" si="39"/>
        <v>10458.14</v>
      </c>
      <c r="AD134" s="7">
        <f t="shared" si="40"/>
        <v>9874.6355399999993</v>
      </c>
      <c r="AE134" s="7">
        <f t="shared" si="41"/>
        <v>9835.1226099999985</v>
      </c>
      <c r="AF134" s="26">
        <f t="shared" si="42"/>
        <v>1.9442057134442645</v>
      </c>
      <c r="AG134" s="8">
        <f>IF(DASHBOARD!$Q$7&gt;'staging data'!X134,'staging data'!X134,DASHBOARD!$Q$7)</f>
        <v>4.1000000000000002E-2</v>
      </c>
      <c r="AH134">
        <f>(100%+DASHBOARD!$Q$8)*'staging data'!T134</f>
        <v>546.67549999999994</v>
      </c>
      <c r="AI134">
        <f>(100%+DASHBOARD!$Q$9)*'staging data'!Y134</f>
        <v>26.4</v>
      </c>
    </row>
    <row r="135" spans="1:35" x14ac:dyDescent="0.3">
      <c r="A135" s="3" t="s">
        <v>512</v>
      </c>
      <c r="B135" s="28">
        <v>45126</v>
      </c>
      <c r="C135" s="28" t="str">
        <f t="shared" si="43"/>
        <v>Q3</v>
      </c>
      <c r="D135" s="28" t="str">
        <f t="shared" si="44"/>
        <v>2023</v>
      </c>
      <c r="E135" s="28" t="str">
        <f t="shared" si="45"/>
        <v>Oct</v>
      </c>
      <c r="F135" s="5">
        <v>45224</v>
      </c>
      <c r="G135" s="5">
        <f t="shared" si="33"/>
        <v>45227</v>
      </c>
      <c r="H135" s="5">
        <v>45227</v>
      </c>
      <c r="I135" s="5" t="str">
        <f t="shared" si="46"/>
        <v>Not achieved</v>
      </c>
      <c r="J135" s="14">
        <f t="shared" si="47"/>
        <v>3</v>
      </c>
      <c r="K135" s="14">
        <f t="shared" si="34"/>
        <v>3</v>
      </c>
      <c r="L135" s="3" t="s">
        <v>647</v>
      </c>
      <c r="M135" s="3" t="s">
        <v>654</v>
      </c>
      <c r="N135" s="3" t="s">
        <v>671</v>
      </c>
      <c r="O135" s="3" t="s">
        <v>700</v>
      </c>
      <c r="P135" s="3" t="s">
        <v>709</v>
      </c>
      <c r="Q135" s="3" t="s">
        <v>715</v>
      </c>
      <c r="R135" s="3" t="s">
        <v>732</v>
      </c>
      <c r="S135" s="3" t="s">
        <v>1230</v>
      </c>
      <c r="T135" s="21">
        <v>509.31</v>
      </c>
      <c r="U135" s="21" t="str">
        <f t="shared" si="48"/>
        <v>Medium</v>
      </c>
      <c r="V135">
        <f t="shared" si="35"/>
        <v>1145.9000000000001</v>
      </c>
      <c r="W135" s="7">
        <v>1145.9000000000001</v>
      </c>
      <c r="X135" s="8">
        <v>5.7000000000000002E-2</v>
      </c>
      <c r="Y135" s="14">
        <v>8</v>
      </c>
      <c r="Z135" s="7">
        <f t="shared" si="36"/>
        <v>65.316300000000012</v>
      </c>
      <c r="AA135" s="7">
        <f t="shared" si="37"/>
        <v>8644.6696000000011</v>
      </c>
      <c r="AB135" s="7">
        <f t="shared" si="38"/>
        <v>8579.3533000000007</v>
      </c>
      <c r="AC135" s="7">
        <f t="shared" si="39"/>
        <v>4074.48</v>
      </c>
      <c r="AD135" s="7">
        <f t="shared" si="40"/>
        <v>4570.1896000000015</v>
      </c>
      <c r="AE135" s="7">
        <f t="shared" si="41"/>
        <v>4504.8733000000011</v>
      </c>
      <c r="AF135" s="26">
        <f t="shared" si="42"/>
        <v>2.1216620525809433</v>
      </c>
      <c r="AG135" s="8">
        <f>IF(DASHBOARD!$Q$7&gt;'staging data'!X135,'staging data'!X135,DASHBOARD!$Q$7)</f>
        <v>5.7000000000000002E-2</v>
      </c>
      <c r="AH135">
        <f>(100%+DASHBOARD!$Q$8)*'staging data'!T135</f>
        <v>585.70650000000001</v>
      </c>
      <c r="AI135">
        <f>(100%+DASHBOARD!$Q$9)*'staging data'!Y135</f>
        <v>9.6</v>
      </c>
    </row>
    <row r="136" spans="1:35" x14ac:dyDescent="0.3">
      <c r="A136" s="3" t="s">
        <v>511</v>
      </c>
      <c r="B136" s="28">
        <v>45129</v>
      </c>
      <c r="C136" s="28" t="str">
        <f t="shared" si="43"/>
        <v>Q3</v>
      </c>
      <c r="D136" s="28" t="str">
        <f t="shared" si="44"/>
        <v>2024</v>
      </c>
      <c r="E136" s="28" t="str">
        <f t="shared" si="45"/>
        <v>Sept</v>
      </c>
      <c r="F136" s="5">
        <v>45544</v>
      </c>
      <c r="G136" s="5">
        <f t="shared" si="33"/>
        <v>45548</v>
      </c>
      <c r="H136" s="5">
        <v>45548</v>
      </c>
      <c r="I136" s="5" t="str">
        <f t="shared" si="46"/>
        <v>Not achieved</v>
      </c>
      <c r="J136" s="14">
        <f t="shared" si="47"/>
        <v>4</v>
      </c>
      <c r="K136" s="14">
        <f t="shared" si="34"/>
        <v>4</v>
      </c>
      <c r="L136" s="3" t="s">
        <v>648</v>
      </c>
      <c r="M136" s="3" t="s">
        <v>657</v>
      </c>
      <c r="N136" s="3" t="s">
        <v>682</v>
      </c>
      <c r="O136" s="3" t="s">
        <v>703</v>
      </c>
      <c r="P136" s="3" t="s">
        <v>708</v>
      </c>
      <c r="Q136" s="3" t="s">
        <v>720</v>
      </c>
      <c r="R136" s="3" t="s">
        <v>728</v>
      </c>
      <c r="S136" s="3" t="s">
        <v>1229</v>
      </c>
      <c r="T136" s="21">
        <v>1133.08</v>
      </c>
      <c r="U136" s="21" t="str">
        <f t="shared" si="48"/>
        <v>Medium</v>
      </c>
      <c r="V136">
        <f t="shared" si="35"/>
        <v>976.17</v>
      </c>
      <c r="W136" s="7">
        <v>976.17</v>
      </c>
      <c r="X136" s="8">
        <v>4.2000000000000003E-2</v>
      </c>
      <c r="Y136" s="14">
        <v>27</v>
      </c>
      <c r="Z136" s="7">
        <f t="shared" si="36"/>
        <v>40.999140000000004</v>
      </c>
      <c r="AA136" s="7">
        <f t="shared" si="37"/>
        <v>25249.613219999999</v>
      </c>
      <c r="AB136" s="7">
        <f t="shared" si="38"/>
        <v>25208.614079999999</v>
      </c>
      <c r="AC136" s="7">
        <f t="shared" si="39"/>
        <v>30593.159999999996</v>
      </c>
      <c r="AD136" s="7">
        <f t="shared" si="40"/>
        <v>-5343.5467799999969</v>
      </c>
      <c r="AE136" s="7">
        <f t="shared" si="41"/>
        <v>-5384.5459199999968</v>
      </c>
      <c r="AF136" s="26">
        <f t="shared" si="42"/>
        <v>0.82533524552547044</v>
      </c>
      <c r="AG136" s="8">
        <f>IF(DASHBOARD!$Q$7&gt;'staging data'!X136,'staging data'!X136,DASHBOARD!$Q$7)</f>
        <v>4.2000000000000003E-2</v>
      </c>
      <c r="AH136">
        <f>(100%+DASHBOARD!$Q$8)*'staging data'!T136</f>
        <v>1303.0419999999999</v>
      </c>
      <c r="AI136">
        <f>(100%+DASHBOARD!$Q$9)*'staging data'!Y136</f>
        <v>32.4</v>
      </c>
    </row>
    <row r="137" spans="1:35" x14ac:dyDescent="0.3">
      <c r="A137" s="3" t="s">
        <v>509</v>
      </c>
      <c r="B137" s="28">
        <v>45131</v>
      </c>
      <c r="C137" s="28" t="str">
        <f t="shared" si="43"/>
        <v>Q3</v>
      </c>
      <c r="D137" s="28" t="str">
        <f t="shared" si="44"/>
        <v>2024</v>
      </c>
      <c r="E137" s="28" t="str">
        <f t="shared" si="45"/>
        <v>Aug</v>
      </c>
      <c r="F137" s="5">
        <v>45508</v>
      </c>
      <c r="G137" s="5">
        <f t="shared" si="33"/>
        <v>45521</v>
      </c>
      <c r="H137" s="5">
        <v>45521</v>
      </c>
      <c r="I137" s="5" t="str">
        <f t="shared" si="46"/>
        <v>Achieved</v>
      </c>
      <c r="J137" s="14">
        <f t="shared" si="47"/>
        <v>13</v>
      </c>
      <c r="K137" s="14">
        <f t="shared" si="34"/>
        <v>13</v>
      </c>
      <c r="L137" s="3" t="s">
        <v>647</v>
      </c>
      <c r="M137" s="3" t="s">
        <v>659</v>
      </c>
      <c r="N137" s="3" t="s">
        <v>696</v>
      </c>
      <c r="O137" s="3" t="s">
        <v>703</v>
      </c>
      <c r="P137" s="3" t="s">
        <v>706</v>
      </c>
      <c r="Q137" s="3" t="s">
        <v>725</v>
      </c>
      <c r="R137" s="3" t="s">
        <v>731</v>
      </c>
      <c r="S137" s="3" t="s">
        <v>1227</v>
      </c>
      <c r="T137" s="21">
        <v>352.79</v>
      </c>
      <c r="U137" s="21" t="str">
        <f t="shared" si="48"/>
        <v>Medium</v>
      </c>
      <c r="V137">
        <f t="shared" si="35"/>
        <v>754.22</v>
      </c>
      <c r="W137" s="7">
        <v>754.22</v>
      </c>
      <c r="X137" s="8">
        <v>0.113</v>
      </c>
      <c r="Y137" s="14">
        <v>7</v>
      </c>
      <c r="Z137" s="7">
        <f t="shared" si="36"/>
        <v>85.226860000000002</v>
      </c>
      <c r="AA137" s="7">
        <f t="shared" si="37"/>
        <v>4682.9519799999998</v>
      </c>
      <c r="AB137" s="7">
        <f t="shared" si="38"/>
        <v>4597.7251200000001</v>
      </c>
      <c r="AC137" s="7">
        <f t="shared" si="39"/>
        <v>2469.5300000000002</v>
      </c>
      <c r="AD137" s="7">
        <f t="shared" si="40"/>
        <v>2213.4219799999996</v>
      </c>
      <c r="AE137" s="7">
        <f t="shared" si="41"/>
        <v>2128.1951199999999</v>
      </c>
      <c r="AF137" s="26">
        <f t="shared" si="42"/>
        <v>1.8962928087530824</v>
      </c>
      <c r="AG137" s="8">
        <f>IF(DASHBOARD!$Q$7&gt;'staging data'!X137,'staging data'!X137,DASHBOARD!$Q$7)</f>
        <v>0.113</v>
      </c>
      <c r="AH137">
        <f>(100%+DASHBOARD!$Q$8)*'staging data'!T137</f>
        <v>405.70850000000002</v>
      </c>
      <c r="AI137">
        <f>(100%+DASHBOARD!$Q$9)*'staging data'!Y137</f>
        <v>8.4</v>
      </c>
    </row>
    <row r="138" spans="1:35" x14ac:dyDescent="0.3">
      <c r="A138" s="3" t="s">
        <v>510</v>
      </c>
      <c r="B138" s="28">
        <v>45131</v>
      </c>
      <c r="C138" s="28" t="str">
        <f t="shared" si="43"/>
        <v>Q3</v>
      </c>
      <c r="D138" s="28" t="str">
        <f t="shared" si="44"/>
        <v>2023</v>
      </c>
      <c r="E138" s="28" t="str">
        <f t="shared" si="45"/>
        <v>Jun</v>
      </c>
      <c r="F138" s="5">
        <v>45097</v>
      </c>
      <c r="G138" s="5">
        <f t="shared" si="33"/>
        <v>45111</v>
      </c>
      <c r="H138" s="5">
        <v>45111</v>
      </c>
      <c r="I138" s="5" t="str">
        <f t="shared" si="46"/>
        <v>Achieved</v>
      </c>
      <c r="J138" s="14">
        <f t="shared" si="47"/>
        <v>14</v>
      </c>
      <c r="K138" s="14">
        <f t="shared" si="34"/>
        <v>14</v>
      </c>
      <c r="L138" s="3" t="s">
        <v>647</v>
      </c>
      <c r="M138" s="3" t="s">
        <v>654</v>
      </c>
      <c r="N138" s="3" t="s">
        <v>671</v>
      </c>
      <c r="O138" s="3" t="s">
        <v>702</v>
      </c>
      <c r="P138" s="3" t="s">
        <v>710</v>
      </c>
      <c r="Q138" s="3" t="s">
        <v>711</v>
      </c>
      <c r="R138" s="3" t="s">
        <v>728</v>
      </c>
      <c r="S138" s="3" t="s">
        <v>1228</v>
      </c>
      <c r="T138" s="21">
        <v>1292.8599999999999</v>
      </c>
      <c r="U138" s="21" t="str">
        <f t="shared" si="48"/>
        <v>High</v>
      </c>
      <c r="V138">
        <f t="shared" si="35"/>
        <v>2981.01</v>
      </c>
      <c r="W138" s="7">
        <v>2981.01</v>
      </c>
      <c r="X138" s="8">
        <v>0.14199999999999999</v>
      </c>
      <c r="Y138" s="14">
        <v>12</v>
      </c>
      <c r="Z138" s="7">
        <f t="shared" si="36"/>
        <v>423.30342000000002</v>
      </c>
      <c r="AA138" s="7">
        <f t="shared" si="37"/>
        <v>30692.47896</v>
      </c>
      <c r="AB138" s="7">
        <f t="shared" si="38"/>
        <v>30269.17554</v>
      </c>
      <c r="AC138" s="7">
        <f t="shared" si="39"/>
        <v>15514.32</v>
      </c>
      <c r="AD138" s="7">
        <f t="shared" si="40"/>
        <v>15178.158960000001</v>
      </c>
      <c r="AE138" s="7">
        <f t="shared" si="41"/>
        <v>14754.85554</v>
      </c>
      <c r="AF138" s="26">
        <f t="shared" si="42"/>
        <v>1.9783322092105875</v>
      </c>
      <c r="AG138" s="8">
        <f>IF(DASHBOARD!$Q$7&gt;'staging data'!X138,'staging data'!X138,DASHBOARD!$Q$7)</f>
        <v>0.14199999999999999</v>
      </c>
      <c r="AH138">
        <f>(100%+DASHBOARD!$Q$8)*'staging data'!T138</f>
        <v>1486.7889999999998</v>
      </c>
      <c r="AI138">
        <f>(100%+DASHBOARD!$Q$9)*'staging data'!Y138</f>
        <v>14.399999999999999</v>
      </c>
    </row>
    <row r="139" spans="1:35" x14ac:dyDescent="0.3">
      <c r="A139" s="3" t="s">
        <v>508</v>
      </c>
      <c r="B139" s="28">
        <v>45132</v>
      </c>
      <c r="C139" s="28" t="str">
        <f t="shared" si="43"/>
        <v>Q3</v>
      </c>
      <c r="D139" s="28" t="str">
        <f t="shared" si="44"/>
        <v>2024</v>
      </c>
      <c r="E139" s="28" t="str">
        <f t="shared" si="45"/>
        <v>May</v>
      </c>
      <c r="F139" s="5">
        <v>45439</v>
      </c>
      <c r="G139" s="5">
        <f t="shared" si="33"/>
        <v>45460</v>
      </c>
      <c r="H139" s="5">
        <v>45460</v>
      </c>
      <c r="I139" s="5" t="str">
        <f t="shared" si="46"/>
        <v>Achieved</v>
      </c>
      <c r="J139" s="14">
        <f t="shared" si="47"/>
        <v>21</v>
      </c>
      <c r="K139" s="14">
        <f t="shared" si="34"/>
        <v>21</v>
      </c>
      <c r="L139" s="3" t="s">
        <v>646</v>
      </c>
      <c r="M139" s="3" t="s">
        <v>653</v>
      </c>
      <c r="N139" s="3" t="s">
        <v>679</v>
      </c>
      <c r="O139" s="3" t="s">
        <v>704</v>
      </c>
      <c r="P139" s="3" t="s">
        <v>707</v>
      </c>
      <c r="Q139" s="3" t="s">
        <v>721</v>
      </c>
      <c r="R139" s="3" t="s">
        <v>732</v>
      </c>
      <c r="S139" s="3" t="s">
        <v>1226</v>
      </c>
      <c r="T139" s="21">
        <v>465.02</v>
      </c>
      <c r="U139" s="21" t="str">
        <f t="shared" si="48"/>
        <v>Medium</v>
      </c>
      <c r="V139">
        <f t="shared" si="35"/>
        <v>651.55999999999995</v>
      </c>
      <c r="W139" s="7">
        <v>651.55999999999995</v>
      </c>
      <c r="X139" s="8">
        <v>4.2000000000000003E-2</v>
      </c>
      <c r="Y139" s="14">
        <v>19</v>
      </c>
      <c r="Z139" s="7">
        <f t="shared" si="36"/>
        <v>27.36552</v>
      </c>
      <c r="AA139" s="7">
        <f t="shared" si="37"/>
        <v>11859.695119999998</v>
      </c>
      <c r="AB139" s="7">
        <f t="shared" si="38"/>
        <v>11832.329599999999</v>
      </c>
      <c r="AC139" s="7">
        <f t="shared" si="39"/>
        <v>8835.3799999999992</v>
      </c>
      <c r="AD139" s="7">
        <f t="shared" si="40"/>
        <v>3024.3151199999993</v>
      </c>
      <c r="AE139" s="7">
        <f t="shared" si="41"/>
        <v>2996.9495999999999</v>
      </c>
      <c r="AF139" s="26">
        <f t="shared" si="42"/>
        <v>1.3422959872693647</v>
      </c>
      <c r="AG139" s="8">
        <f>IF(DASHBOARD!$Q$7&gt;'staging data'!X139,'staging data'!X139,DASHBOARD!$Q$7)</f>
        <v>4.2000000000000003E-2</v>
      </c>
      <c r="AH139">
        <f>(100%+DASHBOARD!$Q$8)*'staging data'!T139</f>
        <v>534.77299999999991</v>
      </c>
      <c r="AI139">
        <f>(100%+DASHBOARD!$Q$9)*'staging data'!Y139</f>
        <v>22.8</v>
      </c>
    </row>
    <row r="140" spans="1:35" x14ac:dyDescent="0.3">
      <c r="A140" s="3" t="s">
        <v>507</v>
      </c>
      <c r="B140" s="28">
        <v>45133</v>
      </c>
      <c r="C140" s="28" t="str">
        <f t="shared" si="43"/>
        <v>Q3</v>
      </c>
      <c r="D140" s="28" t="str">
        <f t="shared" si="44"/>
        <v>2024</v>
      </c>
      <c r="E140" s="28" t="str">
        <f t="shared" si="45"/>
        <v>Mar</v>
      </c>
      <c r="F140" s="5">
        <v>45352</v>
      </c>
      <c r="G140" s="5">
        <f t="shared" si="33"/>
        <v>45352</v>
      </c>
      <c r="H140" s="5">
        <v>45351</v>
      </c>
      <c r="I140" s="5" t="str">
        <f t="shared" si="46"/>
        <v>Not achieved</v>
      </c>
      <c r="J140" s="14">
        <f t="shared" si="47"/>
        <v>0</v>
      </c>
      <c r="K140" s="14">
        <f t="shared" si="34"/>
        <v>-1</v>
      </c>
      <c r="L140" s="3" t="s">
        <v>647</v>
      </c>
      <c r="M140" s="3" t="s">
        <v>654</v>
      </c>
      <c r="N140" s="3" t="s">
        <v>669</v>
      </c>
      <c r="O140" s="3" t="s">
        <v>702</v>
      </c>
      <c r="P140" s="3" t="s">
        <v>710</v>
      </c>
      <c r="Q140" s="3" t="s">
        <v>713</v>
      </c>
      <c r="R140" s="3" t="s">
        <v>729</v>
      </c>
      <c r="S140" s="3" t="s">
        <v>1225</v>
      </c>
      <c r="T140" s="21">
        <v>5.34</v>
      </c>
      <c r="U140" s="21" t="str">
        <f t="shared" si="48"/>
        <v>Low</v>
      </c>
      <c r="V140">
        <f t="shared" si="35"/>
        <v>12.69</v>
      </c>
      <c r="W140" s="7">
        <v>12.69</v>
      </c>
      <c r="X140" s="8">
        <v>0.13200000000000001</v>
      </c>
      <c r="Y140" s="14">
        <v>10</v>
      </c>
      <c r="Z140" s="7">
        <f t="shared" si="36"/>
        <v>1.6750799999999999</v>
      </c>
      <c r="AA140" s="7">
        <f t="shared" si="37"/>
        <v>110.14919999999999</v>
      </c>
      <c r="AB140" s="7">
        <f t="shared" si="38"/>
        <v>108.47412</v>
      </c>
      <c r="AC140" s="7">
        <f t="shared" si="39"/>
        <v>53.4</v>
      </c>
      <c r="AD140" s="7">
        <f t="shared" si="40"/>
        <v>56.749199999999995</v>
      </c>
      <c r="AE140" s="7">
        <f t="shared" si="41"/>
        <v>55.074120000000001</v>
      </c>
      <c r="AF140" s="26">
        <f t="shared" si="42"/>
        <v>2.0627191011235952</v>
      </c>
      <c r="AG140" s="8">
        <f>IF(DASHBOARD!$Q$7&gt;'staging data'!X140,'staging data'!X140,DASHBOARD!$Q$7)</f>
        <v>0.13200000000000001</v>
      </c>
      <c r="AH140">
        <f>(100%+DASHBOARD!$Q$8)*'staging data'!T140</f>
        <v>6.1409999999999991</v>
      </c>
      <c r="AI140">
        <f>(100%+DASHBOARD!$Q$9)*'staging data'!Y140</f>
        <v>12</v>
      </c>
    </row>
    <row r="141" spans="1:35" x14ac:dyDescent="0.3">
      <c r="A141" s="3" t="s">
        <v>505</v>
      </c>
      <c r="B141" s="28">
        <v>45137</v>
      </c>
      <c r="C141" s="28" t="str">
        <f t="shared" si="43"/>
        <v>Q3</v>
      </c>
      <c r="D141" s="28" t="str">
        <f t="shared" si="44"/>
        <v>2024</v>
      </c>
      <c r="E141" s="28" t="str">
        <f t="shared" si="45"/>
        <v>Aug</v>
      </c>
      <c r="F141" s="5">
        <v>45523</v>
      </c>
      <c r="G141" s="5">
        <f t="shared" si="33"/>
        <v>45542</v>
      </c>
      <c r="H141" s="5">
        <v>45542</v>
      </c>
      <c r="I141" s="5" t="str">
        <f t="shared" si="46"/>
        <v>Achieved</v>
      </c>
      <c r="J141" s="14">
        <f t="shared" si="47"/>
        <v>19</v>
      </c>
      <c r="K141" s="14">
        <f t="shared" si="34"/>
        <v>19</v>
      </c>
      <c r="L141" s="3" t="s">
        <v>648</v>
      </c>
      <c r="M141" s="3" t="s">
        <v>656</v>
      </c>
      <c r="N141" s="3" t="s">
        <v>678</v>
      </c>
      <c r="O141" s="3" t="s">
        <v>700</v>
      </c>
      <c r="P141" s="3" t="s">
        <v>710</v>
      </c>
      <c r="Q141" s="3" t="s">
        <v>712</v>
      </c>
      <c r="R141" s="3" t="s">
        <v>726</v>
      </c>
      <c r="S141" s="3" t="s">
        <v>1223</v>
      </c>
      <c r="T141" s="21">
        <v>297.58999999999997</v>
      </c>
      <c r="U141" s="21" t="str">
        <f t="shared" si="48"/>
        <v>Medium</v>
      </c>
      <c r="V141">
        <f t="shared" si="35"/>
        <v>666.41</v>
      </c>
      <c r="W141" s="7">
        <v>666.41</v>
      </c>
      <c r="X141" s="8">
        <v>0</v>
      </c>
      <c r="Y141" s="14">
        <v>10</v>
      </c>
      <c r="Z141" s="7">
        <f t="shared" si="36"/>
        <v>0</v>
      </c>
      <c r="AA141" s="7">
        <f t="shared" si="37"/>
        <v>6664.0999999999995</v>
      </c>
      <c r="AB141" s="7">
        <f t="shared" si="38"/>
        <v>6664.0999999999995</v>
      </c>
      <c r="AC141" s="7">
        <f t="shared" si="39"/>
        <v>2975.8999999999996</v>
      </c>
      <c r="AD141" s="7">
        <f t="shared" si="40"/>
        <v>3688.2</v>
      </c>
      <c r="AE141" s="7">
        <f t="shared" si="41"/>
        <v>3688.2</v>
      </c>
      <c r="AF141" s="26">
        <f t="shared" si="42"/>
        <v>2.2393561611613295</v>
      </c>
      <c r="AG141" s="8">
        <f>IF(DASHBOARD!$Q$7&gt;'staging data'!X141,'staging data'!X141,DASHBOARD!$Q$7)</f>
        <v>0</v>
      </c>
      <c r="AH141">
        <f>(100%+DASHBOARD!$Q$8)*'staging data'!T141</f>
        <v>342.22849999999994</v>
      </c>
      <c r="AI141">
        <f>(100%+DASHBOARD!$Q$9)*'staging data'!Y141</f>
        <v>12</v>
      </c>
    </row>
    <row r="142" spans="1:35" x14ac:dyDescent="0.3">
      <c r="A142" s="3" t="s">
        <v>506</v>
      </c>
      <c r="B142" s="28">
        <v>45137</v>
      </c>
      <c r="C142" s="28" t="str">
        <f t="shared" si="43"/>
        <v>Q3</v>
      </c>
      <c r="D142" s="28" t="str">
        <f t="shared" si="44"/>
        <v>2025</v>
      </c>
      <c r="E142" s="28" t="str">
        <f t="shared" si="45"/>
        <v>Jul</v>
      </c>
      <c r="F142" s="5">
        <v>45861</v>
      </c>
      <c r="G142" s="5">
        <f t="shared" si="33"/>
        <v>45888</v>
      </c>
      <c r="H142" s="5">
        <v>45888</v>
      </c>
      <c r="I142" s="5" t="str">
        <f t="shared" si="46"/>
        <v>Achieved</v>
      </c>
      <c r="J142" s="14">
        <f t="shared" si="47"/>
        <v>27</v>
      </c>
      <c r="K142" s="14">
        <f t="shared" si="34"/>
        <v>27</v>
      </c>
      <c r="L142" s="3" t="s">
        <v>646</v>
      </c>
      <c r="M142" s="3" t="s">
        <v>651</v>
      </c>
      <c r="N142" s="3" t="s">
        <v>693</v>
      </c>
      <c r="O142" s="3" t="s">
        <v>703</v>
      </c>
      <c r="P142" s="3" t="s">
        <v>708</v>
      </c>
      <c r="Q142" s="3" t="s">
        <v>716</v>
      </c>
      <c r="R142" s="3" t="s">
        <v>732</v>
      </c>
      <c r="S142" s="3" t="s">
        <v>1224</v>
      </c>
      <c r="T142" s="21">
        <v>896.09</v>
      </c>
      <c r="U142" s="21" t="str">
        <f t="shared" si="48"/>
        <v>Medium</v>
      </c>
      <c r="V142">
        <f t="shared" si="35"/>
        <v>744.27</v>
      </c>
      <c r="W142" s="7">
        <v>744.27</v>
      </c>
      <c r="X142" s="8">
        <v>8.3000000000000004E-2</v>
      </c>
      <c r="Y142" s="14">
        <v>11</v>
      </c>
      <c r="Z142" s="7">
        <f t="shared" si="36"/>
        <v>61.774410000000003</v>
      </c>
      <c r="AA142" s="7">
        <f t="shared" si="37"/>
        <v>7507.4514899999995</v>
      </c>
      <c r="AB142" s="7">
        <f t="shared" si="38"/>
        <v>7445.6770799999995</v>
      </c>
      <c r="AC142" s="7">
        <f t="shared" si="39"/>
        <v>9856.99</v>
      </c>
      <c r="AD142" s="7">
        <f t="shared" si="40"/>
        <v>-2349.5385100000003</v>
      </c>
      <c r="AE142" s="7">
        <f t="shared" si="41"/>
        <v>-2411.3129200000003</v>
      </c>
      <c r="AF142" s="26">
        <f t="shared" si="42"/>
        <v>0.7616373243758997</v>
      </c>
      <c r="AG142" s="8">
        <f>IF(DASHBOARD!$Q$7&gt;'staging data'!X142,'staging data'!X142,DASHBOARD!$Q$7)</f>
        <v>8.3000000000000004E-2</v>
      </c>
      <c r="AH142">
        <f>(100%+DASHBOARD!$Q$8)*'staging data'!T142</f>
        <v>1030.5035</v>
      </c>
      <c r="AI142">
        <f>(100%+DASHBOARD!$Q$9)*'staging data'!Y142</f>
        <v>13.2</v>
      </c>
    </row>
    <row r="143" spans="1:35" x14ac:dyDescent="0.3">
      <c r="A143" s="3" t="s">
        <v>504</v>
      </c>
      <c r="B143" s="28">
        <v>45140</v>
      </c>
      <c r="C143" s="28" t="str">
        <f t="shared" si="43"/>
        <v>Q3</v>
      </c>
      <c r="D143" s="28" t="str">
        <f t="shared" si="44"/>
        <v>2024</v>
      </c>
      <c r="E143" s="28" t="str">
        <f t="shared" si="45"/>
        <v>Apr</v>
      </c>
      <c r="F143" s="5">
        <v>45403</v>
      </c>
      <c r="G143" s="5">
        <f t="shared" si="33"/>
        <v>45431</v>
      </c>
      <c r="H143" s="5">
        <v>45431</v>
      </c>
      <c r="I143" s="5" t="str">
        <f t="shared" si="46"/>
        <v>Achieved</v>
      </c>
      <c r="J143" s="14">
        <f t="shared" si="47"/>
        <v>28</v>
      </c>
      <c r="K143" s="14">
        <f t="shared" si="34"/>
        <v>28</v>
      </c>
      <c r="L143" s="3" t="s">
        <v>645</v>
      </c>
      <c r="M143" s="3" t="s">
        <v>650</v>
      </c>
      <c r="N143" s="3" t="s">
        <v>664</v>
      </c>
      <c r="O143" s="3" t="s">
        <v>700</v>
      </c>
      <c r="P143" s="3" t="s">
        <v>709</v>
      </c>
      <c r="Q143" s="3" t="s">
        <v>719</v>
      </c>
      <c r="R143" s="3" t="s">
        <v>732</v>
      </c>
      <c r="S143" s="3" t="s">
        <v>1222</v>
      </c>
      <c r="T143" s="21">
        <v>187.22</v>
      </c>
      <c r="U143" s="21" t="str">
        <f t="shared" si="48"/>
        <v>Low</v>
      </c>
      <c r="V143">
        <f t="shared" si="35"/>
        <v>309.47000000000003</v>
      </c>
      <c r="W143" s="7">
        <v>309.47000000000003</v>
      </c>
      <c r="X143" s="8">
        <v>0</v>
      </c>
      <c r="Y143" s="14">
        <v>5</v>
      </c>
      <c r="Z143" s="7">
        <f t="shared" si="36"/>
        <v>0</v>
      </c>
      <c r="AA143" s="7">
        <f t="shared" si="37"/>
        <v>1547.3500000000001</v>
      </c>
      <c r="AB143" s="7">
        <f t="shared" si="38"/>
        <v>1547.3500000000001</v>
      </c>
      <c r="AC143" s="7">
        <f t="shared" si="39"/>
        <v>936.1</v>
      </c>
      <c r="AD143" s="7">
        <f t="shared" si="40"/>
        <v>611.25000000000011</v>
      </c>
      <c r="AE143" s="7">
        <f t="shared" si="41"/>
        <v>611.25000000000011</v>
      </c>
      <c r="AF143" s="26">
        <f t="shared" si="42"/>
        <v>1.6529751094968488</v>
      </c>
      <c r="AG143" s="8">
        <f>IF(DASHBOARD!$Q$7&gt;'staging data'!X143,'staging data'!X143,DASHBOARD!$Q$7)</f>
        <v>0</v>
      </c>
      <c r="AH143">
        <f>(100%+DASHBOARD!$Q$8)*'staging data'!T143</f>
        <v>215.30299999999997</v>
      </c>
      <c r="AI143">
        <f>(100%+DASHBOARD!$Q$9)*'staging data'!Y143</f>
        <v>6</v>
      </c>
    </row>
    <row r="144" spans="1:35" x14ac:dyDescent="0.3">
      <c r="A144" s="3" t="s">
        <v>501</v>
      </c>
      <c r="B144" s="28">
        <v>45141</v>
      </c>
      <c r="C144" s="28" t="str">
        <f t="shared" si="43"/>
        <v>Q3</v>
      </c>
      <c r="D144" s="28" t="str">
        <f t="shared" si="44"/>
        <v>2024</v>
      </c>
      <c r="E144" s="28" t="str">
        <f t="shared" si="45"/>
        <v>Nov</v>
      </c>
      <c r="F144" s="5">
        <v>45613</v>
      </c>
      <c r="G144" s="5">
        <f t="shared" si="33"/>
        <v>45624</v>
      </c>
      <c r="H144" s="5">
        <v>45624</v>
      </c>
      <c r="I144" s="5" t="str">
        <f t="shared" si="46"/>
        <v>Achieved</v>
      </c>
      <c r="J144" s="14">
        <f t="shared" si="47"/>
        <v>11</v>
      </c>
      <c r="K144" s="14">
        <f t="shared" si="34"/>
        <v>11</v>
      </c>
      <c r="L144" s="3" t="s">
        <v>647</v>
      </c>
      <c r="M144" s="3" t="s">
        <v>652</v>
      </c>
      <c r="N144" s="3" t="s">
        <v>680</v>
      </c>
      <c r="O144" s="3" t="s">
        <v>703</v>
      </c>
      <c r="P144" s="3" t="s">
        <v>709</v>
      </c>
      <c r="Q144" s="3" t="s">
        <v>719</v>
      </c>
      <c r="R144" s="3" t="s">
        <v>727</v>
      </c>
      <c r="S144" s="3" t="s">
        <v>1219</v>
      </c>
      <c r="T144" s="21">
        <v>1008.16</v>
      </c>
      <c r="U144" s="21" t="str">
        <f t="shared" si="48"/>
        <v>High</v>
      </c>
      <c r="V144">
        <f t="shared" si="35"/>
        <v>2077.5</v>
      </c>
      <c r="W144" s="7">
        <v>2077.5</v>
      </c>
      <c r="X144" s="8">
        <v>7.3999999999999996E-2</v>
      </c>
      <c r="Y144" s="14">
        <v>15</v>
      </c>
      <c r="Z144" s="7">
        <f t="shared" si="36"/>
        <v>153.73499999999999</v>
      </c>
      <c r="AA144" s="7">
        <f t="shared" si="37"/>
        <v>28856.475000000002</v>
      </c>
      <c r="AB144" s="7">
        <f t="shared" si="38"/>
        <v>28702.74</v>
      </c>
      <c r="AC144" s="7">
        <f t="shared" si="39"/>
        <v>15122.4</v>
      </c>
      <c r="AD144" s="7">
        <f t="shared" si="40"/>
        <v>13734.075000000003</v>
      </c>
      <c r="AE144" s="7">
        <f t="shared" si="41"/>
        <v>13580.340000000002</v>
      </c>
      <c r="AF144" s="26">
        <f t="shared" si="42"/>
        <v>1.9081941358514523</v>
      </c>
      <c r="AG144" s="8">
        <f>IF(DASHBOARD!$Q$7&gt;'staging data'!X144,'staging data'!X144,DASHBOARD!$Q$7)</f>
        <v>7.3999999999999996E-2</v>
      </c>
      <c r="AH144">
        <f>(100%+DASHBOARD!$Q$8)*'staging data'!T144</f>
        <v>1159.3839999999998</v>
      </c>
      <c r="AI144">
        <f>(100%+DASHBOARD!$Q$9)*'staging data'!Y144</f>
        <v>18</v>
      </c>
    </row>
    <row r="145" spans="1:35" x14ac:dyDescent="0.3">
      <c r="A145" s="3" t="s">
        <v>502</v>
      </c>
      <c r="B145" s="28">
        <v>45141</v>
      </c>
      <c r="C145" s="28" t="str">
        <f t="shared" si="43"/>
        <v>Q3</v>
      </c>
      <c r="D145" s="28" t="str">
        <f t="shared" si="44"/>
        <v>2024</v>
      </c>
      <c r="E145" s="28" t="str">
        <f t="shared" si="45"/>
        <v>May</v>
      </c>
      <c r="F145" s="5">
        <v>45424</v>
      </c>
      <c r="G145" s="5">
        <f t="shared" si="33"/>
        <v>45436</v>
      </c>
      <c r="H145" s="5">
        <v>45436</v>
      </c>
      <c r="I145" s="5" t="str">
        <f t="shared" si="46"/>
        <v>Achieved</v>
      </c>
      <c r="J145" s="14">
        <f t="shared" si="47"/>
        <v>12</v>
      </c>
      <c r="K145" s="14">
        <f t="shared" si="34"/>
        <v>12</v>
      </c>
      <c r="L145" s="3" t="s">
        <v>648</v>
      </c>
      <c r="M145" s="3" t="s">
        <v>657</v>
      </c>
      <c r="N145" s="3" t="s">
        <v>692</v>
      </c>
      <c r="O145" s="3" t="s">
        <v>701</v>
      </c>
      <c r="P145" s="3" t="s">
        <v>708</v>
      </c>
      <c r="Q145" s="3" t="s">
        <v>722</v>
      </c>
      <c r="R145" s="3" t="s">
        <v>727</v>
      </c>
      <c r="S145" s="3" t="s">
        <v>1220</v>
      </c>
      <c r="T145" s="21">
        <v>111.02</v>
      </c>
      <c r="U145" s="21" t="str">
        <f t="shared" si="48"/>
        <v>Low</v>
      </c>
      <c r="V145">
        <f t="shared" si="35"/>
        <v>172.88</v>
      </c>
      <c r="W145" s="7">
        <v>172.88</v>
      </c>
      <c r="X145" s="8">
        <v>0.19700000000000001</v>
      </c>
      <c r="Y145" s="14">
        <v>29</v>
      </c>
      <c r="Z145" s="7">
        <f t="shared" si="36"/>
        <v>34.057360000000003</v>
      </c>
      <c r="AA145" s="7">
        <f t="shared" si="37"/>
        <v>4025.8565599999993</v>
      </c>
      <c r="AB145" s="7">
        <f t="shared" si="38"/>
        <v>3991.7991999999995</v>
      </c>
      <c r="AC145" s="7">
        <f t="shared" si="39"/>
        <v>3219.58</v>
      </c>
      <c r="AD145" s="7">
        <f t="shared" si="40"/>
        <v>806.27655999999934</v>
      </c>
      <c r="AE145" s="7">
        <f t="shared" si="41"/>
        <v>772.21919999999955</v>
      </c>
      <c r="AF145" s="26">
        <f t="shared" si="42"/>
        <v>1.2504291118717346</v>
      </c>
      <c r="AG145" s="8">
        <f>IF(DASHBOARD!$Q$7&gt;'staging data'!X145,'staging data'!X145,DASHBOARD!$Q$7)</f>
        <v>0.19700000000000001</v>
      </c>
      <c r="AH145">
        <f>(100%+DASHBOARD!$Q$8)*'staging data'!T145</f>
        <v>127.67299999999999</v>
      </c>
      <c r="AI145">
        <f>(100%+DASHBOARD!$Q$9)*'staging data'!Y145</f>
        <v>34.799999999999997</v>
      </c>
    </row>
    <row r="146" spans="1:35" x14ac:dyDescent="0.3">
      <c r="A146" s="3" t="s">
        <v>503</v>
      </c>
      <c r="B146" s="28">
        <v>45141</v>
      </c>
      <c r="C146" s="28" t="str">
        <f t="shared" si="43"/>
        <v>Q3</v>
      </c>
      <c r="D146" s="28" t="str">
        <f t="shared" si="44"/>
        <v>2025</v>
      </c>
      <c r="E146" s="28" t="str">
        <f t="shared" si="45"/>
        <v>May</v>
      </c>
      <c r="F146" s="5">
        <v>45792</v>
      </c>
      <c r="G146" s="5">
        <f t="shared" si="33"/>
        <v>45813</v>
      </c>
      <c r="H146" s="5">
        <v>45813</v>
      </c>
      <c r="I146" s="5" t="str">
        <f t="shared" si="46"/>
        <v>Achieved</v>
      </c>
      <c r="J146" s="14">
        <f t="shared" si="47"/>
        <v>21</v>
      </c>
      <c r="K146" s="14">
        <f t="shared" si="34"/>
        <v>21</v>
      </c>
      <c r="L146" s="3" t="s">
        <v>646</v>
      </c>
      <c r="M146" s="3" t="s">
        <v>651</v>
      </c>
      <c r="N146" s="3" t="s">
        <v>665</v>
      </c>
      <c r="O146" s="3" t="s">
        <v>705</v>
      </c>
      <c r="P146" s="3" t="s">
        <v>710</v>
      </c>
      <c r="Q146" s="3" t="s">
        <v>721</v>
      </c>
      <c r="R146" s="3" t="s">
        <v>729</v>
      </c>
      <c r="S146" s="3" t="s">
        <v>1221</v>
      </c>
      <c r="T146" s="21">
        <v>1466.5</v>
      </c>
      <c r="U146" s="21" t="str">
        <f t="shared" si="48"/>
        <v>High</v>
      </c>
      <c r="V146">
        <f t="shared" si="35"/>
        <v>2778.74</v>
      </c>
      <c r="W146" s="7">
        <v>2778.74</v>
      </c>
      <c r="X146" s="8">
        <v>0.13500000000000001</v>
      </c>
      <c r="Y146" s="14">
        <v>4</v>
      </c>
      <c r="Z146" s="7">
        <f t="shared" si="36"/>
        <v>375.12990000000002</v>
      </c>
      <c r="AA146" s="7">
        <f t="shared" si="37"/>
        <v>9614.4403999999995</v>
      </c>
      <c r="AB146" s="7">
        <f t="shared" si="38"/>
        <v>9239.3104999999996</v>
      </c>
      <c r="AC146" s="7">
        <f t="shared" si="39"/>
        <v>5866</v>
      </c>
      <c r="AD146" s="7">
        <f t="shared" si="40"/>
        <v>3748.4403999999995</v>
      </c>
      <c r="AE146" s="7">
        <f t="shared" si="41"/>
        <v>3373.3104999999996</v>
      </c>
      <c r="AF146" s="26">
        <f t="shared" si="42"/>
        <v>1.6390113194681213</v>
      </c>
      <c r="AG146" s="8">
        <f>IF(DASHBOARD!$Q$7&gt;'staging data'!X146,'staging data'!X146,DASHBOARD!$Q$7)</f>
        <v>0.13500000000000001</v>
      </c>
      <c r="AH146">
        <f>(100%+DASHBOARD!$Q$8)*'staging data'!T146</f>
        <v>1686.4749999999999</v>
      </c>
      <c r="AI146">
        <f>(100%+DASHBOARD!$Q$9)*'staging data'!Y146</f>
        <v>4.8</v>
      </c>
    </row>
    <row r="147" spans="1:35" x14ac:dyDescent="0.3">
      <c r="A147" s="3" t="s">
        <v>500</v>
      </c>
      <c r="B147" s="28">
        <v>45142</v>
      </c>
      <c r="C147" s="28" t="str">
        <f t="shared" si="43"/>
        <v>Q3</v>
      </c>
      <c r="D147" s="28" t="str">
        <f t="shared" si="44"/>
        <v>2023</v>
      </c>
      <c r="E147" s="28" t="str">
        <f t="shared" si="45"/>
        <v>Oct</v>
      </c>
      <c r="F147" s="5">
        <v>45224</v>
      </c>
      <c r="G147" s="5">
        <f t="shared" si="33"/>
        <v>45254</v>
      </c>
      <c r="H147" s="5">
        <v>45254</v>
      </c>
      <c r="I147" s="5" t="str">
        <f t="shared" si="46"/>
        <v>Achieved</v>
      </c>
      <c r="J147" s="14">
        <f t="shared" si="47"/>
        <v>30</v>
      </c>
      <c r="K147" s="14">
        <f t="shared" si="34"/>
        <v>30</v>
      </c>
      <c r="L147" s="3" t="s">
        <v>648</v>
      </c>
      <c r="M147" s="3" t="s">
        <v>656</v>
      </c>
      <c r="N147" s="3" t="s">
        <v>689</v>
      </c>
      <c r="O147" s="3" t="s">
        <v>705</v>
      </c>
      <c r="P147" s="3" t="s">
        <v>709</v>
      </c>
      <c r="Q147" s="3" t="s">
        <v>711</v>
      </c>
      <c r="R147" s="3" t="s">
        <v>729</v>
      </c>
      <c r="S147" s="3" t="s">
        <v>1218</v>
      </c>
      <c r="T147" s="21">
        <v>287.85000000000002</v>
      </c>
      <c r="U147" s="21" t="str">
        <f t="shared" si="48"/>
        <v>Medium</v>
      </c>
      <c r="V147">
        <f t="shared" si="35"/>
        <v>602.91999999999996</v>
      </c>
      <c r="W147" s="7">
        <v>602.91999999999996</v>
      </c>
      <c r="X147" s="8">
        <v>0.222</v>
      </c>
      <c r="Y147" s="14">
        <v>11</v>
      </c>
      <c r="Z147" s="7">
        <f t="shared" si="36"/>
        <v>133.84824</v>
      </c>
      <c r="AA147" s="7">
        <f t="shared" si="37"/>
        <v>5159.7893599999998</v>
      </c>
      <c r="AB147" s="7">
        <f t="shared" si="38"/>
        <v>5025.9411199999995</v>
      </c>
      <c r="AC147" s="7">
        <f t="shared" si="39"/>
        <v>3166.3500000000004</v>
      </c>
      <c r="AD147" s="7">
        <f t="shared" si="40"/>
        <v>1993.4393599999994</v>
      </c>
      <c r="AE147" s="7">
        <f t="shared" si="41"/>
        <v>1859.5911199999991</v>
      </c>
      <c r="AF147" s="26">
        <f t="shared" si="42"/>
        <v>1.6295701233281221</v>
      </c>
      <c r="AG147" s="8">
        <f>IF(DASHBOARD!$Q$7&gt;'staging data'!X147,'staging data'!X147,DASHBOARD!$Q$7)</f>
        <v>0.2</v>
      </c>
      <c r="AH147">
        <f>(100%+DASHBOARD!$Q$8)*'staging data'!T147</f>
        <v>331.02749999999997</v>
      </c>
      <c r="AI147">
        <f>(100%+DASHBOARD!$Q$9)*'staging data'!Y147</f>
        <v>13.2</v>
      </c>
    </row>
    <row r="148" spans="1:35" x14ac:dyDescent="0.3">
      <c r="A148" s="3" t="s">
        <v>499</v>
      </c>
      <c r="B148" s="28">
        <v>45146</v>
      </c>
      <c r="C148" s="28" t="str">
        <f t="shared" si="43"/>
        <v>Q3</v>
      </c>
      <c r="D148" s="28" t="str">
        <f t="shared" si="44"/>
        <v>2024</v>
      </c>
      <c r="E148" s="28" t="str">
        <f t="shared" si="45"/>
        <v>Dec</v>
      </c>
      <c r="F148" s="5">
        <v>45634</v>
      </c>
      <c r="G148" s="5">
        <f t="shared" si="33"/>
        <v>45634</v>
      </c>
      <c r="H148" s="5">
        <v>45634</v>
      </c>
      <c r="I148" s="5" t="str">
        <f t="shared" si="46"/>
        <v>Not achieved</v>
      </c>
      <c r="J148" s="14">
        <f t="shared" si="47"/>
        <v>0</v>
      </c>
      <c r="K148" s="14">
        <f t="shared" si="34"/>
        <v>0</v>
      </c>
      <c r="L148" s="3" t="s">
        <v>648</v>
      </c>
      <c r="M148" s="3" t="s">
        <v>656</v>
      </c>
      <c r="N148" s="3" t="s">
        <v>678</v>
      </c>
      <c r="O148" s="3" t="s">
        <v>705</v>
      </c>
      <c r="P148" s="3" t="s">
        <v>706</v>
      </c>
      <c r="Q148" s="3" t="s">
        <v>721</v>
      </c>
      <c r="R148" s="3" t="s">
        <v>726</v>
      </c>
      <c r="S148" s="3" t="s">
        <v>1217</v>
      </c>
      <c r="T148" s="21">
        <v>257.44</v>
      </c>
      <c r="U148" s="21" t="str">
        <f t="shared" si="48"/>
        <v>Low</v>
      </c>
      <c r="V148">
        <f t="shared" si="35"/>
        <v>290.33</v>
      </c>
      <c r="W148" s="7">
        <v>290.33</v>
      </c>
      <c r="X148" s="8">
        <v>9.1999999999999998E-2</v>
      </c>
      <c r="Y148" s="14">
        <v>23</v>
      </c>
      <c r="Z148" s="7">
        <f t="shared" si="36"/>
        <v>26.710359999999998</v>
      </c>
      <c r="AA148" s="7">
        <f t="shared" si="37"/>
        <v>6063.2517199999993</v>
      </c>
      <c r="AB148" s="7">
        <f t="shared" si="38"/>
        <v>6036.5413599999993</v>
      </c>
      <c r="AC148" s="7">
        <f t="shared" si="39"/>
        <v>5921.12</v>
      </c>
      <c r="AD148" s="7">
        <f t="shared" si="40"/>
        <v>142.1317199999994</v>
      </c>
      <c r="AE148" s="7">
        <f t="shared" si="41"/>
        <v>115.42135999999937</v>
      </c>
      <c r="AF148" s="26">
        <f t="shared" si="42"/>
        <v>1.0240041951522685</v>
      </c>
      <c r="AG148" s="8">
        <f>IF(DASHBOARD!$Q$7&gt;'staging data'!X148,'staging data'!X148,DASHBOARD!$Q$7)</f>
        <v>9.1999999999999998E-2</v>
      </c>
      <c r="AH148">
        <f>(100%+DASHBOARD!$Q$8)*'staging data'!T148</f>
        <v>296.05599999999998</v>
      </c>
      <c r="AI148">
        <f>(100%+DASHBOARD!$Q$9)*'staging data'!Y148</f>
        <v>27.599999999999998</v>
      </c>
    </row>
    <row r="149" spans="1:35" x14ac:dyDescent="0.3">
      <c r="A149" s="3" t="s">
        <v>498</v>
      </c>
      <c r="B149" s="28">
        <v>45148</v>
      </c>
      <c r="C149" s="28" t="str">
        <f t="shared" si="43"/>
        <v>Q3</v>
      </c>
      <c r="D149" s="28" t="str">
        <f t="shared" si="44"/>
        <v>2023</v>
      </c>
      <c r="E149" s="28" t="str">
        <f t="shared" si="45"/>
        <v>Aug</v>
      </c>
      <c r="F149" s="5">
        <v>45148</v>
      </c>
      <c r="G149" s="5">
        <f t="shared" si="33"/>
        <v>45153</v>
      </c>
      <c r="H149" s="5">
        <v>45153</v>
      </c>
      <c r="I149" s="5" t="str">
        <f t="shared" si="46"/>
        <v>Not achieved</v>
      </c>
      <c r="J149" s="14">
        <f t="shared" si="47"/>
        <v>5</v>
      </c>
      <c r="K149" s="14">
        <f t="shared" si="34"/>
        <v>5</v>
      </c>
      <c r="L149" s="3" t="s">
        <v>647</v>
      </c>
      <c r="M149" s="3" t="s">
        <v>654</v>
      </c>
      <c r="N149" s="3" t="s">
        <v>669</v>
      </c>
      <c r="O149" s="3" t="s">
        <v>701</v>
      </c>
      <c r="P149" s="3" t="s">
        <v>710</v>
      </c>
      <c r="Q149" s="3" t="s">
        <v>714</v>
      </c>
      <c r="R149" s="3" t="s">
        <v>728</v>
      </c>
      <c r="S149" s="3" t="s">
        <v>1216</v>
      </c>
      <c r="T149" s="21">
        <v>1307.52</v>
      </c>
      <c r="U149" s="21" t="str">
        <f t="shared" si="48"/>
        <v>High</v>
      </c>
      <c r="V149">
        <f t="shared" si="35"/>
        <v>1921.65</v>
      </c>
      <c r="W149" s="7">
        <v>1921.65</v>
      </c>
      <c r="X149" s="8">
        <v>0.123</v>
      </c>
      <c r="Y149" s="14">
        <v>13</v>
      </c>
      <c r="Z149" s="7">
        <f t="shared" si="36"/>
        <v>236.36295000000001</v>
      </c>
      <c r="AA149" s="7">
        <f t="shared" si="37"/>
        <v>21908.731650000002</v>
      </c>
      <c r="AB149" s="7">
        <f t="shared" si="38"/>
        <v>21672.368700000003</v>
      </c>
      <c r="AC149" s="7">
        <f t="shared" si="39"/>
        <v>16997.759999999998</v>
      </c>
      <c r="AD149" s="7">
        <f t="shared" si="40"/>
        <v>4910.9716500000031</v>
      </c>
      <c r="AE149" s="7">
        <f t="shared" si="41"/>
        <v>4674.6087000000043</v>
      </c>
      <c r="AF149" s="26">
        <f t="shared" si="42"/>
        <v>1.2889187545888401</v>
      </c>
      <c r="AG149" s="8">
        <f>IF(DASHBOARD!$Q$7&gt;'staging data'!X149,'staging data'!X149,DASHBOARD!$Q$7)</f>
        <v>0.123</v>
      </c>
      <c r="AH149">
        <f>(100%+DASHBOARD!$Q$8)*'staging data'!T149</f>
        <v>1503.6479999999999</v>
      </c>
      <c r="AI149">
        <f>(100%+DASHBOARD!$Q$9)*'staging data'!Y149</f>
        <v>15.6</v>
      </c>
    </row>
    <row r="150" spans="1:35" x14ac:dyDescent="0.3">
      <c r="A150" s="3" t="s">
        <v>497</v>
      </c>
      <c r="B150" s="28">
        <v>45150</v>
      </c>
      <c r="C150" s="28" t="str">
        <f t="shared" si="43"/>
        <v>Q3</v>
      </c>
      <c r="D150" s="28" t="str">
        <f t="shared" si="44"/>
        <v>2025</v>
      </c>
      <c r="E150" s="28" t="str">
        <f t="shared" si="45"/>
        <v>Apr</v>
      </c>
      <c r="F150" s="5">
        <v>45775</v>
      </c>
      <c r="G150" s="5">
        <f t="shared" si="33"/>
        <v>45796</v>
      </c>
      <c r="H150" s="5">
        <v>45796</v>
      </c>
      <c r="I150" s="5" t="str">
        <f t="shared" si="46"/>
        <v>Achieved</v>
      </c>
      <c r="J150" s="14">
        <f t="shared" si="47"/>
        <v>21</v>
      </c>
      <c r="K150" s="14">
        <f t="shared" si="34"/>
        <v>21</v>
      </c>
      <c r="L150" s="3" t="s">
        <v>648</v>
      </c>
      <c r="M150" s="3" t="s">
        <v>655</v>
      </c>
      <c r="N150" s="3" t="s">
        <v>670</v>
      </c>
      <c r="O150" s="3" t="s">
        <v>700</v>
      </c>
      <c r="P150" s="3" t="s">
        <v>709</v>
      </c>
      <c r="Q150" s="3" t="s">
        <v>716</v>
      </c>
      <c r="R150" s="3" t="s">
        <v>729</v>
      </c>
      <c r="S150" s="3" t="s">
        <v>1215</v>
      </c>
      <c r="T150" s="21">
        <v>350.76</v>
      </c>
      <c r="U150" s="21" t="str">
        <f t="shared" si="48"/>
        <v>Low</v>
      </c>
      <c r="V150">
        <f t="shared" si="35"/>
        <v>492.18</v>
      </c>
      <c r="W150" s="7">
        <v>492.18</v>
      </c>
      <c r="X150" s="8">
        <v>5.2999999999999999E-2</v>
      </c>
      <c r="Y150" s="14">
        <v>11</v>
      </c>
      <c r="Z150" s="7">
        <f t="shared" si="36"/>
        <v>26.085539999999998</v>
      </c>
      <c r="AA150" s="7">
        <f t="shared" si="37"/>
        <v>5127.0390600000001</v>
      </c>
      <c r="AB150" s="7">
        <f t="shared" si="38"/>
        <v>5100.95352</v>
      </c>
      <c r="AC150" s="7">
        <f t="shared" si="39"/>
        <v>3858.3599999999997</v>
      </c>
      <c r="AD150" s="7">
        <f t="shared" si="40"/>
        <v>1268.6790600000004</v>
      </c>
      <c r="AE150" s="7">
        <f t="shared" si="41"/>
        <v>1242.5935200000004</v>
      </c>
      <c r="AF150" s="26">
        <f t="shared" si="42"/>
        <v>1.3288130345535409</v>
      </c>
      <c r="AG150" s="8">
        <f>IF(DASHBOARD!$Q$7&gt;'staging data'!X150,'staging data'!X150,DASHBOARD!$Q$7)</f>
        <v>5.2999999999999999E-2</v>
      </c>
      <c r="AH150">
        <f>(100%+DASHBOARD!$Q$8)*'staging data'!T150</f>
        <v>403.37399999999997</v>
      </c>
      <c r="AI150">
        <f>(100%+DASHBOARD!$Q$9)*'staging data'!Y150</f>
        <v>13.2</v>
      </c>
    </row>
    <row r="151" spans="1:35" x14ac:dyDescent="0.3">
      <c r="A151" s="3" t="s">
        <v>495</v>
      </c>
      <c r="B151" s="28">
        <v>45153</v>
      </c>
      <c r="C151" s="28" t="str">
        <f t="shared" si="43"/>
        <v>Q3</v>
      </c>
      <c r="D151" s="28" t="str">
        <f t="shared" si="44"/>
        <v>2024</v>
      </c>
      <c r="E151" s="28" t="str">
        <f t="shared" si="45"/>
        <v>Sept</v>
      </c>
      <c r="F151" s="5">
        <v>45538</v>
      </c>
      <c r="G151" s="5">
        <f t="shared" si="33"/>
        <v>45542</v>
      </c>
      <c r="H151" s="5">
        <v>45542</v>
      </c>
      <c r="I151" s="5" t="str">
        <f t="shared" si="46"/>
        <v>Not achieved</v>
      </c>
      <c r="J151" s="14">
        <f t="shared" si="47"/>
        <v>4</v>
      </c>
      <c r="K151" s="14">
        <f t="shared" si="34"/>
        <v>4</v>
      </c>
      <c r="L151" s="3" t="s">
        <v>646</v>
      </c>
      <c r="M151" s="3" t="s">
        <v>651</v>
      </c>
      <c r="N151" s="3" t="s">
        <v>688</v>
      </c>
      <c r="O151" s="3" t="s">
        <v>704</v>
      </c>
      <c r="P151" s="3" t="s">
        <v>709</v>
      </c>
      <c r="Q151" s="3" t="s">
        <v>724</v>
      </c>
      <c r="R151" s="3" t="s">
        <v>727</v>
      </c>
      <c r="S151" s="3" t="s">
        <v>1213</v>
      </c>
      <c r="T151" s="21">
        <v>43.23</v>
      </c>
      <c r="U151" s="21" t="str">
        <f t="shared" si="48"/>
        <v>Low</v>
      </c>
      <c r="V151">
        <f t="shared" si="35"/>
        <v>94.78</v>
      </c>
      <c r="W151" s="7">
        <v>94.78</v>
      </c>
      <c r="X151" s="8">
        <v>9.0999999999999998E-2</v>
      </c>
      <c r="Y151" s="14">
        <v>55</v>
      </c>
      <c r="Z151" s="7">
        <f t="shared" si="36"/>
        <v>8.6249800000000008</v>
      </c>
      <c r="AA151" s="7">
        <f t="shared" si="37"/>
        <v>4738.5261</v>
      </c>
      <c r="AB151" s="7">
        <f t="shared" si="38"/>
        <v>4729.9011200000004</v>
      </c>
      <c r="AC151" s="7">
        <f t="shared" si="39"/>
        <v>2377.6499999999996</v>
      </c>
      <c r="AD151" s="7">
        <f t="shared" si="40"/>
        <v>2360.8761000000004</v>
      </c>
      <c r="AE151" s="7">
        <f t="shared" si="41"/>
        <v>2352.2511200000008</v>
      </c>
      <c r="AF151" s="26">
        <f t="shared" si="42"/>
        <v>1.9929451769604445</v>
      </c>
      <c r="AG151" s="8">
        <f>IF(DASHBOARD!$Q$7&gt;'staging data'!X151,'staging data'!X151,DASHBOARD!$Q$7)</f>
        <v>9.0999999999999998E-2</v>
      </c>
      <c r="AH151">
        <f>(100%+DASHBOARD!$Q$8)*'staging data'!T151</f>
        <v>49.714499999999994</v>
      </c>
      <c r="AI151">
        <f>(100%+DASHBOARD!$Q$9)*'staging data'!Y151</f>
        <v>66</v>
      </c>
    </row>
    <row r="152" spans="1:35" x14ac:dyDescent="0.3">
      <c r="A152" s="3" t="s">
        <v>496</v>
      </c>
      <c r="B152" s="28">
        <v>45153</v>
      </c>
      <c r="C152" s="28" t="str">
        <f t="shared" si="43"/>
        <v>Q3</v>
      </c>
      <c r="D152" s="28" t="str">
        <f t="shared" si="44"/>
        <v>2025</v>
      </c>
      <c r="E152" s="28" t="str">
        <f t="shared" si="45"/>
        <v>Aug</v>
      </c>
      <c r="F152" s="5">
        <v>45899</v>
      </c>
      <c r="G152" s="5">
        <f t="shared" si="33"/>
        <v>45903</v>
      </c>
      <c r="H152" s="5">
        <v>45903</v>
      </c>
      <c r="I152" s="5" t="str">
        <f t="shared" si="46"/>
        <v>Not achieved</v>
      </c>
      <c r="J152" s="14">
        <f t="shared" si="47"/>
        <v>4</v>
      </c>
      <c r="K152" s="14">
        <f t="shared" si="34"/>
        <v>4</v>
      </c>
      <c r="L152" s="3" t="s">
        <v>648</v>
      </c>
      <c r="M152" s="3" t="s">
        <v>656</v>
      </c>
      <c r="N152" s="3" t="s">
        <v>672</v>
      </c>
      <c r="O152" s="3" t="s">
        <v>704</v>
      </c>
      <c r="P152" s="3" t="s">
        <v>708</v>
      </c>
      <c r="Q152" s="3" t="s">
        <v>712</v>
      </c>
      <c r="R152" s="3" t="s">
        <v>730</v>
      </c>
      <c r="S152" s="3" t="s">
        <v>1214</v>
      </c>
      <c r="T152" s="21">
        <v>1286.56</v>
      </c>
      <c r="U152" s="21" t="str">
        <f t="shared" si="48"/>
        <v>High</v>
      </c>
      <c r="V152">
        <f t="shared" si="35"/>
        <v>2777.35</v>
      </c>
      <c r="W152" s="7">
        <v>2777.35</v>
      </c>
      <c r="X152" s="8">
        <v>0.13200000000000001</v>
      </c>
      <c r="Y152" s="14">
        <v>15</v>
      </c>
      <c r="Z152" s="7">
        <f t="shared" si="36"/>
        <v>366.61020000000002</v>
      </c>
      <c r="AA152" s="7">
        <f t="shared" si="37"/>
        <v>36161.097000000002</v>
      </c>
      <c r="AB152" s="7">
        <f t="shared" si="38"/>
        <v>35794.486799999999</v>
      </c>
      <c r="AC152" s="7">
        <f t="shared" si="39"/>
        <v>19298.399999999998</v>
      </c>
      <c r="AD152" s="7">
        <f t="shared" si="40"/>
        <v>16862.697000000004</v>
      </c>
      <c r="AE152" s="7">
        <f t="shared" si="41"/>
        <v>16496.086800000001</v>
      </c>
      <c r="AF152" s="26">
        <f t="shared" si="42"/>
        <v>1.873787308792439</v>
      </c>
      <c r="AG152" s="8">
        <f>IF(DASHBOARD!$Q$7&gt;'staging data'!X152,'staging data'!X152,DASHBOARD!$Q$7)</f>
        <v>0.13200000000000001</v>
      </c>
      <c r="AH152">
        <f>(100%+DASHBOARD!$Q$8)*'staging data'!T152</f>
        <v>1479.5439999999999</v>
      </c>
      <c r="AI152">
        <f>(100%+DASHBOARD!$Q$9)*'staging data'!Y152</f>
        <v>18</v>
      </c>
    </row>
    <row r="153" spans="1:35" x14ac:dyDescent="0.3">
      <c r="A153" s="3" t="s">
        <v>494</v>
      </c>
      <c r="B153" s="28">
        <v>45155</v>
      </c>
      <c r="C153" s="28" t="str">
        <f t="shared" si="43"/>
        <v>Q3</v>
      </c>
      <c r="D153" s="28" t="str">
        <f t="shared" si="44"/>
        <v>2024</v>
      </c>
      <c r="E153" s="28" t="str">
        <f t="shared" si="45"/>
        <v>Jan</v>
      </c>
      <c r="F153" s="5">
        <v>45293</v>
      </c>
      <c r="G153" s="5">
        <f t="shared" si="33"/>
        <v>45306</v>
      </c>
      <c r="H153" s="5">
        <v>45306</v>
      </c>
      <c r="I153" s="5" t="str">
        <f t="shared" si="46"/>
        <v>Achieved</v>
      </c>
      <c r="J153" s="14">
        <f t="shared" si="47"/>
        <v>13</v>
      </c>
      <c r="K153" s="14">
        <f t="shared" si="34"/>
        <v>13</v>
      </c>
      <c r="L153" s="3" t="s">
        <v>646</v>
      </c>
      <c r="M153" s="3" t="s">
        <v>651</v>
      </c>
      <c r="N153" s="3" t="s">
        <v>693</v>
      </c>
      <c r="O153" s="3" t="s">
        <v>704</v>
      </c>
      <c r="P153" s="3" t="s">
        <v>708</v>
      </c>
      <c r="Q153" s="3" t="s">
        <v>714</v>
      </c>
      <c r="R153" s="3" t="s">
        <v>728</v>
      </c>
      <c r="S153" s="3" t="s">
        <v>1212</v>
      </c>
      <c r="T153" s="21">
        <v>1219.06</v>
      </c>
      <c r="U153" s="21" t="str">
        <f t="shared" si="48"/>
        <v>High</v>
      </c>
      <c r="V153">
        <f t="shared" si="35"/>
        <v>2738.69</v>
      </c>
      <c r="W153" s="7">
        <v>2738.69</v>
      </c>
      <c r="X153" s="8">
        <v>7.5999999999999998E-2</v>
      </c>
      <c r="Y153" s="14">
        <v>16</v>
      </c>
      <c r="Z153" s="7">
        <f t="shared" si="36"/>
        <v>208.14044000000001</v>
      </c>
      <c r="AA153" s="7">
        <f t="shared" si="37"/>
        <v>40488.792960000006</v>
      </c>
      <c r="AB153" s="7">
        <f t="shared" si="38"/>
        <v>40280.652520000003</v>
      </c>
      <c r="AC153" s="7">
        <f t="shared" si="39"/>
        <v>19504.96</v>
      </c>
      <c r="AD153" s="7">
        <f t="shared" si="40"/>
        <v>20983.832960000007</v>
      </c>
      <c r="AE153" s="7">
        <f t="shared" si="41"/>
        <v>20775.692520000004</v>
      </c>
      <c r="AF153" s="26">
        <f t="shared" si="42"/>
        <v>2.0758203533870363</v>
      </c>
      <c r="AG153" s="8">
        <f>IF(DASHBOARD!$Q$7&gt;'staging data'!X153,'staging data'!X153,DASHBOARD!$Q$7)</f>
        <v>7.5999999999999998E-2</v>
      </c>
      <c r="AH153">
        <f>(100%+DASHBOARD!$Q$8)*'staging data'!T153</f>
        <v>1401.9189999999999</v>
      </c>
      <c r="AI153">
        <f>(100%+DASHBOARD!$Q$9)*'staging data'!Y153</f>
        <v>19.2</v>
      </c>
    </row>
    <row r="154" spans="1:35" x14ac:dyDescent="0.3">
      <c r="A154" s="3" t="s">
        <v>491</v>
      </c>
      <c r="B154" s="28">
        <v>45157</v>
      </c>
      <c r="C154" s="28" t="str">
        <f t="shared" si="43"/>
        <v>Q3</v>
      </c>
      <c r="D154" s="28" t="str">
        <f t="shared" si="44"/>
        <v>2023</v>
      </c>
      <c r="E154" s="28" t="str">
        <f t="shared" si="45"/>
        <v>Mar</v>
      </c>
      <c r="F154" s="5">
        <v>44999</v>
      </c>
      <c r="G154" s="5">
        <f t="shared" si="33"/>
        <v>45003</v>
      </c>
      <c r="H154" s="5">
        <v>45003</v>
      </c>
      <c r="I154" s="5" t="str">
        <f t="shared" si="46"/>
        <v>Not achieved</v>
      </c>
      <c r="J154" s="14">
        <f t="shared" si="47"/>
        <v>4</v>
      </c>
      <c r="K154" s="14">
        <f t="shared" si="34"/>
        <v>4</v>
      </c>
      <c r="L154" s="3" t="s">
        <v>648</v>
      </c>
      <c r="M154" s="3" t="s">
        <v>655</v>
      </c>
      <c r="N154" s="3" t="s">
        <v>697</v>
      </c>
      <c r="O154" s="3" t="s">
        <v>705</v>
      </c>
      <c r="P154" s="3" t="s">
        <v>710</v>
      </c>
      <c r="Q154" s="3" t="s">
        <v>719</v>
      </c>
      <c r="R154" s="3" t="s">
        <v>726</v>
      </c>
      <c r="S154" s="3" t="s">
        <v>1209</v>
      </c>
      <c r="T154" s="21">
        <v>472.33</v>
      </c>
      <c r="U154" s="21" t="str">
        <f t="shared" si="48"/>
        <v>Low</v>
      </c>
      <c r="V154">
        <f t="shared" si="35"/>
        <v>360.34</v>
      </c>
      <c r="W154" s="7">
        <v>360.34</v>
      </c>
      <c r="X154" s="8">
        <v>0.16500000000000001</v>
      </c>
      <c r="Y154" s="14">
        <v>14</v>
      </c>
      <c r="Z154" s="7">
        <f t="shared" si="36"/>
        <v>59.456099999999999</v>
      </c>
      <c r="AA154" s="7">
        <f t="shared" si="37"/>
        <v>4212.3745999999992</v>
      </c>
      <c r="AB154" s="7">
        <f t="shared" si="38"/>
        <v>4152.9184999999989</v>
      </c>
      <c r="AC154" s="7">
        <f t="shared" si="39"/>
        <v>6612.62</v>
      </c>
      <c r="AD154" s="7">
        <f t="shared" si="40"/>
        <v>-2400.2454000000007</v>
      </c>
      <c r="AE154" s="7">
        <f t="shared" si="41"/>
        <v>-2459.701500000001</v>
      </c>
      <c r="AF154" s="26">
        <f t="shared" si="42"/>
        <v>0.63702051531768034</v>
      </c>
      <c r="AG154" s="8">
        <f>IF(DASHBOARD!$Q$7&gt;'staging data'!X154,'staging data'!X154,DASHBOARD!$Q$7)</f>
        <v>0.16500000000000001</v>
      </c>
      <c r="AH154">
        <f>(100%+DASHBOARD!$Q$8)*'staging data'!T154</f>
        <v>543.17949999999996</v>
      </c>
      <c r="AI154">
        <f>(100%+DASHBOARD!$Q$9)*'staging data'!Y154</f>
        <v>16.8</v>
      </c>
    </row>
    <row r="155" spans="1:35" x14ac:dyDescent="0.3">
      <c r="A155" s="3" t="s">
        <v>492</v>
      </c>
      <c r="B155" s="28">
        <v>45157</v>
      </c>
      <c r="C155" s="28" t="str">
        <f t="shared" si="43"/>
        <v>Q3</v>
      </c>
      <c r="D155" s="28" t="str">
        <f t="shared" si="44"/>
        <v>2023</v>
      </c>
      <c r="E155" s="28" t="str">
        <f t="shared" si="45"/>
        <v>Jul</v>
      </c>
      <c r="F155" s="5">
        <v>45123</v>
      </c>
      <c r="G155" s="5">
        <f t="shared" si="33"/>
        <v>45151</v>
      </c>
      <c r="H155" s="5">
        <v>45151</v>
      </c>
      <c r="I155" s="5" t="str">
        <f t="shared" si="46"/>
        <v>Achieved</v>
      </c>
      <c r="J155" s="14">
        <f t="shared" si="47"/>
        <v>28</v>
      </c>
      <c r="K155" s="14">
        <f t="shared" si="34"/>
        <v>28</v>
      </c>
      <c r="L155" s="3" t="s">
        <v>648</v>
      </c>
      <c r="M155" s="3" t="s">
        <v>657</v>
      </c>
      <c r="N155" s="3" t="s">
        <v>692</v>
      </c>
      <c r="O155" s="3" t="s">
        <v>702</v>
      </c>
      <c r="P155" s="3" t="s">
        <v>707</v>
      </c>
      <c r="Q155" s="3" t="s">
        <v>712</v>
      </c>
      <c r="R155" s="3" t="s">
        <v>730</v>
      </c>
      <c r="S155" s="3" t="s">
        <v>1210</v>
      </c>
      <c r="T155" s="21">
        <v>1039.03</v>
      </c>
      <c r="U155" s="21" t="str">
        <f t="shared" si="48"/>
        <v>High</v>
      </c>
      <c r="V155">
        <f t="shared" si="35"/>
        <v>2545.81</v>
      </c>
      <c r="W155" s="7">
        <v>2545.81</v>
      </c>
      <c r="X155" s="8">
        <v>0.216</v>
      </c>
      <c r="Y155" s="14">
        <v>21</v>
      </c>
      <c r="Z155" s="7">
        <f t="shared" si="36"/>
        <v>549.89495999999997</v>
      </c>
      <c r="AA155" s="7">
        <f t="shared" si="37"/>
        <v>41914.215840000004</v>
      </c>
      <c r="AB155" s="7">
        <f t="shared" si="38"/>
        <v>41364.320880000007</v>
      </c>
      <c r="AC155" s="7">
        <f t="shared" si="39"/>
        <v>21819.63</v>
      </c>
      <c r="AD155" s="7">
        <f t="shared" si="40"/>
        <v>20094.585840000003</v>
      </c>
      <c r="AE155" s="7">
        <f t="shared" si="41"/>
        <v>19544.690880000006</v>
      </c>
      <c r="AF155" s="26">
        <f t="shared" si="42"/>
        <v>1.9209407235594738</v>
      </c>
      <c r="AG155" s="8">
        <f>IF(DASHBOARD!$Q$7&gt;'staging data'!X155,'staging data'!X155,DASHBOARD!$Q$7)</f>
        <v>0.2</v>
      </c>
      <c r="AH155">
        <f>(100%+DASHBOARD!$Q$8)*'staging data'!T155</f>
        <v>1194.8844999999999</v>
      </c>
      <c r="AI155">
        <f>(100%+DASHBOARD!$Q$9)*'staging data'!Y155</f>
        <v>25.2</v>
      </c>
    </row>
    <row r="156" spans="1:35" x14ac:dyDescent="0.3">
      <c r="A156" s="3" t="s">
        <v>493</v>
      </c>
      <c r="B156" s="28">
        <v>45157</v>
      </c>
      <c r="C156" s="28" t="str">
        <f t="shared" si="43"/>
        <v>Q3</v>
      </c>
      <c r="D156" s="28" t="str">
        <f t="shared" si="44"/>
        <v>2023</v>
      </c>
      <c r="E156" s="28" t="str">
        <f t="shared" si="45"/>
        <v>Apr</v>
      </c>
      <c r="F156" s="5">
        <v>45032</v>
      </c>
      <c r="G156" s="5">
        <f t="shared" si="33"/>
        <v>45035</v>
      </c>
      <c r="H156" s="5">
        <v>45035</v>
      </c>
      <c r="I156" s="5" t="str">
        <f t="shared" si="46"/>
        <v>Not achieved</v>
      </c>
      <c r="J156" s="14">
        <f t="shared" si="47"/>
        <v>3</v>
      </c>
      <c r="K156" s="14">
        <f t="shared" si="34"/>
        <v>3</v>
      </c>
      <c r="L156" s="3" t="s">
        <v>648</v>
      </c>
      <c r="M156" s="3" t="s">
        <v>655</v>
      </c>
      <c r="N156" s="3" t="s">
        <v>683</v>
      </c>
      <c r="O156" s="3" t="s">
        <v>700</v>
      </c>
      <c r="P156" s="3" t="s">
        <v>710</v>
      </c>
      <c r="Q156" s="3" t="s">
        <v>716</v>
      </c>
      <c r="R156" s="3" t="s">
        <v>732</v>
      </c>
      <c r="S156" s="3" t="s">
        <v>1211</v>
      </c>
      <c r="T156" s="21">
        <v>553.61</v>
      </c>
      <c r="U156" s="21" t="str">
        <f t="shared" si="48"/>
        <v>Medium</v>
      </c>
      <c r="V156">
        <f t="shared" si="35"/>
        <v>699.47</v>
      </c>
      <c r="W156" s="7">
        <v>699.47</v>
      </c>
      <c r="X156" s="8">
        <v>0.02</v>
      </c>
      <c r="Y156" s="14">
        <v>33</v>
      </c>
      <c r="Z156" s="7">
        <f t="shared" si="36"/>
        <v>13.989400000000002</v>
      </c>
      <c r="AA156" s="7">
        <f t="shared" si="37"/>
        <v>22620.859800000002</v>
      </c>
      <c r="AB156" s="7">
        <f t="shared" si="38"/>
        <v>22606.870400000003</v>
      </c>
      <c r="AC156" s="7">
        <f t="shared" si="39"/>
        <v>18269.13</v>
      </c>
      <c r="AD156" s="7">
        <f t="shared" si="40"/>
        <v>4351.729800000001</v>
      </c>
      <c r="AE156" s="7">
        <f t="shared" si="41"/>
        <v>4337.7404000000024</v>
      </c>
      <c r="AF156" s="26">
        <f t="shared" si="42"/>
        <v>1.2382012608153754</v>
      </c>
      <c r="AG156" s="8">
        <f>IF(DASHBOARD!$Q$7&gt;'staging data'!X156,'staging data'!X156,DASHBOARD!$Q$7)</f>
        <v>0.02</v>
      </c>
      <c r="AH156">
        <f>(100%+DASHBOARD!$Q$8)*'staging data'!T156</f>
        <v>636.65149999999994</v>
      </c>
      <c r="AI156">
        <f>(100%+DASHBOARD!$Q$9)*'staging data'!Y156</f>
        <v>39.6</v>
      </c>
    </row>
    <row r="157" spans="1:35" x14ac:dyDescent="0.3">
      <c r="A157" s="3" t="s">
        <v>490</v>
      </c>
      <c r="B157" s="28">
        <v>45159</v>
      </c>
      <c r="C157" s="28" t="str">
        <f t="shared" si="43"/>
        <v>Q3</v>
      </c>
      <c r="D157" s="28" t="str">
        <f t="shared" si="44"/>
        <v>2024</v>
      </c>
      <c r="E157" s="28" t="str">
        <f t="shared" si="45"/>
        <v>May</v>
      </c>
      <c r="F157" s="5">
        <v>45422</v>
      </c>
      <c r="G157" s="5">
        <f t="shared" si="33"/>
        <v>45428</v>
      </c>
      <c r="H157" s="5">
        <v>45428</v>
      </c>
      <c r="I157" s="5" t="str">
        <f t="shared" si="46"/>
        <v>Not achieved</v>
      </c>
      <c r="J157" s="14">
        <f t="shared" si="47"/>
        <v>6</v>
      </c>
      <c r="K157" s="14">
        <f t="shared" si="34"/>
        <v>6</v>
      </c>
      <c r="L157" s="3" t="s">
        <v>648</v>
      </c>
      <c r="M157" s="3" t="s">
        <v>657</v>
      </c>
      <c r="N157" s="3" t="s">
        <v>673</v>
      </c>
      <c r="O157" s="3" t="s">
        <v>702</v>
      </c>
      <c r="P157" s="3" t="s">
        <v>710</v>
      </c>
      <c r="Q157" s="3" t="s">
        <v>714</v>
      </c>
      <c r="R157" s="3" t="s">
        <v>730</v>
      </c>
      <c r="S157" s="3" t="s">
        <v>1208</v>
      </c>
      <c r="T157" s="21">
        <v>210.76</v>
      </c>
      <c r="U157" s="21" t="str">
        <f t="shared" si="48"/>
        <v>Low</v>
      </c>
      <c r="V157">
        <f t="shared" si="35"/>
        <v>221.58</v>
      </c>
      <c r="W157" s="7">
        <v>221.58</v>
      </c>
      <c r="X157" s="8">
        <v>8.8999999999999996E-2</v>
      </c>
      <c r="Y157" s="14">
        <v>5</v>
      </c>
      <c r="Z157" s="7">
        <f t="shared" si="36"/>
        <v>19.72062</v>
      </c>
      <c r="AA157" s="7">
        <f t="shared" si="37"/>
        <v>1009.2969000000002</v>
      </c>
      <c r="AB157" s="7">
        <f t="shared" si="38"/>
        <v>989.57628000000011</v>
      </c>
      <c r="AC157" s="7">
        <f t="shared" si="39"/>
        <v>1053.8</v>
      </c>
      <c r="AD157" s="7">
        <f t="shared" si="40"/>
        <v>-44.50309999999979</v>
      </c>
      <c r="AE157" s="7">
        <f t="shared" si="41"/>
        <v>-64.223719999999844</v>
      </c>
      <c r="AF157" s="26">
        <f t="shared" si="42"/>
        <v>0.95776893148605069</v>
      </c>
      <c r="AG157" s="8">
        <f>IF(DASHBOARD!$Q$7&gt;'staging data'!X157,'staging data'!X157,DASHBOARD!$Q$7)</f>
        <v>8.8999999999999996E-2</v>
      </c>
      <c r="AH157">
        <f>(100%+DASHBOARD!$Q$8)*'staging data'!T157</f>
        <v>242.37399999999997</v>
      </c>
      <c r="AI157">
        <f>(100%+DASHBOARD!$Q$9)*'staging data'!Y157</f>
        <v>6</v>
      </c>
    </row>
    <row r="158" spans="1:35" x14ac:dyDescent="0.3">
      <c r="A158" s="3" t="s">
        <v>489</v>
      </c>
      <c r="B158" s="28">
        <v>45161</v>
      </c>
      <c r="C158" s="28" t="str">
        <f t="shared" si="43"/>
        <v>Q3</v>
      </c>
      <c r="D158" s="28" t="str">
        <f t="shared" si="44"/>
        <v>2023</v>
      </c>
      <c r="E158" s="28" t="str">
        <f t="shared" si="45"/>
        <v>May</v>
      </c>
      <c r="F158" s="5">
        <v>45069</v>
      </c>
      <c r="G158" s="5">
        <f t="shared" si="33"/>
        <v>45071</v>
      </c>
      <c r="H158" s="5">
        <v>45071</v>
      </c>
      <c r="I158" s="5" t="str">
        <f t="shared" si="46"/>
        <v>Not achieved</v>
      </c>
      <c r="J158" s="14">
        <f t="shared" si="47"/>
        <v>2</v>
      </c>
      <c r="K158" s="14">
        <f t="shared" si="34"/>
        <v>2</v>
      </c>
      <c r="L158" s="3" t="s">
        <v>647</v>
      </c>
      <c r="M158" s="3" t="s">
        <v>654</v>
      </c>
      <c r="N158" s="3" t="s">
        <v>691</v>
      </c>
      <c r="O158" s="3" t="s">
        <v>705</v>
      </c>
      <c r="P158" s="3" t="s">
        <v>706</v>
      </c>
      <c r="Q158" s="3" t="s">
        <v>723</v>
      </c>
      <c r="R158" s="3" t="s">
        <v>727</v>
      </c>
      <c r="S158" s="3" t="s">
        <v>1207</v>
      </c>
      <c r="T158" s="21">
        <v>690.49</v>
      </c>
      <c r="U158" s="21" t="str">
        <f t="shared" si="48"/>
        <v>Medium</v>
      </c>
      <c r="V158">
        <f t="shared" si="35"/>
        <v>1290.29</v>
      </c>
      <c r="W158" s="7">
        <v>1290.29</v>
      </c>
      <c r="X158" s="8">
        <v>4.2000000000000003E-2</v>
      </c>
      <c r="Y158" s="14">
        <v>22</v>
      </c>
      <c r="Z158" s="7">
        <f t="shared" si="36"/>
        <v>54.19218</v>
      </c>
      <c r="AA158" s="7">
        <f t="shared" si="37"/>
        <v>27194.152039999997</v>
      </c>
      <c r="AB158" s="7">
        <f t="shared" si="38"/>
        <v>27139.959859999999</v>
      </c>
      <c r="AC158" s="7">
        <f t="shared" si="39"/>
        <v>15190.78</v>
      </c>
      <c r="AD158" s="7">
        <f t="shared" si="40"/>
        <v>12003.372039999997</v>
      </c>
      <c r="AE158" s="7">
        <f t="shared" si="41"/>
        <v>11949.179859999998</v>
      </c>
      <c r="AF158" s="26">
        <f t="shared" si="42"/>
        <v>1.7901748323654214</v>
      </c>
      <c r="AG158" s="8">
        <f>IF(DASHBOARD!$Q$7&gt;'staging data'!X158,'staging data'!X158,DASHBOARD!$Q$7)</f>
        <v>4.2000000000000003E-2</v>
      </c>
      <c r="AH158">
        <f>(100%+DASHBOARD!$Q$8)*'staging data'!T158</f>
        <v>794.06349999999998</v>
      </c>
      <c r="AI158">
        <f>(100%+DASHBOARD!$Q$9)*'staging data'!Y158</f>
        <v>26.4</v>
      </c>
    </row>
    <row r="159" spans="1:35" x14ac:dyDescent="0.3">
      <c r="A159" s="3" t="s">
        <v>488</v>
      </c>
      <c r="B159" s="28">
        <v>45162</v>
      </c>
      <c r="C159" s="28" t="str">
        <f t="shared" si="43"/>
        <v>Q3</v>
      </c>
      <c r="D159" s="28" t="str">
        <f t="shared" si="44"/>
        <v>2025</v>
      </c>
      <c r="E159" s="28" t="str">
        <f t="shared" si="45"/>
        <v>Aug</v>
      </c>
      <c r="F159" s="5">
        <v>45882</v>
      </c>
      <c r="G159" s="5">
        <f t="shared" si="33"/>
        <v>45903</v>
      </c>
      <c r="H159" s="5">
        <v>45903</v>
      </c>
      <c r="I159" s="5" t="str">
        <f t="shared" si="46"/>
        <v>Achieved</v>
      </c>
      <c r="J159" s="14">
        <f t="shared" si="47"/>
        <v>21</v>
      </c>
      <c r="K159" s="14">
        <f t="shared" si="34"/>
        <v>21</v>
      </c>
      <c r="L159" s="3" t="s">
        <v>648</v>
      </c>
      <c r="M159" s="3" t="s">
        <v>656</v>
      </c>
      <c r="N159" s="3" t="s">
        <v>689</v>
      </c>
      <c r="O159" s="3" t="s">
        <v>701</v>
      </c>
      <c r="P159" s="3" t="s">
        <v>706</v>
      </c>
      <c r="Q159" s="3" t="s">
        <v>713</v>
      </c>
      <c r="R159" s="3" t="s">
        <v>729</v>
      </c>
      <c r="S159" s="3" t="s">
        <v>1206</v>
      </c>
      <c r="T159" s="21">
        <v>603.47</v>
      </c>
      <c r="U159" s="21" t="str">
        <f t="shared" si="48"/>
        <v>Medium</v>
      </c>
      <c r="V159">
        <f t="shared" si="35"/>
        <v>1344.05</v>
      </c>
      <c r="W159" s="7">
        <v>1344.05</v>
      </c>
      <c r="X159" s="8">
        <v>0.20499999999999999</v>
      </c>
      <c r="Y159" s="14">
        <v>18</v>
      </c>
      <c r="Z159" s="7">
        <f t="shared" si="36"/>
        <v>275.53024999999997</v>
      </c>
      <c r="AA159" s="7">
        <f t="shared" si="37"/>
        <v>19233.355499999998</v>
      </c>
      <c r="AB159" s="7">
        <f t="shared" si="38"/>
        <v>18957.825249999998</v>
      </c>
      <c r="AC159" s="7">
        <f t="shared" si="39"/>
        <v>10862.460000000001</v>
      </c>
      <c r="AD159" s="7">
        <f t="shared" si="40"/>
        <v>8370.8954999999969</v>
      </c>
      <c r="AE159" s="7">
        <f t="shared" si="41"/>
        <v>8095.3652499999971</v>
      </c>
      <c r="AF159" s="26">
        <f t="shared" si="42"/>
        <v>1.770626128887931</v>
      </c>
      <c r="AG159" s="8">
        <f>IF(DASHBOARD!$Q$7&gt;'staging data'!X159,'staging data'!X159,DASHBOARD!$Q$7)</f>
        <v>0.2</v>
      </c>
      <c r="AH159">
        <f>(100%+DASHBOARD!$Q$8)*'staging data'!T159</f>
        <v>693.9905</v>
      </c>
      <c r="AI159">
        <f>(100%+DASHBOARD!$Q$9)*'staging data'!Y159</f>
        <v>21.599999999999998</v>
      </c>
    </row>
    <row r="160" spans="1:35" x14ac:dyDescent="0.3">
      <c r="A160" s="3" t="s">
        <v>487</v>
      </c>
      <c r="B160" s="28">
        <v>45163</v>
      </c>
      <c r="C160" s="28" t="str">
        <f t="shared" si="43"/>
        <v>Q3</v>
      </c>
      <c r="D160" s="28" t="str">
        <f t="shared" si="44"/>
        <v>2024</v>
      </c>
      <c r="E160" s="28" t="str">
        <f t="shared" si="45"/>
        <v>Feb</v>
      </c>
      <c r="F160" s="5">
        <v>45328</v>
      </c>
      <c r="G160" s="5">
        <f t="shared" si="33"/>
        <v>45350</v>
      </c>
      <c r="H160" s="5">
        <v>45350</v>
      </c>
      <c r="I160" s="5" t="str">
        <f t="shared" si="46"/>
        <v>Achieved</v>
      </c>
      <c r="J160" s="14">
        <f t="shared" si="47"/>
        <v>22</v>
      </c>
      <c r="K160" s="14">
        <f t="shared" si="34"/>
        <v>22</v>
      </c>
      <c r="L160" s="3" t="s">
        <v>645</v>
      </c>
      <c r="M160" s="3" t="s">
        <v>649</v>
      </c>
      <c r="N160" s="3" t="s">
        <v>661</v>
      </c>
      <c r="O160" s="3" t="s">
        <v>702</v>
      </c>
      <c r="P160" s="3" t="s">
        <v>707</v>
      </c>
      <c r="Q160" s="3" t="s">
        <v>722</v>
      </c>
      <c r="R160" s="3" t="s">
        <v>731</v>
      </c>
      <c r="S160" s="3" t="s">
        <v>1205</v>
      </c>
      <c r="T160" s="21">
        <v>834.93</v>
      </c>
      <c r="U160" s="21" t="str">
        <f t="shared" si="48"/>
        <v>Medium</v>
      </c>
      <c r="V160">
        <f t="shared" si="35"/>
        <v>1588.53</v>
      </c>
      <c r="W160" s="7">
        <v>1588.53</v>
      </c>
      <c r="X160" s="8">
        <v>0.126</v>
      </c>
      <c r="Y160" s="14">
        <v>6</v>
      </c>
      <c r="Z160" s="7">
        <f t="shared" si="36"/>
        <v>200.15477999999999</v>
      </c>
      <c r="AA160" s="7">
        <f t="shared" si="37"/>
        <v>8330.2513199999994</v>
      </c>
      <c r="AB160" s="7">
        <f t="shared" si="38"/>
        <v>8130.0965399999995</v>
      </c>
      <c r="AC160" s="7">
        <f t="shared" si="39"/>
        <v>5009.58</v>
      </c>
      <c r="AD160" s="7">
        <f t="shared" si="40"/>
        <v>3320.6713199999995</v>
      </c>
      <c r="AE160" s="7">
        <f t="shared" si="41"/>
        <v>3120.5165399999996</v>
      </c>
      <c r="AF160" s="26">
        <f t="shared" si="42"/>
        <v>1.6628642161618339</v>
      </c>
      <c r="AG160" s="8">
        <f>IF(DASHBOARD!$Q$7&gt;'staging data'!X160,'staging data'!X160,DASHBOARD!$Q$7)</f>
        <v>0.126</v>
      </c>
      <c r="AH160">
        <f>(100%+DASHBOARD!$Q$8)*'staging data'!T160</f>
        <v>960.16949999999986</v>
      </c>
      <c r="AI160">
        <f>(100%+DASHBOARD!$Q$9)*'staging data'!Y160</f>
        <v>7.1999999999999993</v>
      </c>
    </row>
    <row r="161" spans="1:35" x14ac:dyDescent="0.3">
      <c r="A161" s="3" t="s">
        <v>486</v>
      </c>
      <c r="B161" s="28">
        <v>45164</v>
      </c>
      <c r="C161" s="28" t="str">
        <f t="shared" si="43"/>
        <v>Q3</v>
      </c>
      <c r="D161" s="28" t="str">
        <f t="shared" si="44"/>
        <v>2025</v>
      </c>
      <c r="E161" s="28" t="str">
        <f t="shared" si="45"/>
        <v>Jul</v>
      </c>
      <c r="F161" s="5">
        <v>45841</v>
      </c>
      <c r="G161" s="5">
        <f t="shared" si="33"/>
        <v>45861</v>
      </c>
      <c r="H161" s="5">
        <v>45861</v>
      </c>
      <c r="I161" s="5" t="str">
        <f t="shared" si="46"/>
        <v>Achieved</v>
      </c>
      <c r="J161" s="14">
        <f t="shared" si="47"/>
        <v>20</v>
      </c>
      <c r="K161" s="14">
        <f t="shared" si="34"/>
        <v>20</v>
      </c>
      <c r="L161" s="3" t="s">
        <v>646</v>
      </c>
      <c r="M161" s="3" t="s">
        <v>658</v>
      </c>
      <c r="N161" s="3" t="s">
        <v>698</v>
      </c>
      <c r="O161" s="3" t="s">
        <v>704</v>
      </c>
      <c r="P161" s="3" t="s">
        <v>707</v>
      </c>
      <c r="Q161" s="3" t="s">
        <v>723</v>
      </c>
      <c r="R161" s="3" t="s">
        <v>726</v>
      </c>
      <c r="S161" s="3" t="s">
        <v>1204</v>
      </c>
      <c r="T161" s="21">
        <v>647.36</v>
      </c>
      <c r="U161" s="21" t="str">
        <f t="shared" si="48"/>
        <v>Medium</v>
      </c>
      <c r="V161">
        <f t="shared" si="35"/>
        <v>1383.6</v>
      </c>
      <c r="W161" s="7">
        <v>1383.6</v>
      </c>
      <c r="X161" s="8">
        <v>7.3999999999999996E-2</v>
      </c>
      <c r="Y161" s="14">
        <v>12</v>
      </c>
      <c r="Z161" s="7">
        <f t="shared" si="36"/>
        <v>102.38639999999999</v>
      </c>
      <c r="AA161" s="7">
        <f t="shared" si="37"/>
        <v>15374.563199999999</v>
      </c>
      <c r="AB161" s="7">
        <f t="shared" si="38"/>
        <v>15272.176799999999</v>
      </c>
      <c r="AC161" s="7">
        <f t="shared" si="39"/>
        <v>7768.32</v>
      </c>
      <c r="AD161" s="7">
        <f t="shared" si="40"/>
        <v>7606.243199999999</v>
      </c>
      <c r="AE161" s="7">
        <f t="shared" si="41"/>
        <v>7503.8567999999996</v>
      </c>
      <c r="AF161" s="26">
        <f t="shared" si="42"/>
        <v>1.9791361838853188</v>
      </c>
      <c r="AG161" s="8">
        <f>IF(DASHBOARD!$Q$7&gt;'staging data'!X161,'staging data'!X161,DASHBOARD!$Q$7)</f>
        <v>7.3999999999999996E-2</v>
      </c>
      <c r="AH161">
        <f>(100%+DASHBOARD!$Q$8)*'staging data'!T161</f>
        <v>744.46399999999994</v>
      </c>
      <c r="AI161">
        <f>(100%+DASHBOARD!$Q$9)*'staging data'!Y161</f>
        <v>14.399999999999999</v>
      </c>
    </row>
    <row r="162" spans="1:35" x14ac:dyDescent="0.3">
      <c r="A162" s="3" t="s">
        <v>485</v>
      </c>
      <c r="B162" s="28">
        <v>45165</v>
      </c>
      <c r="C162" s="28" t="str">
        <f t="shared" si="43"/>
        <v>Q3</v>
      </c>
      <c r="D162" s="28" t="str">
        <f t="shared" si="44"/>
        <v>2023</v>
      </c>
      <c r="E162" s="28" t="str">
        <f t="shared" si="45"/>
        <v>Aug</v>
      </c>
      <c r="F162" s="5">
        <v>45167</v>
      </c>
      <c r="G162" s="5">
        <f t="shared" si="33"/>
        <v>45188</v>
      </c>
      <c r="H162" s="5">
        <v>45188</v>
      </c>
      <c r="I162" s="5" t="str">
        <f t="shared" si="46"/>
        <v>Achieved</v>
      </c>
      <c r="J162" s="14">
        <f t="shared" si="47"/>
        <v>21</v>
      </c>
      <c r="K162" s="14">
        <f t="shared" si="34"/>
        <v>21</v>
      </c>
      <c r="L162" s="3" t="s">
        <v>648</v>
      </c>
      <c r="M162" s="3" t="s">
        <v>656</v>
      </c>
      <c r="N162" s="3" t="s">
        <v>678</v>
      </c>
      <c r="O162" s="3" t="s">
        <v>704</v>
      </c>
      <c r="P162" s="3" t="s">
        <v>710</v>
      </c>
      <c r="Q162" s="3" t="s">
        <v>716</v>
      </c>
      <c r="R162" s="3" t="s">
        <v>727</v>
      </c>
      <c r="S162" s="3" t="s">
        <v>1203</v>
      </c>
      <c r="T162" s="21">
        <v>784.46</v>
      </c>
      <c r="U162" s="21" t="str">
        <f t="shared" si="48"/>
        <v>Medium</v>
      </c>
      <c r="V162">
        <f t="shared" si="35"/>
        <v>1843.51</v>
      </c>
      <c r="W162" s="7">
        <v>1843.51</v>
      </c>
      <c r="X162" s="8">
        <v>0.13800000000000001</v>
      </c>
      <c r="Y162" s="14">
        <v>23</v>
      </c>
      <c r="Z162" s="7">
        <f t="shared" si="36"/>
        <v>254.40438000000003</v>
      </c>
      <c r="AA162" s="7">
        <f t="shared" si="37"/>
        <v>36549.429260000004</v>
      </c>
      <c r="AB162" s="7">
        <f t="shared" si="38"/>
        <v>36295.024880000004</v>
      </c>
      <c r="AC162" s="7">
        <f t="shared" si="39"/>
        <v>18042.580000000002</v>
      </c>
      <c r="AD162" s="7">
        <f t="shared" si="40"/>
        <v>18506.849260000003</v>
      </c>
      <c r="AE162" s="7">
        <f t="shared" si="41"/>
        <v>18252.444880000003</v>
      </c>
      <c r="AF162" s="26">
        <f t="shared" si="42"/>
        <v>2.0257318665068964</v>
      </c>
      <c r="AG162" s="8">
        <f>IF(DASHBOARD!$Q$7&gt;'staging data'!X162,'staging data'!X162,DASHBOARD!$Q$7)</f>
        <v>0.13800000000000001</v>
      </c>
      <c r="AH162">
        <f>(100%+DASHBOARD!$Q$8)*'staging data'!T162</f>
        <v>902.12900000000002</v>
      </c>
      <c r="AI162">
        <f>(100%+DASHBOARD!$Q$9)*'staging data'!Y162</f>
        <v>27.599999999999998</v>
      </c>
    </row>
    <row r="163" spans="1:35" x14ac:dyDescent="0.3">
      <c r="A163" s="3" t="s">
        <v>483</v>
      </c>
      <c r="B163" s="28">
        <v>45167</v>
      </c>
      <c r="C163" s="28" t="str">
        <f t="shared" si="43"/>
        <v>Q3</v>
      </c>
      <c r="D163" s="28" t="str">
        <f t="shared" si="44"/>
        <v>2025</v>
      </c>
      <c r="E163" s="28" t="str">
        <f t="shared" si="45"/>
        <v>Mar</v>
      </c>
      <c r="F163" s="5">
        <v>45739</v>
      </c>
      <c r="G163" s="5">
        <f t="shared" si="33"/>
        <v>45749</v>
      </c>
      <c r="H163" s="5">
        <v>45749</v>
      </c>
      <c r="I163" s="5" t="str">
        <f t="shared" si="46"/>
        <v>Achieved</v>
      </c>
      <c r="J163" s="14">
        <f t="shared" si="47"/>
        <v>10</v>
      </c>
      <c r="K163" s="14">
        <f t="shared" si="34"/>
        <v>10</v>
      </c>
      <c r="L163" s="3" t="s">
        <v>648</v>
      </c>
      <c r="M163" s="3" t="s">
        <v>655</v>
      </c>
      <c r="N163" s="3" t="s">
        <v>670</v>
      </c>
      <c r="O163" s="3" t="s">
        <v>705</v>
      </c>
      <c r="P163" s="3" t="s">
        <v>707</v>
      </c>
      <c r="Q163" s="3" t="s">
        <v>717</v>
      </c>
      <c r="R163" s="3" t="s">
        <v>727</v>
      </c>
      <c r="S163" s="3" t="s">
        <v>1201</v>
      </c>
      <c r="T163" s="21">
        <v>663.61</v>
      </c>
      <c r="U163" s="21" t="str">
        <f t="shared" si="48"/>
        <v>Medium</v>
      </c>
      <c r="V163">
        <f t="shared" si="35"/>
        <v>1002.11</v>
      </c>
      <c r="W163" s="7">
        <v>1002.11</v>
      </c>
      <c r="X163" s="8">
        <v>4.5999999999999999E-2</v>
      </c>
      <c r="Y163" s="14">
        <v>17</v>
      </c>
      <c r="Z163" s="7">
        <f t="shared" si="36"/>
        <v>46.097059999999999</v>
      </c>
      <c r="AA163" s="7">
        <f t="shared" si="37"/>
        <v>16252.219979999998</v>
      </c>
      <c r="AB163" s="7">
        <f t="shared" si="38"/>
        <v>16206.122919999998</v>
      </c>
      <c r="AC163" s="7">
        <f t="shared" si="39"/>
        <v>11281.37</v>
      </c>
      <c r="AD163" s="7">
        <f t="shared" si="40"/>
        <v>4970.8499799999972</v>
      </c>
      <c r="AE163" s="7">
        <f t="shared" si="41"/>
        <v>4924.7529199999972</v>
      </c>
      <c r="AF163" s="26">
        <f t="shared" si="42"/>
        <v>1.4406246741308899</v>
      </c>
      <c r="AG163" s="8">
        <f>IF(DASHBOARD!$Q$7&gt;'staging data'!X163,'staging data'!X163,DASHBOARD!$Q$7)</f>
        <v>4.5999999999999999E-2</v>
      </c>
      <c r="AH163">
        <f>(100%+DASHBOARD!$Q$8)*'staging data'!T163</f>
        <v>763.15149999999994</v>
      </c>
      <c r="AI163">
        <f>(100%+DASHBOARD!$Q$9)*'staging data'!Y163</f>
        <v>20.399999999999999</v>
      </c>
    </row>
    <row r="164" spans="1:35" x14ac:dyDescent="0.3">
      <c r="A164" s="3" t="s">
        <v>484</v>
      </c>
      <c r="B164" s="28">
        <v>45167</v>
      </c>
      <c r="C164" s="28" t="str">
        <f t="shared" si="43"/>
        <v>Q3</v>
      </c>
      <c r="D164" s="28" t="str">
        <f t="shared" si="44"/>
        <v>2023</v>
      </c>
      <c r="E164" s="28" t="str">
        <f t="shared" si="45"/>
        <v>May</v>
      </c>
      <c r="F164" s="5">
        <v>45060</v>
      </c>
      <c r="G164" s="5">
        <f t="shared" si="33"/>
        <v>45068</v>
      </c>
      <c r="H164" s="5">
        <v>45068</v>
      </c>
      <c r="I164" s="5" t="str">
        <f t="shared" si="46"/>
        <v>Achieved</v>
      </c>
      <c r="J164" s="14">
        <f t="shared" si="47"/>
        <v>8</v>
      </c>
      <c r="K164" s="14">
        <f t="shared" si="34"/>
        <v>8</v>
      </c>
      <c r="L164" s="3" t="s">
        <v>645</v>
      </c>
      <c r="M164" s="3" t="s">
        <v>649</v>
      </c>
      <c r="N164" s="3" t="s">
        <v>674</v>
      </c>
      <c r="O164" s="3" t="s">
        <v>704</v>
      </c>
      <c r="P164" s="3" t="s">
        <v>709</v>
      </c>
      <c r="Q164" s="3" t="s">
        <v>720</v>
      </c>
      <c r="R164" s="3" t="s">
        <v>727</v>
      </c>
      <c r="S164" s="3" t="s">
        <v>1202</v>
      </c>
      <c r="T164" s="21">
        <v>432.01</v>
      </c>
      <c r="U164" s="21" t="str">
        <f t="shared" si="48"/>
        <v>Medium</v>
      </c>
      <c r="V164">
        <f t="shared" si="35"/>
        <v>913.78</v>
      </c>
      <c r="W164" s="7">
        <v>913.78</v>
      </c>
      <c r="X164" s="8">
        <v>4.9000000000000002E-2</v>
      </c>
      <c r="Y164" s="14">
        <v>12</v>
      </c>
      <c r="Z164" s="7">
        <f t="shared" si="36"/>
        <v>44.775219999999997</v>
      </c>
      <c r="AA164" s="7">
        <f t="shared" si="37"/>
        <v>10428.057360000001</v>
      </c>
      <c r="AB164" s="7">
        <f t="shared" si="38"/>
        <v>10383.282140000001</v>
      </c>
      <c r="AC164" s="7">
        <f t="shared" si="39"/>
        <v>5184.12</v>
      </c>
      <c r="AD164" s="7">
        <f t="shared" si="40"/>
        <v>5243.9373600000008</v>
      </c>
      <c r="AE164" s="7">
        <f t="shared" si="41"/>
        <v>5199.1621400000013</v>
      </c>
      <c r="AF164" s="26">
        <f t="shared" si="42"/>
        <v>2.0115385754959378</v>
      </c>
      <c r="AG164" s="8">
        <f>IF(DASHBOARD!$Q$7&gt;'staging data'!X164,'staging data'!X164,DASHBOARD!$Q$7)</f>
        <v>4.9000000000000002E-2</v>
      </c>
      <c r="AH164">
        <f>(100%+DASHBOARD!$Q$8)*'staging data'!T164</f>
        <v>496.81149999999997</v>
      </c>
      <c r="AI164">
        <f>(100%+DASHBOARD!$Q$9)*'staging data'!Y164</f>
        <v>14.399999999999999</v>
      </c>
    </row>
    <row r="165" spans="1:35" x14ac:dyDescent="0.3">
      <c r="A165" s="3" t="s">
        <v>481</v>
      </c>
      <c r="B165" s="28">
        <v>45168</v>
      </c>
      <c r="C165" s="28" t="str">
        <f t="shared" si="43"/>
        <v>Q3</v>
      </c>
      <c r="D165" s="28" t="str">
        <f t="shared" si="44"/>
        <v>2023</v>
      </c>
      <c r="E165" s="28" t="str">
        <f t="shared" si="45"/>
        <v>Dec</v>
      </c>
      <c r="F165" s="5">
        <v>45278</v>
      </c>
      <c r="G165" s="5">
        <f t="shared" si="33"/>
        <v>45305</v>
      </c>
      <c r="H165" s="5">
        <v>45305</v>
      </c>
      <c r="I165" s="5" t="str">
        <f t="shared" si="46"/>
        <v>Achieved</v>
      </c>
      <c r="J165" s="14">
        <f t="shared" si="47"/>
        <v>27</v>
      </c>
      <c r="K165" s="14">
        <f t="shared" si="34"/>
        <v>27</v>
      </c>
      <c r="L165" s="3" t="s">
        <v>646</v>
      </c>
      <c r="M165" s="3" t="s">
        <v>653</v>
      </c>
      <c r="N165" s="3" t="s">
        <v>690</v>
      </c>
      <c r="O165" s="3" t="s">
        <v>703</v>
      </c>
      <c r="P165" s="3" t="s">
        <v>709</v>
      </c>
      <c r="Q165" s="3" t="s">
        <v>725</v>
      </c>
      <c r="R165" s="3" t="s">
        <v>728</v>
      </c>
      <c r="S165" s="3" t="s">
        <v>1199</v>
      </c>
      <c r="T165" s="21">
        <v>1408.3</v>
      </c>
      <c r="U165" s="21" t="str">
        <f t="shared" si="48"/>
        <v>High</v>
      </c>
      <c r="V165">
        <f t="shared" si="35"/>
        <v>2193.13</v>
      </c>
      <c r="W165" s="7">
        <v>2193.13</v>
      </c>
      <c r="X165" s="8">
        <v>7.0999999999999994E-2</v>
      </c>
      <c r="Y165" s="14">
        <v>7</v>
      </c>
      <c r="Z165" s="7">
        <f t="shared" si="36"/>
        <v>155.71223000000001</v>
      </c>
      <c r="AA165" s="7">
        <f t="shared" si="37"/>
        <v>14261.92439</v>
      </c>
      <c r="AB165" s="7">
        <f t="shared" si="38"/>
        <v>14106.212160000001</v>
      </c>
      <c r="AC165" s="7">
        <f t="shared" si="39"/>
        <v>9858.1</v>
      </c>
      <c r="AD165" s="7">
        <f t="shared" si="40"/>
        <v>4403.8243899999998</v>
      </c>
      <c r="AE165" s="7">
        <f t="shared" si="41"/>
        <v>4248.1121600000006</v>
      </c>
      <c r="AF165" s="26">
        <f t="shared" si="42"/>
        <v>1.4467214158915003</v>
      </c>
      <c r="AG165" s="8">
        <f>IF(DASHBOARD!$Q$7&gt;'staging data'!X165,'staging data'!X165,DASHBOARD!$Q$7)</f>
        <v>7.0999999999999994E-2</v>
      </c>
      <c r="AH165">
        <f>(100%+DASHBOARD!$Q$8)*'staging data'!T165</f>
        <v>1619.5449999999998</v>
      </c>
      <c r="AI165">
        <f>(100%+DASHBOARD!$Q$9)*'staging data'!Y165</f>
        <v>8.4</v>
      </c>
    </row>
    <row r="166" spans="1:35" x14ac:dyDescent="0.3">
      <c r="A166" s="3" t="s">
        <v>482</v>
      </c>
      <c r="B166" s="28">
        <v>45168</v>
      </c>
      <c r="C166" s="28" t="str">
        <f t="shared" si="43"/>
        <v>Q3</v>
      </c>
      <c r="D166" s="28" t="str">
        <f t="shared" si="44"/>
        <v>2025</v>
      </c>
      <c r="E166" s="28" t="str">
        <f t="shared" si="45"/>
        <v>Jun</v>
      </c>
      <c r="F166" s="5">
        <v>45809</v>
      </c>
      <c r="G166" s="5">
        <f t="shared" si="33"/>
        <v>45813</v>
      </c>
      <c r="H166" s="5">
        <v>45813</v>
      </c>
      <c r="I166" s="5" t="str">
        <f t="shared" si="46"/>
        <v>Not achieved</v>
      </c>
      <c r="J166" s="14">
        <f t="shared" si="47"/>
        <v>4</v>
      </c>
      <c r="K166" s="14">
        <f t="shared" si="34"/>
        <v>4</v>
      </c>
      <c r="L166" s="3" t="s">
        <v>648</v>
      </c>
      <c r="M166" s="3" t="s">
        <v>655</v>
      </c>
      <c r="N166" s="3" t="s">
        <v>683</v>
      </c>
      <c r="O166" s="3" t="s">
        <v>705</v>
      </c>
      <c r="P166" s="3" t="s">
        <v>710</v>
      </c>
      <c r="Q166" s="3" t="s">
        <v>723</v>
      </c>
      <c r="R166" s="3" t="s">
        <v>726</v>
      </c>
      <c r="S166" s="3" t="s">
        <v>1200</v>
      </c>
      <c r="T166" s="21">
        <v>1171.42</v>
      </c>
      <c r="U166" s="21" t="str">
        <f t="shared" si="48"/>
        <v>High</v>
      </c>
      <c r="V166">
        <f t="shared" si="35"/>
        <v>2187.8000000000002</v>
      </c>
      <c r="W166" s="7">
        <v>2187.8000000000002</v>
      </c>
      <c r="X166" s="8">
        <v>0.23</v>
      </c>
      <c r="Y166" s="14">
        <v>15</v>
      </c>
      <c r="Z166" s="7">
        <f t="shared" si="36"/>
        <v>503.19400000000007</v>
      </c>
      <c r="AA166" s="7">
        <f t="shared" si="37"/>
        <v>25269.09</v>
      </c>
      <c r="AB166" s="7">
        <f t="shared" si="38"/>
        <v>24765.896000000001</v>
      </c>
      <c r="AC166" s="7">
        <f t="shared" si="39"/>
        <v>17571.300000000003</v>
      </c>
      <c r="AD166" s="7">
        <f t="shared" si="40"/>
        <v>7697.7899999999972</v>
      </c>
      <c r="AE166" s="7">
        <f t="shared" si="41"/>
        <v>7194.5959999999977</v>
      </c>
      <c r="AF166" s="26">
        <f t="shared" si="42"/>
        <v>1.4380888152840141</v>
      </c>
      <c r="AG166" s="8">
        <f>IF(DASHBOARD!$Q$7&gt;'staging data'!X166,'staging data'!X166,DASHBOARD!$Q$7)</f>
        <v>0.2</v>
      </c>
      <c r="AH166">
        <f>(100%+DASHBOARD!$Q$8)*'staging data'!T166</f>
        <v>1347.133</v>
      </c>
      <c r="AI166">
        <f>(100%+DASHBOARD!$Q$9)*'staging data'!Y166</f>
        <v>18</v>
      </c>
    </row>
    <row r="167" spans="1:35" x14ac:dyDescent="0.3">
      <c r="A167" s="3" t="s">
        <v>479</v>
      </c>
      <c r="B167" s="28">
        <v>45177</v>
      </c>
      <c r="C167" s="28" t="str">
        <f t="shared" si="43"/>
        <v>Q3</v>
      </c>
      <c r="D167" s="28" t="str">
        <f t="shared" si="44"/>
        <v>2024</v>
      </c>
      <c r="E167" s="28" t="str">
        <f t="shared" si="45"/>
        <v>Nov</v>
      </c>
      <c r="F167" s="5">
        <v>45618</v>
      </c>
      <c r="G167" s="5">
        <f t="shared" si="33"/>
        <v>45641</v>
      </c>
      <c r="H167" s="5">
        <v>45641</v>
      </c>
      <c r="I167" s="5" t="str">
        <f t="shared" si="46"/>
        <v>Achieved</v>
      </c>
      <c r="J167" s="14">
        <f t="shared" si="47"/>
        <v>23</v>
      </c>
      <c r="K167" s="14">
        <f t="shared" si="34"/>
        <v>23</v>
      </c>
      <c r="L167" s="3" t="s">
        <v>645</v>
      </c>
      <c r="M167" s="3" t="s">
        <v>649</v>
      </c>
      <c r="N167" s="3" t="s">
        <v>674</v>
      </c>
      <c r="O167" s="3" t="s">
        <v>702</v>
      </c>
      <c r="P167" s="3" t="s">
        <v>709</v>
      </c>
      <c r="Q167" s="3" t="s">
        <v>711</v>
      </c>
      <c r="R167" s="3" t="s">
        <v>726</v>
      </c>
      <c r="S167" s="3" t="s">
        <v>1197</v>
      </c>
      <c r="T167" s="21">
        <v>1335.76</v>
      </c>
      <c r="U167" s="21" t="str">
        <f t="shared" si="48"/>
        <v>High</v>
      </c>
      <c r="V167">
        <f t="shared" si="35"/>
        <v>2665.91</v>
      </c>
      <c r="W167" s="7">
        <v>2665.91</v>
      </c>
      <c r="X167" s="8">
        <v>0.21099999999999999</v>
      </c>
      <c r="Y167" s="14">
        <v>40</v>
      </c>
      <c r="Z167" s="7">
        <f t="shared" si="36"/>
        <v>562.50700999999992</v>
      </c>
      <c r="AA167" s="7">
        <f t="shared" si="37"/>
        <v>84136.119600000005</v>
      </c>
      <c r="AB167" s="7">
        <f t="shared" si="38"/>
        <v>83573.612590000004</v>
      </c>
      <c r="AC167" s="7">
        <f t="shared" si="39"/>
        <v>53430.400000000001</v>
      </c>
      <c r="AD167" s="7">
        <f t="shared" si="40"/>
        <v>30705.719600000004</v>
      </c>
      <c r="AE167" s="7">
        <f t="shared" si="41"/>
        <v>30143.212590000003</v>
      </c>
      <c r="AF167" s="26">
        <f t="shared" si="42"/>
        <v>1.5746863134095945</v>
      </c>
      <c r="AG167" s="8">
        <f>IF(DASHBOARD!$Q$7&gt;'staging data'!X167,'staging data'!X167,DASHBOARD!$Q$7)</f>
        <v>0.2</v>
      </c>
      <c r="AH167">
        <f>(100%+DASHBOARD!$Q$8)*'staging data'!T167</f>
        <v>1536.1239999999998</v>
      </c>
      <c r="AI167">
        <f>(100%+DASHBOARD!$Q$9)*'staging data'!Y167</f>
        <v>48</v>
      </c>
    </row>
    <row r="168" spans="1:35" x14ac:dyDescent="0.3">
      <c r="A168" s="3" t="s">
        <v>480</v>
      </c>
      <c r="B168" s="28">
        <v>45177</v>
      </c>
      <c r="C168" s="28" t="str">
        <f t="shared" si="43"/>
        <v>Q3</v>
      </c>
      <c r="D168" s="28" t="str">
        <f t="shared" si="44"/>
        <v>2024</v>
      </c>
      <c r="E168" s="28" t="str">
        <f t="shared" si="45"/>
        <v>Jun</v>
      </c>
      <c r="F168" s="5">
        <v>45466</v>
      </c>
      <c r="G168" s="5">
        <f t="shared" si="33"/>
        <v>45471</v>
      </c>
      <c r="H168" s="5">
        <v>45471</v>
      </c>
      <c r="I168" s="5" t="str">
        <f t="shared" si="46"/>
        <v>Not achieved</v>
      </c>
      <c r="J168" s="14">
        <f t="shared" si="47"/>
        <v>5</v>
      </c>
      <c r="K168" s="14">
        <f t="shared" si="34"/>
        <v>5</v>
      </c>
      <c r="L168" s="3" t="s">
        <v>645</v>
      </c>
      <c r="M168" s="3" t="s">
        <v>650</v>
      </c>
      <c r="N168" s="3" t="s">
        <v>662</v>
      </c>
      <c r="O168" s="3" t="s">
        <v>702</v>
      </c>
      <c r="P168" s="3" t="s">
        <v>710</v>
      </c>
      <c r="Q168" s="3" t="s">
        <v>723</v>
      </c>
      <c r="R168" s="3" t="s">
        <v>732</v>
      </c>
      <c r="S168" s="3" t="s">
        <v>1198</v>
      </c>
      <c r="T168" s="21">
        <v>242.31</v>
      </c>
      <c r="U168" s="21" t="str">
        <f t="shared" si="48"/>
        <v>Low</v>
      </c>
      <c r="V168">
        <f t="shared" si="35"/>
        <v>587.95000000000005</v>
      </c>
      <c r="W168" s="7">
        <v>587.95000000000005</v>
      </c>
      <c r="X168" s="8">
        <v>0.22900000000000001</v>
      </c>
      <c r="Y168" s="14">
        <v>6</v>
      </c>
      <c r="Z168" s="7">
        <f t="shared" si="36"/>
        <v>134.64055000000002</v>
      </c>
      <c r="AA168" s="7">
        <f t="shared" si="37"/>
        <v>2719.8567000000003</v>
      </c>
      <c r="AB168" s="7">
        <f t="shared" si="38"/>
        <v>2585.2161500000002</v>
      </c>
      <c r="AC168" s="7">
        <f t="shared" si="39"/>
        <v>1453.8600000000001</v>
      </c>
      <c r="AD168" s="7">
        <f t="shared" si="40"/>
        <v>1265.9967000000001</v>
      </c>
      <c r="AE168" s="7">
        <f t="shared" si="41"/>
        <v>1131.3561500000001</v>
      </c>
      <c r="AF168" s="26">
        <f t="shared" si="42"/>
        <v>1.8707830877801164</v>
      </c>
      <c r="AG168" s="8">
        <f>IF(DASHBOARD!$Q$7&gt;'staging data'!X168,'staging data'!X168,DASHBOARD!$Q$7)</f>
        <v>0.2</v>
      </c>
      <c r="AH168">
        <f>(100%+DASHBOARD!$Q$8)*'staging data'!T168</f>
        <v>278.65649999999999</v>
      </c>
      <c r="AI168">
        <f>(100%+DASHBOARD!$Q$9)*'staging data'!Y168</f>
        <v>7.1999999999999993</v>
      </c>
    </row>
    <row r="169" spans="1:35" x14ac:dyDescent="0.3">
      <c r="A169" s="3" t="s">
        <v>478</v>
      </c>
      <c r="B169" s="28">
        <v>45183</v>
      </c>
      <c r="C169" s="28" t="str">
        <f t="shared" si="43"/>
        <v>Q3</v>
      </c>
      <c r="D169" s="28" t="str">
        <f t="shared" si="44"/>
        <v>2025</v>
      </c>
      <c r="E169" s="28" t="str">
        <f t="shared" si="45"/>
        <v>Jul</v>
      </c>
      <c r="F169" s="5">
        <v>45865</v>
      </c>
      <c r="G169" s="5">
        <f t="shared" si="33"/>
        <v>45884</v>
      </c>
      <c r="H169" s="5">
        <v>45884</v>
      </c>
      <c r="I169" s="5" t="str">
        <f t="shared" si="46"/>
        <v>Achieved</v>
      </c>
      <c r="J169" s="14">
        <f t="shared" si="47"/>
        <v>19</v>
      </c>
      <c r="K169" s="14">
        <f t="shared" si="34"/>
        <v>19</v>
      </c>
      <c r="L169" s="3" t="s">
        <v>646</v>
      </c>
      <c r="M169" s="3" t="s">
        <v>651</v>
      </c>
      <c r="N169" s="3" t="s">
        <v>688</v>
      </c>
      <c r="O169" s="3" t="s">
        <v>704</v>
      </c>
      <c r="P169" s="3" t="s">
        <v>708</v>
      </c>
      <c r="Q169" s="3" t="s">
        <v>712</v>
      </c>
      <c r="R169" s="3" t="s">
        <v>726</v>
      </c>
      <c r="S169" s="3" t="s">
        <v>1196</v>
      </c>
      <c r="T169" s="21">
        <v>275.43</v>
      </c>
      <c r="U169" s="21" t="str">
        <f t="shared" si="48"/>
        <v>Medium</v>
      </c>
      <c r="V169">
        <f t="shared" si="35"/>
        <v>608.36</v>
      </c>
      <c r="W169" s="7">
        <v>608.36</v>
      </c>
      <c r="X169" s="8">
        <v>0.25700000000000001</v>
      </c>
      <c r="Y169" s="14">
        <v>4</v>
      </c>
      <c r="Z169" s="7">
        <f t="shared" si="36"/>
        <v>156.34852000000001</v>
      </c>
      <c r="AA169" s="7">
        <f t="shared" si="37"/>
        <v>1808.04592</v>
      </c>
      <c r="AB169" s="7">
        <f t="shared" si="38"/>
        <v>1651.6974</v>
      </c>
      <c r="AC169" s="7">
        <f t="shared" si="39"/>
        <v>1101.72</v>
      </c>
      <c r="AD169" s="7">
        <f t="shared" si="40"/>
        <v>706.32592</v>
      </c>
      <c r="AE169" s="7">
        <f t="shared" si="41"/>
        <v>549.97739999999999</v>
      </c>
      <c r="AF169" s="26">
        <f t="shared" si="42"/>
        <v>1.6411120066804632</v>
      </c>
      <c r="AG169" s="8">
        <f>IF(DASHBOARD!$Q$7&gt;'staging data'!X169,'staging data'!X169,DASHBOARD!$Q$7)</f>
        <v>0.2</v>
      </c>
      <c r="AH169">
        <f>(100%+DASHBOARD!$Q$8)*'staging data'!T169</f>
        <v>316.74449999999996</v>
      </c>
      <c r="AI169">
        <f>(100%+DASHBOARD!$Q$9)*'staging data'!Y169</f>
        <v>4.8</v>
      </c>
    </row>
    <row r="170" spans="1:35" x14ac:dyDescent="0.3">
      <c r="A170" s="3" t="s">
        <v>477</v>
      </c>
      <c r="B170" s="28">
        <v>45186</v>
      </c>
      <c r="C170" s="28" t="str">
        <f t="shared" si="43"/>
        <v>Q3</v>
      </c>
      <c r="D170" s="28" t="str">
        <f t="shared" si="44"/>
        <v>2025</v>
      </c>
      <c r="E170" s="28" t="str">
        <f t="shared" si="45"/>
        <v>Apr</v>
      </c>
      <c r="F170" s="5">
        <v>45757</v>
      </c>
      <c r="G170" s="5">
        <f t="shared" si="33"/>
        <v>45766</v>
      </c>
      <c r="H170" s="5">
        <v>45766</v>
      </c>
      <c r="I170" s="5" t="str">
        <f t="shared" si="46"/>
        <v>Achieved</v>
      </c>
      <c r="J170" s="14">
        <f t="shared" si="47"/>
        <v>9</v>
      </c>
      <c r="K170" s="14">
        <f t="shared" si="34"/>
        <v>9</v>
      </c>
      <c r="L170" s="3" t="s">
        <v>645</v>
      </c>
      <c r="M170" s="3" t="s">
        <v>660</v>
      </c>
      <c r="N170" s="3" t="s">
        <v>686</v>
      </c>
      <c r="O170" s="3" t="s">
        <v>705</v>
      </c>
      <c r="P170" s="3" t="s">
        <v>710</v>
      </c>
      <c r="Q170" s="3" t="s">
        <v>714</v>
      </c>
      <c r="R170" s="3" t="s">
        <v>728</v>
      </c>
      <c r="S170" s="3" t="s">
        <v>1195</v>
      </c>
      <c r="T170" s="21">
        <v>113.74</v>
      </c>
      <c r="U170" s="21" t="str">
        <f t="shared" si="48"/>
        <v>Low</v>
      </c>
      <c r="V170">
        <f t="shared" si="35"/>
        <v>165.7</v>
      </c>
      <c r="W170" s="7">
        <v>165.7</v>
      </c>
      <c r="X170" s="8">
        <v>0.124</v>
      </c>
      <c r="Y170" s="14">
        <v>13</v>
      </c>
      <c r="Z170" s="7">
        <f t="shared" si="36"/>
        <v>20.546799999999998</v>
      </c>
      <c r="AA170" s="7">
        <f t="shared" si="37"/>
        <v>1886.9915999999998</v>
      </c>
      <c r="AB170" s="7">
        <f t="shared" si="38"/>
        <v>1866.4447999999998</v>
      </c>
      <c r="AC170" s="7">
        <f t="shared" si="39"/>
        <v>1478.62</v>
      </c>
      <c r="AD170" s="7">
        <f t="shared" si="40"/>
        <v>408.37159999999994</v>
      </c>
      <c r="AE170" s="7">
        <f t="shared" si="41"/>
        <v>387.82479999999987</v>
      </c>
      <c r="AF170" s="26">
        <f t="shared" si="42"/>
        <v>1.2761842799366978</v>
      </c>
      <c r="AG170" s="8">
        <f>IF(DASHBOARD!$Q$7&gt;'staging data'!X170,'staging data'!X170,DASHBOARD!$Q$7)</f>
        <v>0.124</v>
      </c>
      <c r="AH170">
        <f>(100%+DASHBOARD!$Q$8)*'staging data'!T170</f>
        <v>130.80099999999999</v>
      </c>
      <c r="AI170">
        <f>(100%+DASHBOARD!$Q$9)*'staging data'!Y170</f>
        <v>15.6</v>
      </c>
    </row>
    <row r="171" spans="1:35" x14ac:dyDescent="0.3">
      <c r="A171" s="3" t="s">
        <v>476</v>
      </c>
      <c r="B171" s="28">
        <v>45187</v>
      </c>
      <c r="C171" s="28" t="str">
        <f t="shared" si="43"/>
        <v>Q3</v>
      </c>
      <c r="D171" s="28" t="str">
        <f t="shared" si="44"/>
        <v>2024</v>
      </c>
      <c r="E171" s="28" t="str">
        <f t="shared" si="45"/>
        <v>Mar</v>
      </c>
      <c r="F171" s="5">
        <v>45358</v>
      </c>
      <c r="G171" s="5">
        <f t="shared" si="33"/>
        <v>45385</v>
      </c>
      <c r="H171" s="5">
        <v>45385</v>
      </c>
      <c r="I171" s="5" t="str">
        <f t="shared" si="46"/>
        <v>Achieved</v>
      </c>
      <c r="J171" s="14">
        <f t="shared" si="47"/>
        <v>27</v>
      </c>
      <c r="K171" s="14">
        <f t="shared" si="34"/>
        <v>27</v>
      </c>
      <c r="L171" s="3" t="s">
        <v>648</v>
      </c>
      <c r="M171" s="3" t="s">
        <v>655</v>
      </c>
      <c r="N171" s="3" t="s">
        <v>697</v>
      </c>
      <c r="O171" s="3" t="s">
        <v>700</v>
      </c>
      <c r="P171" s="3" t="s">
        <v>710</v>
      </c>
      <c r="Q171" s="3" t="s">
        <v>723</v>
      </c>
      <c r="R171" s="3" t="s">
        <v>727</v>
      </c>
      <c r="S171" s="3" t="s">
        <v>1194</v>
      </c>
      <c r="T171" s="21">
        <v>738.16</v>
      </c>
      <c r="U171" s="21" t="str">
        <f t="shared" si="48"/>
        <v>Medium</v>
      </c>
      <c r="V171">
        <f t="shared" si="35"/>
        <v>956.49</v>
      </c>
      <c r="W171" s="7">
        <v>956.49</v>
      </c>
      <c r="X171" s="8">
        <v>0.152</v>
      </c>
      <c r="Y171" s="14">
        <v>5</v>
      </c>
      <c r="Z171" s="7">
        <f t="shared" si="36"/>
        <v>145.38648000000001</v>
      </c>
      <c r="AA171" s="7">
        <f t="shared" si="37"/>
        <v>4055.5175999999997</v>
      </c>
      <c r="AB171" s="7">
        <f t="shared" si="38"/>
        <v>3910.1311199999996</v>
      </c>
      <c r="AC171" s="7">
        <f t="shared" si="39"/>
        <v>3690.7999999999997</v>
      </c>
      <c r="AD171" s="7">
        <f t="shared" si="40"/>
        <v>364.71759999999995</v>
      </c>
      <c r="AE171" s="7">
        <f t="shared" si="41"/>
        <v>219.33111999999983</v>
      </c>
      <c r="AF171" s="26">
        <f t="shared" si="42"/>
        <v>1.0988180340305624</v>
      </c>
      <c r="AG171" s="8">
        <f>IF(DASHBOARD!$Q$7&gt;'staging data'!X171,'staging data'!X171,DASHBOARD!$Q$7)</f>
        <v>0.152</v>
      </c>
      <c r="AH171">
        <f>(100%+DASHBOARD!$Q$8)*'staging data'!T171</f>
        <v>848.8839999999999</v>
      </c>
      <c r="AI171">
        <f>(100%+DASHBOARD!$Q$9)*'staging data'!Y171</f>
        <v>6</v>
      </c>
    </row>
    <row r="172" spans="1:35" x14ac:dyDescent="0.3">
      <c r="A172" s="3" t="s">
        <v>475</v>
      </c>
      <c r="B172" s="28">
        <v>45188</v>
      </c>
      <c r="C172" s="28" t="str">
        <f t="shared" si="43"/>
        <v>Q3</v>
      </c>
      <c r="D172" s="28" t="str">
        <f t="shared" si="44"/>
        <v>2023</v>
      </c>
      <c r="E172" s="28" t="str">
        <f t="shared" si="45"/>
        <v>May</v>
      </c>
      <c r="F172" s="5">
        <v>45063</v>
      </c>
      <c r="G172" s="5">
        <f t="shared" si="33"/>
        <v>45092</v>
      </c>
      <c r="H172" s="5">
        <v>45092</v>
      </c>
      <c r="I172" s="5" t="str">
        <f t="shared" si="46"/>
        <v>Achieved</v>
      </c>
      <c r="J172" s="14">
        <f t="shared" si="47"/>
        <v>29</v>
      </c>
      <c r="K172" s="14">
        <f t="shared" si="34"/>
        <v>29</v>
      </c>
      <c r="L172" s="3" t="s">
        <v>645</v>
      </c>
      <c r="M172" s="3" t="s">
        <v>660</v>
      </c>
      <c r="N172" s="3" t="s">
        <v>686</v>
      </c>
      <c r="O172" s="3" t="s">
        <v>705</v>
      </c>
      <c r="P172" s="3" t="s">
        <v>706</v>
      </c>
      <c r="Q172" s="3" t="s">
        <v>722</v>
      </c>
      <c r="R172" s="3" t="s">
        <v>732</v>
      </c>
      <c r="S172" s="3" t="s">
        <v>1193</v>
      </c>
      <c r="T172" s="21">
        <v>40.89</v>
      </c>
      <c r="U172" s="21" t="str">
        <f t="shared" si="48"/>
        <v>Low</v>
      </c>
      <c r="V172">
        <f t="shared" si="35"/>
        <v>62.82</v>
      </c>
      <c r="W172" s="7">
        <v>62.82</v>
      </c>
      <c r="X172" s="8">
        <v>0.129</v>
      </c>
      <c r="Y172" s="14">
        <v>17</v>
      </c>
      <c r="Z172" s="7">
        <f t="shared" si="36"/>
        <v>8.1037800000000004</v>
      </c>
      <c r="AA172" s="7">
        <f t="shared" si="37"/>
        <v>930.17574000000002</v>
      </c>
      <c r="AB172" s="7">
        <f t="shared" si="38"/>
        <v>922.07195999999999</v>
      </c>
      <c r="AC172" s="7">
        <f t="shared" si="39"/>
        <v>695.13</v>
      </c>
      <c r="AD172" s="7">
        <f t="shared" si="40"/>
        <v>235.04574000000002</v>
      </c>
      <c r="AE172" s="7">
        <f t="shared" si="41"/>
        <v>226.94195999999999</v>
      </c>
      <c r="AF172" s="26">
        <f t="shared" si="42"/>
        <v>1.3381320616287602</v>
      </c>
      <c r="AG172" s="8">
        <f>IF(DASHBOARD!$Q$7&gt;'staging data'!X172,'staging data'!X172,DASHBOARD!$Q$7)</f>
        <v>0.129</v>
      </c>
      <c r="AH172">
        <f>(100%+DASHBOARD!$Q$8)*'staging data'!T172</f>
        <v>47.023499999999999</v>
      </c>
      <c r="AI172">
        <f>(100%+DASHBOARD!$Q$9)*'staging data'!Y172</f>
        <v>20.399999999999999</v>
      </c>
    </row>
    <row r="173" spans="1:35" x14ac:dyDescent="0.3">
      <c r="A173" s="3" t="s">
        <v>474</v>
      </c>
      <c r="B173" s="28">
        <v>45189</v>
      </c>
      <c r="C173" s="28" t="str">
        <f t="shared" si="43"/>
        <v>Q3</v>
      </c>
      <c r="D173" s="28" t="str">
        <f t="shared" si="44"/>
        <v>2023</v>
      </c>
      <c r="E173" s="28" t="str">
        <f t="shared" si="45"/>
        <v>Jul</v>
      </c>
      <c r="F173" s="5">
        <v>45116</v>
      </c>
      <c r="G173" s="5">
        <f t="shared" si="33"/>
        <v>45126</v>
      </c>
      <c r="H173" s="5">
        <v>45126</v>
      </c>
      <c r="I173" s="5" t="str">
        <f t="shared" si="46"/>
        <v>Achieved</v>
      </c>
      <c r="J173" s="14">
        <f t="shared" si="47"/>
        <v>10</v>
      </c>
      <c r="K173" s="14">
        <f t="shared" si="34"/>
        <v>10</v>
      </c>
      <c r="L173" s="3" t="s">
        <v>646</v>
      </c>
      <c r="M173" s="3" t="s">
        <v>651</v>
      </c>
      <c r="N173" s="3" t="s">
        <v>688</v>
      </c>
      <c r="O173" s="3" t="s">
        <v>705</v>
      </c>
      <c r="P173" s="3" t="s">
        <v>709</v>
      </c>
      <c r="Q173" s="3" t="s">
        <v>724</v>
      </c>
      <c r="R173" s="3" t="s">
        <v>726</v>
      </c>
      <c r="S173" s="3" t="s">
        <v>1192</v>
      </c>
      <c r="T173" s="21">
        <v>141.26</v>
      </c>
      <c r="U173" s="21" t="str">
        <f t="shared" si="48"/>
        <v>Low</v>
      </c>
      <c r="V173">
        <f t="shared" si="35"/>
        <v>206.88</v>
      </c>
      <c r="W173" s="7">
        <v>206.88</v>
      </c>
      <c r="X173" s="8">
        <v>0.107</v>
      </c>
      <c r="Y173" s="14">
        <v>9</v>
      </c>
      <c r="Z173" s="7">
        <f t="shared" si="36"/>
        <v>22.13616</v>
      </c>
      <c r="AA173" s="7">
        <f t="shared" si="37"/>
        <v>1662.6945600000001</v>
      </c>
      <c r="AB173" s="7">
        <f t="shared" si="38"/>
        <v>1640.5584000000001</v>
      </c>
      <c r="AC173" s="7">
        <f t="shared" si="39"/>
        <v>1271.3399999999999</v>
      </c>
      <c r="AD173" s="7">
        <f t="shared" si="40"/>
        <v>391.35456000000022</v>
      </c>
      <c r="AE173" s="7">
        <f t="shared" si="41"/>
        <v>369.2184000000002</v>
      </c>
      <c r="AF173" s="26">
        <f t="shared" si="42"/>
        <v>1.3078284015290955</v>
      </c>
      <c r="AG173" s="8">
        <f>IF(DASHBOARD!$Q$7&gt;'staging data'!X173,'staging data'!X173,DASHBOARD!$Q$7)</f>
        <v>0.107</v>
      </c>
      <c r="AH173">
        <f>(100%+DASHBOARD!$Q$8)*'staging data'!T173</f>
        <v>162.44899999999998</v>
      </c>
      <c r="AI173">
        <f>(100%+DASHBOARD!$Q$9)*'staging data'!Y173</f>
        <v>10.799999999999999</v>
      </c>
    </row>
    <row r="174" spans="1:35" x14ac:dyDescent="0.3">
      <c r="A174" s="3" t="s">
        <v>473</v>
      </c>
      <c r="B174" s="28">
        <v>45190</v>
      </c>
      <c r="C174" s="28" t="str">
        <f t="shared" si="43"/>
        <v>Q3</v>
      </c>
      <c r="D174" s="28" t="str">
        <f t="shared" si="44"/>
        <v>2024</v>
      </c>
      <c r="E174" s="28" t="str">
        <f t="shared" si="45"/>
        <v>May</v>
      </c>
      <c r="F174" s="5">
        <v>45417</v>
      </c>
      <c r="G174" s="5">
        <f t="shared" si="33"/>
        <v>45430</v>
      </c>
      <c r="H174" s="5">
        <v>45430</v>
      </c>
      <c r="I174" s="5" t="str">
        <f t="shared" si="46"/>
        <v>Achieved</v>
      </c>
      <c r="J174" s="14">
        <f t="shared" si="47"/>
        <v>13</v>
      </c>
      <c r="K174" s="14">
        <f t="shared" si="34"/>
        <v>13</v>
      </c>
      <c r="L174" s="3" t="s">
        <v>648</v>
      </c>
      <c r="M174" s="3" t="s">
        <v>656</v>
      </c>
      <c r="N174" s="3" t="s">
        <v>672</v>
      </c>
      <c r="O174" s="3" t="s">
        <v>700</v>
      </c>
      <c r="P174" s="3" t="s">
        <v>708</v>
      </c>
      <c r="Q174" s="3" t="s">
        <v>719</v>
      </c>
      <c r="R174" s="3" t="s">
        <v>726</v>
      </c>
      <c r="S174" s="3" t="s">
        <v>1191</v>
      </c>
      <c r="T174" s="21">
        <v>1264.04</v>
      </c>
      <c r="U174" s="21" t="str">
        <f t="shared" si="48"/>
        <v>Medium</v>
      </c>
      <c r="V174">
        <f t="shared" si="35"/>
        <v>1870.89</v>
      </c>
      <c r="W174" s="7">
        <v>1870.89</v>
      </c>
      <c r="X174" s="8">
        <v>0</v>
      </c>
      <c r="Y174" s="14">
        <v>13</v>
      </c>
      <c r="Z174" s="7">
        <f t="shared" si="36"/>
        <v>0</v>
      </c>
      <c r="AA174" s="7">
        <f t="shared" si="37"/>
        <v>24321.57</v>
      </c>
      <c r="AB174" s="7">
        <f t="shared" si="38"/>
        <v>24321.57</v>
      </c>
      <c r="AC174" s="7">
        <f t="shared" si="39"/>
        <v>16432.52</v>
      </c>
      <c r="AD174" s="7">
        <f t="shared" si="40"/>
        <v>7889.0499999999993</v>
      </c>
      <c r="AE174" s="7">
        <f t="shared" si="41"/>
        <v>7889.0499999999993</v>
      </c>
      <c r="AF174" s="26">
        <f t="shared" si="42"/>
        <v>1.4800876554539413</v>
      </c>
      <c r="AG174" s="8">
        <f>IF(DASHBOARD!$Q$7&gt;'staging data'!X174,'staging data'!X174,DASHBOARD!$Q$7)</f>
        <v>0</v>
      </c>
      <c r="AH174">
        <f>(100%+DASHBOARD!$Q$8)*'staging data'!T174</f>
        <v>1453.646</v>
      </c>
      <c r="AI174">
        <f>(100%+DASHBOARD!$Q$9)*'staging data'!Y174</f>
        <v>15.6</v>
      </c>
    </row>
    <row r="175" spans="1:35" x14ac:dyDescent="0.3">
      <c r="A175" s="3" t="s">
        <v>471</v>
      </c>
      <c r="B175" s="28">
        <v>45194</v>
      </c>
      <c r="C175" s="28" t="str">
        <f t="shared" si="43"/>
        <v>Q3</v>
      </c>
      <c r="D175" s="28" t="str">
        <f t="shared" si="44"/>
        <v>2023</v>
      </c>
      <c r="E175" s="28" t="str">
        <f t="shared" si="45"/>
        <v>May</v>
      </c>
      <c r="F175" s="5">
        <v>45048</v>
      </c>
      <c r="G175" s="5">
        <f t="shared" si="33"/>
        <v>45065</v>
      </c>
      <c r="H175" s="5">
        <v>45065</v>
      </c>
      <c r="I175" s="5" t="str">
        <f t="shared" si="46"/>
        <v>Achieved</v>
      </c>
      <c r="J175" s="14">
        <f t="shared" si="47"/>
        <v>17</v>
      </c>
      <c r="K175" s="14">
        <f t="shared" si="34"/>
        <v>17</v>
      </c>
      <c r="L175" s="3" t="s">
        <v>646</v>
      </c>
      <c r="M175" s="3" t="s">
        <v>658</v>
      </c>
      <c r="N175" s="3" t="s">
        <v>684</v>
      </c>
      <c r="O175" s="3" t="s">
        <v>702</v>
      </c>
      <c r="P175" s="3" t="s">
        <v>710</v>
      </c>
      <c r="Q175" s="3" t="s">
        <v>712</v>
      </c>
      <c r="R175" s="3" t="s">
        <v>731</v>
      </c>
      <c r="S175" s="3" t="s">
        <v>1189</v>
      </c>
      <c r="T175" s="21">
        <v>714.28</v>
      </c>
      <c r="U175" s="21" t="str">
        <f t="shared" si="48"/>
        <v>Medium</v>
      </c>
      <c r="V175">
        <f t="shared" si="35"/>
        <v>757.59</v>
      </c>
      <c r="W175" s="7">
        <v>757.59</v>
      </c>
      <c r="X175" s="8">
        <v>0.13600000000000001</v>
      </c>
      <c r="Y175" s="14">
        <v>12</v>
      </c>
      <c r="Z175" s="7">
        <f t="shared" si="36"/>
        <v>103.03224000000002</v>
      </c>
      <c r="AA175" s="7">
        <f t="shared" si="37"/>
        <v>7854.6931199999999</v>
      </c>
      <c r="AB175" s="7">
        <f t="shared" si="38"/>
        <v>7751.6608799999995</v>
      </c>
      <c r="AC175" s="7">
        <f t="shared" si="39"/>
        <v>8571.36</v>
      </c>
      <c r="AD175" s="7">
        <f t="shared" si="40"/>
        <v>-716.66688000000067</v>
      </c>
      <c r="AE175" s="7">
        <f t="shared" si="41"/>
        <v>-819.69912000000113</v>
      </c>
      <c r="AF175" s="26">
        <f t="shared" si="42"/>
        <v>0.9163881951055608</v>
      </c>
      <c r="AG175" s="8">
        <f>IF(DASHBOARD!$Q$7&gt;'staging data'!X175,'staging data'!X175,DASHBOARD!$Q$7)</f>
        <v>0.13600000000000001</v>
      </c>
      <c r="AH175">
        <f>(100%+DASHBOARD!$Q$8)*'staging data'!T175</f>
        <v>821.42199999999991</v>
      </c>
      <c r="AI175">
        <f>(100%+DASHBOARD!$Q$9)*'staging data'!Y175</f>
        <v>14.399999999999999</v>
      </c>
    </row>
    <row r="176" spans="1:35" x14ac:dyDescent="0.3">
      <c r="A176" s="3" t="s">
        <v>472</v>
      </c>
      <c r="B176" s="28">
        <v>45194</v>
      </c>
      <c r="C176" s="28" t="str">
        <f t="shared" si="43"/>
        <v>Q3</v>
      </c>
      <c r="D176" s="28" t="str">
        <f t="shared" si="44"/>
        <v>2023</v>
      </c>
      <c r="E176" s="28" t="str">
        <f t="shared" si="45"/>
        <v>Nov</v>
      </c>
      <c r="F176" s="5">
        <v>45260</v>
      </c>
      <c r="G176" s="5">
        <f t="shared" si="33"/>
        <v>45270</v>
      </c>
      <c r="H176" s="5">
        <v>45270</v>
      </c>
      <c r="I176" s="5" t="str">
        <f t="shared" si="46"/>
        <v>Achieved</v>
      </c>
      <c r="J176" s="14">
        <f t="shared" si="47"/>
        <v>10</v>
      </c>
      <c r="K176" s="14">
        <f t="shared" si="34"/>
        <v>10</v>
      </c>
      <c r="L176" s="3" t="s">
        <v>648</v>
      </c>
      <c r="M176" s="3" t="s">
        <v>655</v>
      </c>
      <c r="N176" s="3" t="s">
        <v>683</v>
      </c>
      <c r="O176" s="3" t="s">
        <v>704</v>
      </c>
      <c r="P176" s="3" t="s">
        <v>710</v>
      </c>
      <c r="Q176" s="3" t="s">
        <v>720</v>
      </c>
      <c r="R176" s="3" t="s">
        <v>730</v>
      </c>
      <c r="S176" s="3" t="s">
        <v>1190</v>
      </c>
      <c r="T176" s="21">
        <v>174.74</v>
      </c>
      <c r="U176" s="21" t="str">
        <f t="shared" si="48"/>
        <v>Low</v>
      </c>
      <c r="V176">
        <f t="shared" si="35"/>
        <v>415.96</v>
      </c>
      <c r="W176" s="7">
        <v>415.96</v>
      </c>
      <c r="X176" s="8">
        <v>0.125</v>
      </c>
      <c r="Y176" s="14">
        <v>21</v>
      </c>
      <c r="Z176" s="7">
        <f t="shared" si="36"/>
        <v>51.994999999999997</v>
      </c>
      <c r="AA176" s="7">
        <f t="shared" si="37"/>
        <v>7643.2649999999994</v>
      </c>
      <c r="AB176" s="7">
        <f t="shared" si="38"/>
        <v>7591.2699999999995</v>
      </c>
      <c r="AC176" s="7">
        <f t="shared" si="39"/>
        <v>3669.54</v>
      </c>
      <c r="AD176" s="7">
        <f t="shared" si="40"/>
        <v>3973.7249999999995</v>
      </c>
      <c r="AE176" s="7">
        <f t="shared" si="41"/>
        <v>3921.7299999999996</v>
      </c>
      <c r="AF176" s="26">
        <f t="shared" si="42"/>
        <v>2.0828945862424173</v>
      </c>
      <c r="AG176" s="8">
        <f>IF(DASHBOARD!$Q$7&gt;'staging data'!X176,'staging data'!X176,DASHBOARD!$Q$7)</f>
        <v>0.125</v>
      </c>
      <c r="AH176">
        <f>(100%+DASHBOARD!$Q$8)*'staging data'!T176</f>
        <v>200.95099999999999</v>
      </c>
      <c r="AI176">
        <f>(100%+DASHBOARD!$Q$9)*'staging data'!Y176</f>
        <v>25.2</v>
      </c>
    </row>
    <row r="177" spans="1:35" x14ac:dyDescent="0.3">
      <c r="A177" s="3" t="s">
        <v>469</v>
      </c>
      <c r="B177" s="28">
        <v>45199</v>
      </c>
      <c r="C177" s="28" t="str">
        <f t="shared" si="43"/>
        <v>Q3</v>
      </c>
      <c r="D177" s="28" t="str">
        <f t="shared" si="44"/>
        <v>2024</v>
      </c>
      <c r="E177" s="28" t="str">
        <f t="shared" si="45"/>
        <v>Dec</v>
      </c>
      <c r="F177" s="5">
        <v>45653</v>
      </c>
      <c r="G177" s="5">
        <f t="shared" si="33"/>
        <v>45655</v>
      </c>
      <c r="H177" s="5">
        <v>45655</v>
      </c>
      <c r="I177" s="5" t="str">
        <f t="shared" si="46"/>
        <v>Not achieved</v>
      </c>
      <c r="J177" s="14">
        <f t="shared" si="47"/>
        <v>2</v>
      </c>
      <c r="K177" s="14">
        <f t="shared" si="34"/>
        <v>2</v>
      </c>
      <c r="L177" s="3" t="s">
        <v>647</v>
      </c>
      <c r="M177" s="3" t="s">
        <v>652</v>
      </c>
      <c r="N177" s="3" t="s">
        <v>687</v>
      </c>
      <c r="O177" s="3" t="s">
        <v>705</v>
      </c>
      <c r="P177" s="3" t="s">
        <v>708</v>
      </c>
      <c r="Q177" s="3" t="s">
        <v>711</v>
      </c>
      <c r="R177" s="3" t="s">
        <v>732</v>
      </c>
      <c r="S177" s="3" t="s">
        <v>1187</v>
      </c>
      <c r="T177" s="21">
        <v>1146.72</v>
      </c>
      <c r="U177" s="21" t="str">
        <f t="shared" si="48"/>
        <v>High</v>
      </c>
      <c r="V177">
        <f t="shared" si="35"/>
        <v>2074.34</v>
      </c>
      <c r="W177" s="7">
        <v>2074.34</v>
      </c>
      <c r="X177" s="8">
        <v>0.111</v>
      </c>
      <c r="Y177" s="14">
        <v>8</v>
      </c>
      <c r="Z177" s="7">
        <f t="shared" si="36"/>
        <v>230.25174000000001</v>
      </c>
      <c r="AA177" s="7">
        <f t="shared" si="37"/>
        <v>14752.706080000002</v>
      </c>
      <c r="AB177" s="7">
        <f t="shared" si="38"/>
        <v>14522.454340000002</v>
      </c>
      <c r="AC177" s="7">
        <f t="shared" si="39"/>
        <v>9173.76</v>
      </c>
      <c r="AD177" s="7">
        <f t="shared" si="40"/>
        <v>5578.9460800000015</v>
      </c>
      <c r="AE177" s="7">
        <f t="shared" si="41"/>
        <v>5348.6943400000018</v>
      </c>
      <c r="AF177" s="26">
        <f t="shared" si="42"/>
        <v>1.608141708525185</v>
      </c>
      <c r="AG177" s="8">
        <f>IF(DASHBOARD!$Q$7&gt;'staging data'!X177,'staging data'!X177,DASHBOARD!$Q$7)</f>
        <v>0.111</v>
      </c>
      <c r="AH177">
        <f>(100%+DASHBOARD!$Q$8)*'staging data'!T177</f>
        <v>1318.7279999999998</v>
      </c>
      <c r="AI177">
        <f>(100%+DASHBOARD!$Q$9)*'staging data'!Y177</f>
        <v>9.6</v>
      </c>
    </row>
    <row r="178" spans="1:35" x14ac:dyDescent="0.3">
      <c r="A178" s="3" t="s">
        <v>470</v>
      </c>
      <c r="B178" s="28">
        <v>45199</v>
      </c>
      <c r="C178" s="28" t="str">
        <f t="shared" si="43"/>
        <v>Q3</v>
      </c>
      <c r="D178" s="28" t="str">
        <f t="shared" si="44"/>
        <v>2023</v>
      </c>
      <c r="E178" s="28" t="str">
        <f t="shared" si="45"/>
        <v>Dec</v>
      </c>
      <c r="F178" s="5">
        <v>45265</v>
      </c>
      <c r="G178" s="5">
        <f t="shared" si="33"/>
        <v>45272</v>
      </c>
      <c r="H178" s="5">
        <v>45272</v>
      </c>
      <c r="I178" s="5" t="str">
        <f t="shared" si="46"/>
        <v>Achieved</v>
      </c>
      <c r="J178" s="14">
        <f t="shared" si="47"/>
        <v>7</v>
      </c>
      <c r="K178" s="14">
        <f t="shared" si="34"/>
        <v>7</v>
      </c>
      <c r="L178" s="3" t="s">
        <v>647</v>
      </c>
      <c r="M178" s="3" t="s">
        <v>654</v>
      </c>
      <c r="N178" s="3" t="s">
        <v>671</v>
      </c>
      <c r="O178" s="3" t="s">
        <v>700</v>
      </c>
      <c r="P178" s="3" t="s">
        <v>710</v>
      </c>
      <c r="Q178" s="3" t="s">
        <v>720</v>
      </c>
      <c r="R178" s="3" t="s">
        <v>729</v>
      </c>
      <c r="S178" s="3" t="s">
        <v>1188</v>
      </c>
      <c r="T178" s="21">
        <v>307.43</v>
      </c>
      <c r="U178" s="21" t="str">
        <f t="shared" si="48"/>
        <v>Low</v>
      </c>
      <c r="V178">
        <f t="shared" si="35"/>
        <v>495.19</v>
      </c>
      <c r="W178" s="7">
        <v>495.19</v>
      </c>
      <c r="X178" s="8">
        <v>0</v>
      </c>
      <c r="Y178" s="14">
        <v>42</v>
      </c>
      <c r="Z178" s="7">
        <f t="shared" si="36"/>
        <v>0</v>
      </c>
      <c r="AA178" s="7">
        <f t="shared" si="37"/>
        <v>20797.98</v>
      </c>
      <c r="AB178" s="7">
        <f t="shared" si="38"/>
        <v>20797.98</v>
      </c>
      <c r="AC178" s="7">
        <f t="shared" si="39"/>
        <v>12912.06</v>
      </c>
      <c r="AD178" s="7">
        <f t="shared" si="40"/>
        <v>7885.92</v>
      </c>
      <c r="AE178" s="7">
        <f t="shared" si="41"/>
        <v>7885.92</v>
      </c>
      <c r="AF178" s="26">
        <f t="shared" si="42"/>
        <v>1.6107406564095892</v>
      </c>
      <c r="AG178" s="8">
        <f>IF(DASHBOARD!$Q$7&gt;'staging data'!X178,'staging data'!X178,DASHBOARD!$Q$7)</f>
        <v>0</v>
      </c>
      <c r="AH178">
        <f>(100%+DASHBOARD!$Q$8)*'staging data'!T178</f>
        <v>353.54449999999997</v>
      </c>
      <c r="AI178">
        <f>(100%+DASHBOARD!$Q$9)*'staging data'!Y178</f>
        <v>50.4</v>
      </c>
    </row>
    <row r="179" spans="1:35" x14ac:dyDescent="0.3">
      <c r="A179" s="3" t="s">
        <v>468</v>
      </c>
      <c r="B179" s="28">
        <v>45203</v>
      </c>
      <c r="C179" s="28" t="str">
        <f t="shared" si="43"/>
        <v>Q4</v>
      </c>
      <c r="D179" s="28" t="str">
        <f t="shared" si="44"/>
        <v>2023</v>
      </c>
      <c r="E179" s="28" t="str">
        <f t="shared" si="45"/>
        <v>May</v>
      </c>
      <c r="F179" s="5">
        <v>45070</v>
      </c>
      <c r="G179" s="5">
        <f t="shared" si="33"/>
        <v>45098</v>
      </c>
      <c r="H179" s="5">
        <v>45098</v>
      </c>
      <c r="I179" s="5" t="str">
        <f t="shared" si="46"/>
        <v>Achieved</v>
      </c>
      <c r="J179" s="14">
        <f t="shared" si="47"/>
        <v>28</v>
      </c>
      <c r="K179" s="14">
        <f t="shared" si="34"/>
        <v>28</v>
      </c>
      <c r="L179" s="3" t="s">
        <v>647</v>
      </c>
      <c r="M179" s="3" t="s">
        <v>659</v>
      </c>
      <c r="N179" s="3" t="s">
        <v>696</v>
      </c>
      <c r="O179" s="3" t="s">
        <v>704</v>
      </c>
      <c r="P179" s="3" t="s">
        <v>708</v>
      </c>
      <c r="Q179" s="3" t="s">
        <v>714</v>
      </c>
      <c r="R179" s="3" t="s">
        <v>731</v>
      </c>
      <c r="S179" s="3" t="s">
        <v>1186</v>
      </c>
      <c r="T179" s="21">
        <v>813.97</v>
      </c>
      <c r="U179" s="21" t="str">
        <f t="shared" si="48"/>
        <v>Medium</v>
      </c>
      <c r="V179">
        <f t="shared" si="35"/>
        <v>1568.83</v>
      </c>
      <c r="W179" s="7">
        <v>1568.83</v>
      </c>
      <c r="X179" s="8">
        <v>1.7000000000000001E-2</v>
      </c>
      <c r="Y179" s="14">
        <v>15</v>
      </c>
      <c r="Z179" s="7">
        <f t="shared" si="36"/>
        <v>26.670110000000001</v>
      </c>
      <c r="AA179" s="7">
        <f t="shared" si="37"/>
        <v>23132.398349999996</v>
      </c>
      <c r="AB179" s="7">
        <f t="shared" si="38"/>
        <v>23105.728239999997</v>
      </c>
      <c r="AC179" s="7">
        <f t="shared" si="39"/>
        <v>12209.550000000001</v>
      </c>
      <c r="AD179" s="7">
        <f t="shared" si="40"/>
        <v>10922.848349999995</v>
      </c>
      <c r="AE179" s="7">
        <f t="shared" si="41"/>
        <v>10896.178239999996</v>
      </c>
      <c r="AF179" s="26">
        <f t="shared" si="42"/>
        <v>1.8946151455213331</v>
      </c>
      <c r="AG179" s="8">
        <f>IF(DASHBOARD!$Q$7&gt;'staging data'!X179,'staging data'!X179,DASHBOARD!$Q$7)</f>
        <v>1.7000000000000001E-2</v>
      </c>
      <c r="AH179">
        <f>(100%+DASHBOARD!$Q$8)*'staging data'!T179</f>
        <v>936.06549999999993</v>
      </c>
      <c r="AI179">
        <f>(100%+DASHBOARD!$Q$9)*'staging data'!Y179</f>
        <v>18</v>
      </c>
    </row>
    <row r="180" spans="1:35" x14ac:dyDescent="0.3">
      <c r="A180" s="3" t="s">
        <v>466</v>
      </c>
      <c r="B180" s="28">
        <v>45204</v>
      </c>
      <c r="C180" s="28" t="str">
        <f t="shared" si="43"/>
        <v>Q4</v>
      </c>
      <c r="D180" s="28" t="str">
        <f t="shared" si="44"/>
        <v>2024</v>
      </c>
      <c r="E180" s="28" t="str">
        <f t="shared" si="45"/>
        <v>May</v>
      </c>
      <c r="F180" s="5">
        <v>45413</v>
      </c>
      <c r="G180" s="5">
        <f t="shared" si="33"/>
        <v>45428</v>
      </c>
      <c r="H180" s="5">
        <v>45428</v>
      </c>
      <c r="I180" s="5" t="str">
        <f t="shared" si="46"/>
        <v>Achieved</v>
      </c>
      <c r="J180" s="14">
        <f t="shared" si="47"/>
        <v>15</v>
      </c>
      <c r="K180" s="14">
        <f t="shared" si="34"/>
        <v>15</v>
      </c>
      <c r="L180" s="3" t="s">
        <v>646</v>
      </c>
      <c r="M180" s="3" t="s">
        <v>653</v>
      </c>
      <c r="N180" s="3" t="s">
        <v>667</v>
      </c>
      <c r="O180" s="3" t="s">
        <v>704</v>
      </c>
      <c r="P180" s="3" t="s">
        <v>706</v>
      </c>
      <c r="Q180" s="3" t="s">
        <v>715</v>
      </c>
      <c r="R180" s="3" t="s">
        <v>726</v>
      </c>
      <c r="S180" s="3" t="s">
        <v>1184</v>
      </c>
      <c r="T180" s="21">
        <v>901.19</v>
      </c>
      <c r="U180" s="21" t="str">
        <f t="shared" si="48"/>
        <v>High</v>
      </c>
      <c r="V180">
        <f t="shared" si="35"/>
        <v>2125.44</v>
      </c>
      <c r="W180" s="7">
        <v>2125.44</v>
      </c>
      <c r="X180" s="8">
        <v>7.0999999999999994E-2</v>
      </c>
      <c r="Y180" s="14">
        <v>12</v>
      </c>
      <c r="Z180" s="7">
        <f t="shared" si="36"/>
        <v>150.90624</v>
      </c>
      <c r="AA180" s="7">
        <f t="shared" si="37"/>
        <v>23694.405119999999</v>
      </c>
      <c r="AB180" s="7">
        <f t="shared" si="38"/>
        <v>23543.498879999999</v>
      </c>
      <c r="AC180" s="7">
        <f t="shared" si="39"/>
        <v>10814.28</v>
      </c>
      <c r="AD180" s="7">
        <f t="shared" si="40"/>
        <v>12880.125119999999</v>
      </c>
      <c r="AE180" s="7">
        <f t="shared" si="41"/>
        <v>12729.218879999999</v>
      </c>
      <c r="AF180" s="26">
        <f t="shared" si="42"/>
        <v>2.1910293722744369</v>
      </c>
      <c r="AG180" s="8">
        <f>IF(DASHBOARD!$Q$7&gt;'staging data'!X180,'staging data'!X180,DASHBOARD!$Q$7)</f>
        <v>7.0999999999999994E-2</v>
      </c>
      <c r="AH180">
        <f>(100%+DASHBOARD!$Q$8)*'staging data'!T180</f>
        <v>1036.3685</v>
      </c>
      <c r="AI180">
        <f>(100%+DASHBOARD!$Q$9)*'staging data'!Y180</f>
        <v>14.399999999999999</v>
      </c>
    </row>
    <row r="181" spans="1:35" x14ac:dyDescent="0.3">
      <c r="A181" s="3" t="s">
        <v>467</v>
      </c>
      <c r="B181" s="28">
        <v>45204</v>
      </c>
      <c r="C181" s="28" t="str">
        <f t="shared" si="43"/>
        <v>Q4</v>
      </c>
      <c r="D181" s="28" t="str">
        <f t="shared" si="44"/>
        <v>2025</v>
      </c>
      <c r="E181" s="28" t="str">
        <f t="shared" si="45"/>
        <v>Jun</v>
      </c>
      <c r="F181" s="5">
        <v>45817</v>
      </c>
      <c r="G181" s="5">
        <f t="shared" si="33"/>
        <v>45832</v>
      </c>
      <c r="H181" s="5">
        <v>45832</v>
      </c>
      <c r="I181" s="5" t="str">
        <f t="shared" si="46"/>
        <v>Achieved</v>
      </c>
      <c r="J181" s="14">
        <f t="shared" si="47"/>
        <v>15</v>
      </c>
      <c r="K181" s="14">
        <f t="shared" si="34"/>
        <v>15</v>
      </c>
      <c r="L181" s="3" t="s">
        <v>646</v>
      </c>
      <c r="M181" s="3" t="s">
        <v>651</v>
      </c>
      <c r="N181" s="3" t="s">
        <v>693</v>
      </c>
      <c r="O181" s="3" t="s">
        <v>700</v>
      </c>
      <c r="P181" s="3" t="s">
        <v>710</v>
      </c>
      <c r="Q181" s="3" t="s">
        <v>716</v>
      </c>
      <c r="R181" s="3" t="s">
        <v>729</v>
      </c>
      <c r="S181" s="3" t="s">
        <v>1185</v>
      </c>
      <c r="T181" s="21">
        <v>400.39</v>
      </c>
      <c r="U181" s="21" t="str">
        <f t="shared" si="48"/>
        <v>Medium</v>
      </c>
      <c r="V181">
        <f t="shared" si="35"/>
        <v>712.75</v>
      </c>
      <c r="W181" s="7">
        <v>712.75</v>
      </c>
      <c r="X181" s="8">
        <v>0.115</v>
      </c>
      <c r="Y181" s="14">
        <v>19</v>
      </c>
      <c r="Z181" s="7">
        <f t="shared" si="36"/>
        <v>81.966250000000002</v>
      </c>
      <c r="AA181" s="7">
        <f t="shared" si="37"/>
        <v>11984.891250000001</v>
      </c>
      <c r="AB181" s="7">
        <f t="shared" si="38"/>
        <v>11902.925000000001</v>
      </c>
      <c r="AC181" s="7">
        <f t="shared" si="39"/>
        <v>7607.41</v>
      </c>
      <c r="AD181" s="7">
        <f t="shared" si="40"/>
        <v>4377.4812500000007</v>
      </c>
      <c r="AE181" s="7">
        <f t="shared" si="41"/>
        <v>4295.5150000000012</v>
      </c>
      <c r="AF181" s="26">
        <f t="shared" si="42"/>
        <v>1.575423337246185</v>
      </c>
      <c r="AG181" s="8">
        <f>IF(DASHBOARD!$Q$7&gt;'staging data'!X181,'staging data'!X181,DASHBOARD!$Q$7)</f>
        <v>0.115</v>
      </c>
      <c r="AH181">
        <f>(100%+DASHBOARD!$Q$8)*'staging data'!T181</f>
        <v>460.44849999999997</v>
      </c>
      <c r="AI181">
        <f>(100%+DASHBOARD!$Q$9)*'staging data'!Y181</f>
        <v>22.8</v>
      </c>
    </row>
    <row r="182" spans="1:35" x14ac:dyDescent="0.3">
      <c r="A182" s="3" t="s">
        <v>465</v>
      </c>
      <c r="B182" s="28">
        <v>45206</v>
      </c>
      <c r="C182" s="28" t="str">
        <f t="shared" si="43"/>
        <v>Q4</v>
      </c>
      <c r="D182" s="28" t="str">
        <f t="shared" si="44"/>
        <v>2023</v>
      </c>
      <c r="E182" s="28" t="str">
        <f t="shared" si="45"/>
        <v>Jan</v>
      </c>
      <c r="F182" s="5">
        <v>44945</v>
      </c>
      <c r="G182" s="5">
        <f t="shared" si="33"/>
        <v>44960</v>
      </c>
      <c r="H182" s="5">
        <v>44960</v>
      </c>
      <c r="I182" s="5" t="str">
        <f t="shared" si="46"/>
        <v>Achieved</v>
      </c>
      <c r="J182" s="14">
        <f t="shared" si="47"/>
        <v>15</v>
      </c>
      <c r="K182" s="14">
        <f t="shared" si="34"/>
        <v>15</v>
      </c>
      <c r="L182" s="3" t="s">
        <v>648</v>
      </c>
      <c r="M182" s="3" t="s">
        <v>657</v>
      </c>
      <c r="N182" s="3" t="s">
        <v>682</v>
      </c>
      <c r="O182" s="3" t="s">
        <v>705</v>
      </c>
      <c r="P182" s="3" t="s">
        <v>709</v>
      </c>
      <c r="Q182" s="3" t="s">
        <v>714</v>
      </c>
      <c r="R182" s="3" t="s">
        <v>732</v>
      </c>
      <c r="S182" s="3" t="s">
        <v>1183</v>
      </c>
      <c r="T182" s="21">
        <v>873.06</v>
      </c>
      <c r="U182" s="21" t="str">
        <f t="shared" si="48"/>
        <v>High</v>
      </c>
      <c r="V182">
        <f t="shared" si="35"/>
        <v>2101.5500000000002</v>
      </c>
      <c r="W182" s="7">
        <v>2101.5500000000002</v>
      </c>
      <c r="X182" s="8">
        <v>6.6000000000000003E-2</v>
      </c>
      <c r="Y182" s="14">
        <v>10</v>
      </c>
      <c r="Z182" s="7">
        <f t="shared" si="36"/>
        <v>138.70230000000001</v>
      </c>
      <c r="AA182" s="7">
        <f t="shared" si="37"/>
        <v>19628.476999999999</v>
      </c>
      <c r="AB182" s="7">
        <f t="shared" si="38"/>
        <v>19489.774699999998</v>
      </c>
      <c r="AC182" s="7">
        <f t="shared" si="39"/>
        <v>8730.5999999999985</v>
      </c>
      <c r="AD182" s="7">
        <f t="shared" si="40"/>
        <v>10897.877</v>
      </c>
      <c r="AE182" s="7">
        <f t="shared" si="41"/>
        <v>10759.1747</v>
      </c>
      <c r="AF182" s="26">
        <f t="shared" si="42"/>
        <v>2.2482391817286329</v>
      </c>
      <c r="AG182" s="8">
        <f>IF(DASHBOARD!$Q$7&gt;'staging data'!X182,'staging data'!X182,DASHBOARD!$Q$7)</f>
        <v>6.6000000000000003E-2</v>
      </c>
      <c r="AH182">
        <f>(100%+DASHBOARD!$Q$8)*'staging data'!T182</f>
        <v>1004.0189999999999</v>
      </c>
      <c r="AI182">
        <f>(100%+DASHBOARD!$Q$9)*'staging data'!Y182</f>
        <v>12</v>
      </c>
    </row>
    <row r="183" spans="1:35" x14ac:dyDescent="0.3">
      <c r="A183" s="3" t="s">
        <v>463</v>
      </c>
      <c r="B183" s="28">
        <v>45208</v>
      </c>
      <c r="C183" s="28" t="str">
        <f t="shared" si="43"/>
        <v>Q4</v>
      </c>
      <c r="D183" s="28" t="str">
        <f t="shared" si="44"/>
        <v>2024</v>
      </c>
      <c r="E183" s="28" t="str">
        <f t="shared" si="45"/>
        <v>Jun</v>
      </c>
      <c r="F183" s="5">
        <v>45454</v>
      </c>
      <c r="G183" s="5">
        <f t="shared" si="33"/>
        <v>45482</v>
      </c>
      <c r="H183" s="5">
        <v>45482</v>
      </c>
      <c r="I183" s="5" t="str">
        <f t="shared" si="46"/>
        <v>Achieved</v>
      </c>
      <c r="J183" s="14">
        <f t="shared" si="47"/>
        <v>28</v>
      </c>
      <c r="K183" s="14">
        <f t="shared" si="34"/>
        <v>28</v>
      </c>
      <c r="L183" s="3" t="s">
        <v>645</v>
      </c>
      <c r="M183" s="3" t="s">
        <v>650</v>
      </c>
      <c r="N183" s="3" t="s">
        <v>662</v>
      </c>
      <c r="O183" s="3" t="s">
        <v>700</v>
      </c>
      <c r="P183" s="3" t="s">
        <v>708</v>
      </c>
      <c r="Q183" s="3" t="s">
        <v>713</v>
      </c>
      <c r="R183" s="3" t="s">
        <v>729</v>
      </c>
      <c r="S183" s="3" t="s">
        <v>1181</v>
      </c>
      <c r="T183" s="21">
        <v>895.54</v>
      </c>
      <c r="U183" s="21" t="str">
        <f t="shared" si="48"/>
        <v>Medium</v>
      </c>
      <c r="V183">
        <f t="shared" si="35"/>
        <v>1045</v>
      </c>
      <c r="W183" s="7">
        <v>1045</v>
      </c>
      <c r="X183" s="8">
        <v>0.216</v>
      </c>
      <c r="Y183" s="14">
        <v>15</v>
      </c>
      <c r="Z183" s="7">
        <f t="shared" si="36"/>
        <v>225.72</v>
      </c>
      <c r="AA183" s="7">
        <f t="shared" si="37"/>
        <v>12289.2</v>
      </c>
      <c r="AB183" s="7">
        <f t="shared" si="38"/>
        <v>12063.480000000001</v>
      </c>
      <c r="AC183" s="7">
        <f t="shared" si="39"/>
        <v>13433.099999999999</v>
      </c>
      <c r="AD183" s="7">
        <f t="shared" si="40"/>
        <v>-1143.8999999999978</v>
      </c>
      <c r="AE183" s="7">
        <f t="shared" si="41"/>
        <v>-1369.6199999999972</v>
      </c>
      <c r="AF183" s="26">
        <f t="shared" si="42"/>
        <v>0.9148446747213973</v>
      </c>
      <c r="AG183" s="8">
        <f>IF(DASHBOARD!$Q$7&gt;'staging data'!X183,'staging data'!X183,DASHBOARD!$Q$7)</f>
        <v>0.2</v>
      </c>
      <c r="AH183">
        <f>(100%+DASHBOARD!$Q$8)*'staging data'!T183</f>
        <v>1029.8709999999999</v>
      </c>
      <c r="AI183">
        <f>(100%+DASHBOARD!$Q$9)*'staging data'!Y183</f>
        <v>18</v>
      </c>
    </row>
    <row r="184" spans="1:35" x14ac:dyDescent="0.3">
      <c r="A184" s="3" t="s">
        <v>464</v>
      </c>
      <c r="B184" s="28">
        <v>45208</v>
      </c>
      <c r="C184" s="28" t="str">
        <f t="shared" si="43"/>
        <v>Q4</v>
      </c>
      <c r="D184" s="28" t="str">
        <f t="shared" si="44"/>
        <v>2023</v>
      </c>
      <c r="E184" s="28" t="str">
        <f t="shared" si="45"/>
        <v>Jul</v>
      </c>
      <c r="F184" s="5">
        <v>45129</v>
      </c>
      <c r="G184" s="5">
        <f t="shared" si="33"/>
        <v>45129</v>
      </c>
      <c r="H184" s="5">
        <v>45128</v>
      </c>
      <c r="I184" s="5" t="str">
        <f t="shared" si="46"/>
        <v>Not achieved</v>
      </c>
      <c r="J184" s="14">
        <f t="shared" si="47"/>
        <v>0</v>
      </c>
      <c r="K184" s="14">
        <f t="shared" si="34"/>
        <v>-1</v>
      </c>
      <c r="L184" s="3" t="s">
        <v>646</v>
      </c>
      <c r="M184" s="3" t="s">
        <v>653</v>
      </c>
      <c r="N184" s="3" t="s">
        <v>679</v>
      </c>
      <c r="O184" s="3" t="s">
        <v>704</v>
      </c>
      <c r="P184" s="3" t="s">
        <v>709</v>
      </c>
      <c r="Q184" s="3" t="s">
        <v>717</v>
      </c>
      <c r="R184" s="3" t="s">
        <v>727</v>
      </c>
      <c r="S184" s="3" t="s">
        <v>1182</v>
      </c>
      <c r="T184" s="21">
        <v>946.99</v>
      </c>
      <c r="U184" s="21" t="str">
        <f t="shared" si="48"/>
        <v>High</v>
      </c>
      <c r="V184">
        <f t="shared" si="35"/>
        <v>2132.19</v>
      </c>
      <c r="W184" s="7">
        <v>2132.19</v>
      </c>
      <c r="X184" s="8">
        <v>0.16500000000000001</v>
      </c>
      <c r="Y184" s="14">
        <v>7</v>
      </c>
      <c r="Z184" s="7">
        <f t="shared" si="36"/>
        <v>351.81135</v>
      </c>
      <c r="AA184" s="7">
        <f t="shared" si="37"/>
        <v>12462.65055</v>
      </c>
      <c r="AB184" s="7">
        <f t="shared" si="38"/>
        <v>12110.8392</v>
      </c>
      <c r="AC184" s="7">
        <f t="shared" si="39"/>
        <v>6628.93</v>
      </c>
      <c r="AD184" s="7">
        <f t="shared" si="40"/>
        <v>5833.72055</v>
      </c>
      <c r="AE184" s="7">
        <f t="shared" si="41"/>
        <v>5481.9092000000001</v>
      </c>
      <c r="AF184" s="26">
        <f t="shared" si="42"/>
        <v>1.8800395463521262</v>
      </c>
      <c r="AG184" s="8">
        <f>IF(DASHBOARD!$Q$7&gt;'staging data'!X184,'staging data'!X184,DASHBOARD!$Q$7)</f>
        <v>0.16500000000000001</v>
      </c>
      <c r="AH184">
        <f>(100%+DASHBOARD!$Q$8)*'staging data'!T184</f>
        <v>1089.0384999999999</v>
      </c>
      <c r="AI184">
        <f>(100%+DASHBOARD!$Q$9)*'staging data'!Y184</f>
        <v>8.4</v>
      </c>
    </row>
    <row r="185" spans="1:35" x14ac:dyDescent="0.3">
      <c r="A185" s="3" t="s">
        <v>462</v>
      </c>
      <c r="B185" s="28">
        <v>45210</v>
      </c>
      <c r="C185" s="28" t="str">
        <f t="shared" si="43"/>
        <v>Q4</v>
      </c>
      <c r="D185" s="28" t="str">
        <f t="shared" si="44"/>
        <v>2024</v>
      </c>
      <c r="E185" s="28" t="str">
        <f t="shared" si="45"/>
        <v>Jun</v>
      </c>
      <c r="F185" s="5">
        <v>45446</v>
      </c>
      <c r="G185" s="5">
        <f t="shared" si="33"/>
        <v>45467</v>
      </c>
      <c r="H185" s="5">
        <v>45467</v>
      </c>
      <c r="I185" s="5" t="str">
        <f t="shared" si="46"/>
        <v>Achieved</v>
      </c>
      <c r="J185" s="14">
        <f t="shared" si="47"/>
        <v>21</v>
      </c>
      <c r="K185" s="14">
        <f t="shared" si="34"/>
        <v>21</v>
      </c>
      <c r="L185" s="3" t="s">
        <v>647</v>
      </c>
      <c r="M185" s="3" t="s">
        <v>652</v>
      </c>
      <c r="N185" s="3" t="s">
        <v>666</v>
      </c>
      <c r="O185" s="3" t="s">
        <v>704</v>
      </c>
      <c r="P185" s="3" t="s">
        <v>710</v>
      </c>
      <c r="Q185" s="3" t="s">
        <v>714</v>
      </c>
      <c r="R185" s="3" t="s">
        <v>731</v>
      </c>
      <c r="S185" s="3" t="s">
        <v>1180</v>
      </c>
      <c r="T185" s="21">
        <v>1205.5</v>
      </c>
      <c r="U185" s="21" t="str">
        <f t="shared" si="48"/>
        <v>High</v>
      </c>
      <c r="V185">
        <f t="shared" si="35"/>
        <v>2210.17</v>
      </c>
      <c r="W185" s="7">
        <v>2210.17</v>
      </c>
      <c r="X185" s="8">
        <v>0.104</v>
      </c>
      <c r="Y185" s="14">
        <v>23</v>
      </c>
      <c r="Z185" s="7">
        <f t="shared" si="36"/>
        <v>229.85767999999999</v>
      </c>
      <c r="AA185" s="7">
        <f t="shared" si="37"/>
        <v>45547.183360000003</v>
      </c>
      <c r="AB185" s="7">
        <f t="shared" si="38"/>
        <v>45317.325680000002</v>
      </c>
      <c r="AC185" s="7">
        <f t="shared" si="39"/>
        <v>27726.5</v>
      </c>
      <c r="AD185" s="7">
        <f t="shared" si="40"/>
        <v>17820.683360000003</v>
      </c>
      <c r="AE185" s="7">
        <f t="shared" si="41"/>
        <v>17590.825680000002</v>
      </c>
      <c r="AF185" s="26">
        <f t="shared" si="42"/>
        <v>1.6427310825383659</v>
      </c>
      <c r="AG185" s="8">
        <f>IF(DASHBOARD!$Q$7&gt;'staging data'!X185,'staging data'!X185,DASHBOARD!$Q$7)</f>
        <v>0.104</v>
      </c>
      <c r="AH185">
        <f>(100%+DASHBOARD!$Q$8)*'staging data'!T185</f>
        <v>1386.3249999999998</v>
      </c>
      <c r="AI185">
        <f>(100%+DASHBOARD!$Q$9)*'staging data'!Y185</f>
        <v>27.599999999999998</v>
      </c>
    </row>
    <row r="186" spans="1:35" x14ac:dyDescent="0.3">
      <c r="A186" s="3" t="s">
        <v>461</v>
      </c>
      <c r="B186" s="28">
        <v>45211</v>
      </c>
      <c r="C186" s="28" t="str">
        <f t="shared" si="43"/>
        <v>Q4</v>
      </c>
      <c r="D186" s="28" t="str">
        <f t="shared" si="44"/>
        <v>2025</v>
      </c>
      <c r="E186" s="28" t="str">
        <f t="shared" si="45"/>
        <v>Mar</v>
      </c>
      <c r="F186" s="5">
        <v>45746</v>
      </c>
      <c r="G186" s="5">
        <f t="shared" si="33"/>
        <v>45776</v>
      </c>
      <c r="H186" s="5">
        <v>45776</v>
      </c>
      <c r="I186" s="5" t="str">
        <f t="shared" si="46"/>
        <v>Achieved</v>
      </c>
      <c r="J186" s="14">
        <f t="shared" si="47"/>
        <v>30</v>
      </c>
      <c r="K186" s="14">
        <f t="shared" si="34"/>
        <v>30</v>
      </c>
      <c r="L186" s="3" t="s">
        <v>645</v>
      </c>
      <c r="M186" s="3" t="s">
        <v>660</v>
      </c>
      <c r="N186" s="3" t="s">
        <v>686</v>
      </c>
      <c r="O186" s="3" t="s">
        <v>703</v>
      </c>
      <c r="P186" s="3" t="s">
        <v>708</v>
      </c>
      <c r="Q186" s="3" t="s">
        <v>712</v>
      </c>
      <c r="R186" s="3" t="s">
        <v>731</v>
      </c>
      <c r="S186" s="3" t="s">
        <v>1179</v>
      </c>
      <c r="T186" s="21">
        <v>194.6</v>
      </c>
      <c r="U186" s="21" t="str">
        <f t="shared" si="48"/>
        <v>Low</v>
      </c>
      <c r="V186">
        <f t="shared" si="35"/>
        <v>314.87</v>
      </c>
      <c r="W186" s="7">
        <v>314.87</v>
      </c>
      <c r="X186" s="8">
        <v>0.29299999999999998</v>
      </c>
      <c r="Y186" s="14">
        <v>25</v>
      </c>
      <c r="Z186" s="7">
        <f t="shared" si="36"/>
        <v>92.256909999999991</v>
      </c>
      <c r="AA186" s="7">
        <f t="shared" si="37"/>
        <v>5565.3272500000003</v>
      </c>
      <c r="AB186" s="7">
        <f t="shared" si="38"/>
        <v>5473.0703400000002</v>
      </c>
      <c r="AC186" s="7">
        <f t="shared" si="39"/>
        <v>4865</v>
      </c>
      <c r="AD186" s="7">
        <f t="shared" si="40"/>
        <v>700.32725000000028</v>
      </c>
      <c r="AE186" s="7">
        <f t="shared" si="41"/>
        <v>608.07034000000021</v>
      </c>
      <c r="AF186" s="26">
        <f t="shared" si="42"/>
        <v>1.1439521582733814</v>
      </c>
      <c r="AG186" s="8">
        <f>IF(DASHBOARD!$Q$7&gt;'staging data'!X186,'staging data'!X186,DASHBOARD!$Q$7)</f>
        <v>0.2</v>
      </c>
      <c r="AH186">
        <f>(100%+DASHBOARD!$Q$8)*'staging data'!T186</f>
        <v>223.78999999999996</v>
      </c>
      <c r="AI186">
        <f>(100%+DASHBOARD!$Q$9)*'staging data'!Y186</f>
        <v>30</v>
      </c>
    </row>
    <row r="187" spans="1:35" x14ac:dyDescent="0.3">
      <c r="A187" s="3" t="s">
        <v>460</v>
      </c>
      <c r="B187" s="28">
        <v>45214</v>
      </c>
      <c r="C187" s="28" t="str">
        <f t="shared" si="43"/>
        <v>Q4</v>
      </c>
      <c r="D187" s="28" t="str">
        <f t="shared" si="44"/>
        <v>2023</v>
      </c>
      <c r="E187" s="28" t="str">
        <f t="shared" si="45"/>
        <v>Dec</v>
      </c>
      <c r="F187" s="5">
        <v>45284</v>
      </c>
      <c r="G187" s="5">
        <f t="shared" si="33"/>
        <v>45304</v>
      </c>
      <c r="H187" s="5">
        <v>45304</v>
      </c>
      <c r="I187" s="5" t="str">
        <f t="shared" si="46"/>
        <v>Achieved</v>
      </c>
      <c r="J187" s="14">
        <f t="shared" si="47"/>
        <v>20</v>
      </c>
      <c r="K187" s="14">
        <f t="shared" si="34"/>
        <v>20</v>
      </c>
      <c r="L187" s="3" t="s">
        <v>646</v>
      </c>
      <c r="M187" s="3" t="s">
        <v>651</v>
      </c>
      <c r="N187" s="3" t="s">
        <v>693</v>
      </c>
      <c r="O187" s="3" t="s">
        <v>701</v>
      </c>
      <c r="P187" s="3" t="s">
        <v>710</v>
      </c>
      <c r="Q187" s="3" t="s">
        <v>716</v>
      </c>
      <c r="R187" s="3" t="s">
        <v>730</v>
      </c>
      <c r="S187" s="3" t="s">
        <v>1178</v>
      </c>
      <c r="T187" s="21">
        <v>625.37</v>
      </c>
      <c r="U187" s="21" t="str">
        <f t="shared" si="48"/>
        <v>Medium</v>
      </c>
      <c r="V187">
        <f t="shared" si="35"/>
        <v>1319.04</v>
      </c>
      <c r="W187" s="7">
        <v>1319.04</v>
      </c>
      <c r="X187" s="8">
        <v>7.3999999999999996E-2</v>
      </c>
      <c r="Y187" s="14">
        <v>8</v>
      </c>
      <c r="Z187" s="7">
        <f t="shared" si="36"/>
        <v>97.608959999999996</v>
      </c>
      <c r="AA187" s="7">
        <f t="shared" si="37"/>
        <v>9771.4483199999995</v>
      </c>
      <c r="AB187" s="7">
        <f t="shared" si="38"/>
        <v>9673.8393599999999</v>
      </c>
      <c r="AC187" s="7">
        <f t="shared" si="39"/>
        <v>5002.96</v>
      </c>
      <c r="AD187" s="7">
        <f t="shared" si="40"/>
        <v>4768.4883199999995</v>
      </c>
      <c r="AE187" s="7">
        <f t="shared" si="41"/>
        <v>4670.8793599999999</v>
      </c>
      <c r="AF187" s="26">
        <f t="shared" si="42"/>
        <v>1.9531334090218591</v>
      </c>
      <c r="AG187" s="8">
        <f>IF(DASHBOARD!$Q$7&gt;'staging data'!X187,'staging data'!X187,DASHBOARD!$Q$7)</f>
        <v>7.3999999999999996E-2</v>
      </c>
      <c r="AH187">
        <f>(100%+DASHBOARD!$Q$8)*'staging data'!T187</f>
        <v>719.17549999999994</v>
      </c>
      <c r="AI187">
        <f>(100%+DASHBOARD!$Q$9)*'staging data'!Y187</f>
        <v>9.6</v>
      </c>
    </row>
    <row r="188" spans="1:35" x14ac:dyDescent="0.3">
      <c r="A188" s="3" t="s">
        <v>459</v>
      </c>
      <c r="B188" s="28">
        <v>45217</v>
      </c>
      <c r="C188" s="28" t="str">
        <f t="shared" si="43"/>
        <v>Q4</v>
      </c>
      <c r="D188" s="28" t="str">
        <f t="shared" si="44"/>
        <v>2023</v>
      </c>
      <c r="E188" s="28" t="str">
        <f t="shared" si="45"/>
        <v>Jun</v>
      </c>
      <c r="F188" s="5">
        <v>45090</v>
      </c>
      <c r="G188" s="5">
        <f t="shared" si="33"/>
        <v>45101</v>
      </c>
      <c r="H188" s="5">
        <v>45101</v>
      </c>
      <c r="I188" s="5" t="str">
        <f t="shared" si="46"/>
        <v>Achieved</v>
      </c>
      <c r="J188" s="14">
        <f t="shared" si="47"/>
        <v>11</v>
      </c>
      <c r="K188" s="14">
        <f t="shared" si="34"/>
        <v>11</v>
      </c>
      <c r="L188" s="3" t="s">
        <v>647</v>
      </c>
      <c r="M188" s="3" t="s">
        <v>652</v>
      </c>
      <c r="N188" s="3" t="s">
        <v>666</v>
      </c>
      <c r="O188" s="3" t="s">
        <v>700</v>
      </c>
      <c r="P188" s="3" t="s">
        <v>707</v>
      </c>
      <c r="Q188" s="3" t="s">
        <v>711</v>
      </c>
      <c r="R188" s="3" t="s">
        <v>727</v>
      </c>
      <c r="S188" s="3" t="s">
        <v>1177</v>
      </c>
      <c r="T188" s="21">
        <v>247.07</v>
      </c>
      <c r="U188" s="21" t="str">
        <f t="shared" si="48"/>
        <v>Low</v>
      </c>
      <c r="V188">
        <f t="shared" si="35"/>
        <v>495.19</v>
      </c>
      <c r="W188" s="7">
        <v>495.19</v>
      </c>
      <c r="X188" s="8">
        <v>2.8000000000000001E-2</v>
      </c>
      <c r="Y188" s="14">
        <v>4</v>
      </c>
      <c r="Z188" s="7">
        <f t="shared" si="36"/>
        <v>13.865320000000001</v>
      </c>
      <c r="AA188" s="7">
        <f t="shared" si="37"/>
        <v>1925.29872</v>
      </c>
      <c r="AB188" s="7">
        <f t="shared" si="38"/>
        <v>1911.4333999999999</v>
      </c>
      <c r="AC188" s="7">
        <f t="shared" si="39"/>
        <v>988.28</v>
      </c>
      <c r="AD188" s="7">
        <f t="shared" si="40"/>
        <v>937.01872000000003</v>
      </c>
      <c r="AE188" s="7">
        <f t="shared" si="41"/>
        <v>923.15339999999992</v>
      </c>
      <c r="AF188" s="26">
        <f t="shared" si="42"/>
        <v>1.9481308131298822</v>
      </c>
      <c r="AG188" s="8">
        <f>IF(DASHBOARD!$Q$7&gt;'staging data'!X188,'staging data'!X188,DASHBOARD!$Q$7)</f>
        <v>2.8000000000000001E-2</v>
      </c>
      <c r="AH188">
        <f>(100%+DASHBOARD!$Q$8)*'staging data'!T188</f>
        <v>284.13049999999998</v>
      </c>
      <c r="AI188">
        <f>(100%+DASHBOARD!$Q$9)*'staging data'!Y188</f>
        <v>4.8</v>
      </c>
    </row>
    <row r="189" spans="1:35" x14ac:dyDescent="0.3">
      <c r="A189" s="3" t="s">
        <v>457</v>
      </c>
      <c r="B189" s="28">
        <v>45220</v>
      </c>
      <c r="C189" s="28" t="str">
        <f t="shared" si="43"/>
        <v>Q4</v>
      </c>
      <c r="D189" s="28" t="str">
        <f t="shared" si="44"/>
        <v>2024</v>
      </c>
      <c r="E189" s="28" t="str">
        <f t="shared" si="45"/>
        <v>Aug</v>
      </c>
      <c r="F189" s="5">
        <v>45526</v>
      </c>
      <c r="G189" s="5">
        <f t="shared" si="33"/>
        <v>45539</v>
      </c>
      <c r="H189" s="5">
        <v>45539</v>
      </c>
      <c r="I189" s="5" t="str">
        <f t="shared" si="46"/>
        <v>Achieved</v>
      </c>
      <c r="J189" s="14">
        <f t="shared" si="47"/>
        <v>13</v>
      </c>
      <c r="K189" s="14">
        <f t="shared" si="34"/>
        <v>13</v>
      </c>
      <c r="L189" s="3" t="s">
        <v>648</v>
      </c>
      <c r="M189" s="3" t="s">
        <v>655</v>
      </c>
      <c r="N189" s="3" t="s">
        <v>697</v>
      </c>
      <c r="O189" s="3" t="s">
        <v>702</v>
      </c>
      <c r="P189" s="3" t="s">
        <v>706</v>
      </c>
      <c r="Q189" s="3" t="s">
        <v>715</v>
      </c>
      <c r="R189" s="3" t="s">
        <v>727</v>
      </c>
      <c r="S189" s="3" t="s">
        <v>1175</v>
      </c>
      <c r="T189" s="21">
        <v>90.04</v>
      </c>
      <c r="U189" s="21" t="str">
        <f t="shared" si="48"/>
        <v>Low</v>
      </c>
      <c r="V189">
        <f t="shared" si="35"/>
        <v>194.62</v>
      </c>
      <c r="W189" s="7">
        <v>194.62</v>
      </c>
      <c r="X189" s="8">
        <v>4.2999999999999997E-2</v>
      </c>
      <c r="Y189" s="14">
        <v>32</v>
      </c>
      <c r="Z189" s="7">
        <f t="shared" si="36"/>
        <v>8.3686600000000002</v>
      </c>
      <c r="AA189" s="7">
        <f t="shared" si="37"/>
        <v>5960.04288</v>
      </c>
      <c r="AB189" s="7">
        <f t="shared" si="38"/>
        <v>5951.6742199999999</v>
      </c>
      <c r="AC189" s="7">
        <f t="shared" si="39"/>
        <v>2881.28</v>
      </c>
      <c r="AD189" s="7">
        <f t="shared" si="40"/>
        <v>3078.7628799999998</v>
      </c>
      <c r="AE189" s="7">
        <f t="shared" si="41"/>
        <v>3070.3942199999997</v>
      </c>
      <c r="AF189" s="26">
        <f t="shared" si="42"/>
        <v>2.0685399822301198</v>
      </c>
      <c r="AG189" s="8">
        <f>IF(DASHBOARD!$Q$7&gt;'staging data'!X189,'staging data'!X189,DASHBOARD!$Q$7)</f>
        <v>4.2999999999999997E-2</v>
      </c>
      <c r="AH189">
        <f>(100%+DASHBOARD!$Q$8)*'staging data'!T189</f>
        <v>103.54599999999999</v>
      </c>
      <c r="AI189">
        <f>(100%+DASHBOARD!$Q$9)*'staging data'!Y189</f>
        <v>38.4</v>
      </c>
    </row>
    <row r="190" spans="1:35" x14ac:dyDescent="0.3">
      <c r="A190" s="3" t="s">
        <v>458</v>
      </c>
      <c r="B190" s="28">
        <v>45220</v>
      </c>
      <c r="C190" s="28" t="str">
        <f t="shared" si="43"/>
        <v>Q4</v>
      </c>
      <c r="D190" s="28" t="str">
        <f t="shared" si="44"/>
        <v>2024</v>
      </c>
      <c r="E190" s="28" t="str">
        <f t="shared" si="45"/>
        <v>Sept</v>
      </c>
      <c r="F190" s="5">
        <v>45560</v>
      </c>
      <c r="G190" s="5">
        <f t="shared" si="33"/>
        <v>45568</v>
      </c>
      <c r="H190" s="5">
        <v>45568</v>
      </c>
      <c r="I190" s="5" t="str">
        <f t="shared" si="46"/>
        <v>Achieved</v>
      </c>
      <c r="J190" s="14">
        <f t="shared" si="47"/>
        <v>8</v>
      </c>
      <c r="K190" s="14">
        <f t="shared" si="34"/>
        <v>8</v>
      </c>
      <c r="L190" s="3" t="s">
        <v>647</v>
      </c>
      <c r="M190" s="3" t="s">
        <v>652</v>
      </c>
      <c r="N190" s="3" t="s">
        <v>666</v>
      </c>
      <c r="O190" s="3" t="s">
        <v>703</v>
      </c>
      <c r="P190" s="3" t="s">
        <v>707</v>
      </c>
      <c r="Q190" s="3" t="s">
        <v>717</v>
      </c>
      <c r="R190" s="3" t="s">
        <v>727</v>
      </c>
      <c r="S190" s="3" t="s">
        <v>1176</v>
      </c>
      <c r="T190" s="21">
        <v>558.19000000000005</v>
      </c>
      <c r="U190" s="21" t="str">
        <f t="shared" si="48"/>
        <v>Medium</v>
      </c>
      <c r="V190">
        <f t="shared" si="35"/>
        <v>1031.6400000000001</v>
      </c>
      <c r="W190" s="7">
        <v>1031.6400000000001</v>
      </c>
      <c r="X190" s="8">
        <v>0</v>
      </c>
      <c r="Y190" s="14">
        <v>21</v>
      </c>
      <c r="Z190" s="7">
        <f t="shared" si="36"/>
        <v>0</v>
      </c>
      <c r="AA190" s="7">
        <f t="shared" si="37"/>
        <v>21664.440000000002</v>
      </c>
      <c r="AB190" s="7">
        <f t="shared" si="38"/>
        <v>21664.440000000002</v>
      </c>
      <c r="AC190" s="7">
        <f t="shared" si="39"/>
        <v>11721.990000000002</v>
      </c>
      <c r="AD190" s="7">
        <f t="shared" si="40"/>
        <v>9942.4500000000007</v>
      </c>
      <c r="AE190" s="7">
        <f t="shared" si="41"/>
        <v>9942.4500000000007</v>
      </c>
      <c r="AF190" s="26">
        <f t="shared" si="42"/>
        <v>1.8481878930113402</v>
      </c>
      <c r="AG190" s="8">
        <f>IF(DASHBOARD!$Q$7&gt;'staging data'!X190,'staging data'!X190,DASHBOARD!$Q$7)</f>
        <v>0</v>
      </c>
      <c r="AH190">
        <f>(100%+DASHBOARD!$Q$8)*'staging data'!T190</f>
        <v>641.91849999999999</v>
      </c>
      <c r="AI190">
        <f>(100%+DASHBOARD!$Q$9)*'staging data'!Y190</f>
        <v>25.2</v>
      </c>
    </row>
    <row r="191" spans="1:35" x14ac:dyDescent="0.3">
      <c r="A191" s="3" t="s">
        <v>456</v>
      </c>
      <c r="B191" s="28">
        <v>45221</v>
      </c>
      <c r="C191" s="28" t="str">
        <f t="shared" si="43"/>
        <v>Q4</v>
      </c>
      <c r="D191" s="28" t="str">
        <f t="shared" si="44"/>
        <v>2023</v>
      </c>
      <c r="E191" s="28" t="str">
        <f t="shared" si="45"/>
        <v>Sept</v>
      </c>
      <c r="F191" s="5">
        <v>45189</v>
      </c>
      <c r="G191" s="5">
        <f t="shared" si="33"/>
        <v>45197</v>
      </c>
      <c r="H191" s="5">
        <v>45197</v>
      </c>
      <c r="I191" s="5" t="str">
        <f t="shared" si="46"/>
        <v>Achieved</v>
      </c>
      <c r="J191" s="14">
        <f t="shared" si="47"/>
        <v>8</v>
      </c>
      <c r="K191" s="14">
        <f t="shared" si="34"/>
        <v>8</v>
      </c>
      <c r="L191" s="3" t="s">
        <v>646</v>
      </c>
      <c r="M191" s="3" t="s">
        <v>653</v>
      </c>
      <c r="N191" s="3" t="s">
        <v>667</v>
      </c>
      <c r="O191" s="3" t="s">
        <v>700</v>
      </c>
      <c r="P191" s="3" t="s">
        <v>708</v>
      </c>
      <c r="Q191" s="3" t="s">
        <v>716</v>
      </c>
      <c r="R191" s="3" t="s">
        <v>732</v>
      </c>
      <c r="S191" s="3" t="s">
        <v>1174</v>
      </c>
      <c r="T191" s="21">
        <v>1362.06</v>
      </c>
      <c r="U191" s="21" t="str">
        <f t="shared" si="48"/>
        <v>High</v>
      </c>
      <c r="V191">
        <f t="shared" si="35"/>
        <v>3398.37</v>
      </c>
      <c r="W191" s="7">
        <v>3398.37</v>
      </c>
      <c r="X191" s="8">
        <v>0.157</v>
      </c>
      <c r="Y191" s="14">
        <v>11</v>
      </c>
      <c r="Z191" s="7">
        <f t="shared" si="36"/>
        <v>533.54408999999998</v>
      </c>
      <c r="AA191" s="7">
        <f t="shared" si="37"/>
        <v>31513.085009999999</v>
      </c>
      <c r="AB191" s="7">
        <f t="shared" si="38"/>
        <v>30979.540919999999</v>
      </c>
      <c r="AC191" s="7">
        <f t="shared" si="39"/>
        <v>14982.66</v>
      </c>
      <c r="AD191" s="7">
        <f t="shared" si="40"/>
        <v>16530.425009999999</v>
      </c>
      <c r="AE191" s="7">
        <f t="shared" si="41"/>
        <v>15996.88092</v>
      </c>
      <c r="AF191" s="26">
        <f t="shared" si="42"/>
        <v>2.1033037531386283</v>
      </c>
      <c r="AG191" s="8">
        <f>IF(DASHBOARD!$Q$7&gt;'staging data'!X191,'staging data'!X191,DASHBOARD!$Q$7)</f>
        <v>0.157</v>
      </c>
      <c r="AH191">
        <f>(100%+DASHBOARD!$Q$8)*'staging data'!T191</f>
        <v>1566.3689999999999</v>
      </c>
      <c r="AI191">
        <f>(100%+DASHBOARD!$Q$9)*'staging data'!Y191</f>
        <v>13.2</v>
      </c>
    </row>
    <row r="192" spans="1:35" x14ac:dyDescent="0.3">
      <c r="A192" s="3" t="s">
        <v>454</v>
      </c>
      <c r="B192" s="28">
        <v>45224</v>
      </c>
      <c r="C192" s="28" t="str">
        <f t="shared" si="43"/>
        <v>Q4</v>
      </c>
      <c r="D192" s="28" t="str">
        <f t="shared" si="44"/>
        <v>2023</v>
      </c>
      <c r="E192" s="28" t="str">
        <f t="shared" si="45"/>
        <v>May</v>
      </c>
      <c r="F192" s="5">
        <v>45063</v>
      </c>
      <c r="G192" s="5">
        <f t="shared" si="33"/>
        <v>45080</v>
      </c>
      <c r="H192" s="5">
        <v>45080</v>
      </c>
      <c r="I192" s="5" t="str">
        <f t="shared" si="46"/>
        <v>Achieved</v>
      </c>
      <c r="J192" s="14">
        <f t="shared" si="47"/>
        <v>17</v>
      </c>
      <c r="K192" s="14">
        <f t="shared" si="34"/>
        <v>17</v>
      </c>
      <c r="L192" s="3" t="s">
        <v>646</v>
      </c>
      <c r="M192" s="3" t="s">
        <v>658</v>
      </c>
      <c r="N192" s="3" t="s">
        <v>698</v>
      </c>
      <c r="O192" s="3" t="s">
        <v>702</v>
      </c>
      <c r="P192" s="3" t="s">
        <v>709</v>
      </c>
      <c r="Q192" s="3" t="s">
        <v>723</v>
      </c>
      <c r="R192" s="3" t="s">
        <v>727</v>
      </c>
      <c r="S192" s="3" t="s">
        <v>1172</v>
      </c>
      <c r="T192" s="21">
        <v>979.59</v>
      </c>
      <c r="U192" s="21" t="str">
        <f t="shared" si="48"/>
        <v>High</v>
      </c>
      <c r="V192">
        <f t="shared" si="35"/>
        <v>2210.94</v>
      </c>
      <c r="W192" s="7">
        <v>2210.94</v>
      </c>
      <c r="X192" s="8">
        <v>0.15</v>
      </c>
      <c r="Y192" s="14">
        <v>11</v>
      </c>
      <c r="Z192" s="7">
        <f t="shared" si="36"/>
        <v>331.64100000000002</v>
      </c>
      <c r="AA192" s="7">
        <f t="shared" si="37"/>
        <v>20672.289000000001</v>
      </c>
      <c r="AB192" s="7">
        <f t="shared" si="38"/>
        <v>20340.648000000001</v>
      </c>
      <c r="AC192" s="7">
        <f t="shared" si="39"/>
        <v>10775.49</v>
      </c>
      <c r="AD192" s="7">
        <f t="shared" si="40"/>
        <v>9896.7990000000009</v>
      </c>
      <c r="AE192" s="7">
        <f t="shared" si="41"/>
        <v>9565.1580000000013</v>
      </c>
      <c r="AF192" s="26">
        <f t="shared" si="42"/>
        <v>1.918454659602487</v>
      </c>
      <c r="AG192" s="8">
        <f>IF(DASHBOARD!$Q$7&gt;'staging data'!X192,'staging data'!X192,DASHBOARD!$Q$7)</f>
        <v>0.15</v>
      </c>
      <c r="AH192">
        <f>(100%+DASHBOARD!$Q$8)*'staging data'!T192</f>
        <v>1126.5284999999999</v>
      </c>
      <c r="AI192">
        <f>(100%+DASHBOARD!$Q$9)*'staging data'!Y192</f>
        <v>13.2</v>
      </c>
    </row>
    <row r="193" spans="1:35" x14ac:dyDescent="0.3">
      <c r="A193" s="3" t="s">
        <v>455</v>
      </c>
      <c r="B193" s="28">
        <v>45224</v>
      </c>
      <c r="C193" s="28" t="str">
        <f t="shared" si="43"/>
        <v>Q4</v>
      </c>
      <c r="D193" s="28" t="str">
        <f t="shared" si="44"/>
        <v>2024</v>
      </c>
      <c r="E193" s="28" t="str">
        <f t="shared" si="45"/>
        <v>Mar</v>
      </c>
      <c r="F193" s="5">
        <v>45374</v>
      </c>
      <c r="G193" s="5">
        <f t="shared" si="33"/>
        <v>45377</v>
      </c>
      <c r="H193" s="5">
        <v>45377</v>
      </c>
      <c r="I193" s="5" t="str">
        <f t="shared" si="46"/>
        <v>Not achieved</v>
      </c>
      <c r="J193" s="14">
        <f t="shared" si="47"/>
        <v>3</v>
      </c>
      <c r="K193" s="14">
        <f t="shared" si="34"/>
        <v>3</v>
      </c>
      <c r="L193" s="3" t="s">
        <v>646</v>
      </c>
      <c r="M193" s="3" t="s">
        <v>653</v>
      </c>
      <c r="N193" s="3" t="s">
        <v>667</v>
      </c>
      <c r="O193" s="3" t="s">
        <v>701</v>
      </c>
      <c r="P193" s="3" t="s">
        <v>710</v>
      </c>
      <c r="Q193" s="3" t="s">
        <v>714</v>
      </c>
      <c r="R193" s="3" t="s">
        <v>729</v>
      </c>
      <c r="S193" s="3" t="s">
        <v>1173</v>
      </c>
      <c r="T193" s="21">
        <v>382.21</v>
      </c>
      <c r="U193" s="21" t="str">
        <f t="shared" si="48"/>
        <v>Low</v>
      </c>
      <c r="V193">
        <f t="shared" si="35"/>
        <v>571.89</v>
      </c>
      <c r="W193" s="7">
        <v>571.89</v>
      </c>
      <c r="X193" s="8">
        <v>0.14799999999999999</v>
      </c>
      <c r="Y193" s="14">
        <v>26</v>
      </c>
      <c r="Z193" s="7">
        <f t="shared" si="36"/>
        <v>84.639719999999997</v>
      </c>
      <c r="AA193" s="7">
        <f t="shared" si="37"/>
        <v>12668.50728</v>
      </c>
      <c r="AB193" s="7">
        <f t="shared" si="38"/>
        <v>12583.867560000001</v>
      </c>
      <c r="AC193" s="7">
        <f t="shared" si="39"/>
        <v>9937.4599999999991</v>
      </c>
      <c r="AD193" s="7">
        <f t="shared" si="40"/>
        <v>2731.0472800000007</v>
      </c>
      <c r="AE193" s="7">
        <f t="shared" si="41"/>
        <v>2646.4075600000015</v>
      </c>
      <c r="AF193" s="26">
        <f t="shared" si="42"/>
        <v>1.2748234740064364</v>
      </c>
      <c r="AG193" s="8">
        <f>IF(DASHBOARD!$Q$7&gt;'staging data'!X193,'staging data'!X193,DASHBOARD!$Q$7)</f>
        <v>0.14799999999999999</v>
      </c>
      <c r="AH193">
        <f>(100%+DASHBOARD!$Q$8)*'staging data'!T193</f>
        <v>439.54149999999993</v>
      </c>
      <c r="AI193">
        <f>(100%+DASHBOARD!$Q$9)*'staging data'!Y193</f>
        <v>31.2</v>
      </c>
    </row>
    <row r="194" spans="1:35" x14ac:dyDescent="0.3">
      <c r="A194" s="3" t="s">
        <v>453</v>
      </c>
      <c r="B194" s="28">
        <v>45225</v>
      </c>
      <c r="C194" s="28" t="str">
        <f t="shared" si="43"/>
        <v>Q4</v>
      </c>
      <c r="D194" s="28" t="str">
        <f t="shared" si="44"/>
        <v>2023</v>
      </c>
      <c r="E194" s="28" t="str">
        <f t="shared" si="45"/>
        <v>Feb</v>
      </c>
      <c r="F194" s="5">
        <v>44978</v>
      </c>
      <c r="G194" s="5">
        <f t="shared" ref="G194:G257" si="49">IF(H194&gt;=F194, H194, (H194-K194))</f>
        <v>44997</v>
      </c>
      <c r="H194" s="5">
        <v>44997</v>
      </c>
      <c r="I194" s="5" t="str">
        <f t="shared" si="46"/>
        <v>Achieved</v>
      </c>
      <c r="J194" s="14">
        <f t="shared" si="47"/>
        <v>19</v>
      </c>
      <c r="K194" s="14">
        <f t="shared" ref="K194:K257" si="50">_xlfn.DAYS(H194,F194)</f>
        <v>19</v>
      </c>
      <c r="L194" s="3" t="s">
        <v>645</v>
      </c>
      <c r="M194" s="3" t="s">
        <v>649</v>
      </c>
      <c r="N194" s="3" t="s">
        <v>677</v>
      </c>
      <c r="O194" s="3" t="s">
        <v>700</v>
      </c>
      <c r="P194" s="3" t="s">
        <v>707</v>
      </c>
      <c r="Q194" s="3" t="s">
        <v>720</v>
      </c>
      <c r="R194" s="3" t="s">
        <v>728</v>
      </c>
      <c r="S194" s="3" t="s">
        <v>1171</v>
      </c>
      <c r="T194" s="21">
        <v>352.65</v>
      </c>
      <c r="U194" s="21" t="str">
        <f t="shared" si="48"/>
        <v>Low</v>
      </c>
      <c r="V194">
        <f t="shared" ref="V194:V257" si="51">ABS(W194)</f>
        <v>485.86</v>
      </c>
      <c r="W194" s="7">
        <v>485.86</v>
      </c>
      <c r="X194" s="8">
        <v>4.1000000000000002E-2</v>
      </c>
      <c r="Y194" s="14">
        <v>6</v>
      </c>
      <c r="Z194" s="7">
        <f t="shared" ref="Z194:Z257" si="52">X194*V194</f>
        <v>19.920260000000003</v>
      </c>
      <c r="AA194" s="7">
        <f t="shared" ref="AA194:AA257" si="53">(V194*Y194)*(1-X194)</f>
        <v>2795.6384399999997</v>
      </c>
      <c r="AB194" s="7">
        <f t="shared" ref="AB194:AB257" si="54">AA194-Z194</f>
        <v>2775.7181799999998</v>
      </c>
      <c r="AC194" s="7">
        <f t="shared" ref="AC194:AC257" si="55">T194*Y194</f>
        <v>2115.8999999999996</v>
      </c>
      <c r="AD194" s="7">
        <f t="shared" ref="AD194:AD257" si="56">AA194-AC194</f>
        <v>679.73844000000008</v>
      </c>
      <c r="AE194" s="7">
        <f t="shared" ref="AE194:AE257" si="57">AB194-AC194</f>
        <v>659.81818000000021</v>
      </c>
      <c r="AF194" s="26">
        <f t="shared" ref="AF194:AF257" si="58">IF(AA194=0,0,AA194/AC194)</f>
        <v>1.3212526300864882</v>
      </c>
      <c r="AG194" s="8">
        <f>IF(DASHBOARD!$Q$7&gt;'staging data'!X194,'staging data'!X194,DASHBOARD!$Q$7)</f>
        <v>4.1000000000000002E-2</v>
      </c>
      <c r="AH194">
        <f>(100%+DASHBOARD!$Q$8)*'staging data'!T194</f>
        <v>405.54749999999996</v>
      </c>
      <c r="AI194">
        <f>(100%+DASHBOARD!$Q$9)*'staging data'!Y194</f>
        <v>7.1999999999999993</v>
      </c>
    </row>
    <row r="195" spans="1:35" x14ac:dyDescent="0.3">
      <c r="A195" s="3" t="s">
        <v>452</v>
      </c>
      <c r="B195" s="28">
        <v>45229</v>
      </c>
      <c r="C195" s="28" t="str">
        <f t="shared" ref="C195:C258" si="59">"Q" &amp; ROUNDUP(MONTH(B195)/3,0)</f>
        <v>Q4</v>
      </c>
      <c r="D195" s="28" t="str">
        <f t="shared" ref="D195:D258" si="60">TEXT(F195,"YYYY")</f>
        <v>2023</v>
      </c>
      <c r="E195" s="28" t="str">
        <f t="shared" ref="E195:E258" si="61">TEXT(F195,"MMM")</f>
        <v>Dec</v>
      </c>
      <c r="F195" s="5">
        <v>45290</v>
      </c>
      <c r="G195" s="5">
        <f t="shared" si="49"/>
        <v>45299</v>
      </c>
      <c r="H195" s="5">
        <v>45299</v>
      </c>
      <c r="I195" s="5" t="str">
        <f t="shared" ref="I195:I258" si="62">IF(J195&gt;=7,"Achieved","Not achieved")</f>
        <v>Achieved</v>
      </c>
      <c r="J195" s="14">
        <f t="shared" ref="J195:J258" si="63">_xlfn.DAYS(G195,F195)</f>
        <v>9</v>
      </c>
      <c r="K195" s="14">
        <f t="shared" si="50"/>
        <v>9</v>
      </c>
      <c r="L195" s="3" t="s">
        <v>648</v>
      </c>
      <c r="M195" s="3" t="s">
        <v>656</v>
      </c>
      <c r="N195" s="3" t="s">
        <v>672</v>
      </c>
      <c r="O195" s="3" t="s">
        <v>703</v>
      </c>
      <c r="P195" s="3" t="s">
        <v>708</v>
      </c>
      <c r="Q195" s="3" t="s">
        <v>715</v>
      </c>
      <c r="R195" s="3" t="s">
        <v>732</v>
      </c>
      <c r="S195" s="3" t="s">
        <v>1170</v>
      </c>
      <c r="T195" s="21">
        <v>861.1</v>
      </c>
      <c r="U195" s="21" t="str">
        <f t="shared" si="48"/>
        <v>Medium</v>
      </c>
      <c r="V195">
        <f t="shared" si="51"/>
        <v>1224.72</v>
      </c>
      <c r="W195" s="7">
        <v>1224.72</v>
      </c>
      <c r="X195" s="8">
        <v>0.17399999999999999</v>
      </c>
      <c r="Y195" s="14">
        <v>24</v>
      </c>
      <c r="Z195" s="7">
        <f t="shared" si="52"/>
        <v>213.10128</v>
      </c>
      <c r="AA195" s="7">
        <f t="shared" si="53"/>
        <v>24278.849280000002</v>
      </c>
      <c r="AB195" s="7">
        <f t="shared" si="54"/>
        <v>24065.748000000003</v>
      </c>
      <c r="AC195" s="7">
        <f t="shared" si="55"/>
        <v>20666.400000000001</v>
      </c>
      <c r="AD195" s="7">
        <f t="shared" si="56"/>
        <v>3612.4492800000007</v>
      </c>
      <c r="AE195" s="7">
        <f t="shared" si="57"/>
        <v>3399.3480000000018</v>
      </c>
      <c r="AF195" s="26">
        <f t="shared" si="58"/>
        <v>1.1747981883637209</v>
      </c>
      <c r="AG195" s="8">
        <f>IF(DASHBOARD!$Q$7&gt;'staging data'!X195,'staging data'!X195,DASHBOARD!$Q$7)</f>
        <v>0.17399999999999999</v>
      </c>
      <c r="AH195">
        <f>(100%+DASHBOARD!$Q$8)*'staging data'!T195</f>
        <v>990.26499999999999</v>
      </c>
      <c r="AI195">
        <f>(100%+DASHBOARD!$Q$9)*'staging data'!Y195</f>
        <v>28.799999999999997</v>
      </c>
    </row>
    <row r="196" spans="1:35" x14ac:dyDescent="0.3">
      <c r="A196" s="3" t="s">
        <v>451</v>
      </c>
      <c r="B196" s="28">
        <v>45230</v>
      </c>
      <c r="C196" s="28" t="str">
        <f t="shared" si="59"/>
        <v>Q4</v>
      </c>
      <c r="D196" s="28" t="str">
        <f t="shared" si="60"/>
        <v>2023</v>
      </c>
      <c r="E196" s="28" t="str">
        <f t="shared" si="61"/>
        <v>Apr</v>
      </c>
      <c r="F196" s="5">
        <v>45037</v>
      </c>
      <c r="G196" s="5">
        <f t="shared" si="49"/>
        <v>45037</v>
      </c>
      <c r="H196" s="5">
        <v>45035</v>
      </c>
      <c r="I196" s="5" t="str">
        <f t="shared" si="62"/>
        <v>Not achieved</v>
      </c>
      <c r="J196" s="14">
        <f t="shared" si="63"/>
        <v>0</v>
      </c>
      <c r="K196" s="14">
        <f t="shared" si="50"/>
        <v>-2</v>
      </c>
      <c r="L196" s="3" t="s">
        <v>646</v>
      </c>
      <c r="M196" s="3" t="s">
        <v>651</v>
      </c>
      <c r="N196" s="3" t="s">
        <v>693</v>
      </c>
      <c r="O196" s="3" t="s">
        <v>704</v>
      </c>
      <c r="P196" s="3" t="s">
        <v>710</v>
      </c>
      <c r="Q196" s="3" t="s">
        <v>723</v>
      </c>
      <c r="R196" s="3" t="s">
        <v>726</v>
      </c>
      <c r="S196" s="3" t="s">
        <v>1169</v>
      </c>
      <c r="T196" s="21">
        <v>607.04</v>
      </c>
      <c r="U196" s="21" t="str">
        <f t="shared" ref="U196:U259" si="64">IF(V196&lt;=QUARTILE(V196:V825,1),"Low",IF(V196&gt;=QUARTILE(V196:V825,3),"High","Medium"))</f>
        <v>Medium</v>
      </c>
      <c r="V196">
        <f t="shared" si="51"/>
        <v>1229.3399999999999</v>
      </c>
      <c r="W196" s="7">
        <v>1229.3399999999999</v>
      </c>
      <c r="X196" s="8">
        <v>0.14699999999999999</v>
      </c>
      <c r="Y196" s="14">
        <v>7</v>
      </c>
      <c r="Z196" s="7">
        <f t="shared" si="52"/>
        <v>180.71297999999999</v>
      </c>
      <c r="AA196" s="7">
        <f t="shared" si="53"/>
        <v>7340.3891399999993</v>
      </c>
      <c r="AB196" s="7">
        <f t="shared" si="54"/>
        <v>7159.6761599999991</v>
      </c>
      <c r="AC196" s="7">
        <f t="shared" si="55"/>
        <v>4249.28</v>
      </c>
      <c r="AD196" s="7">
        <f t="shared" si="56"/>
        <v>3091.1091399999996</v>
      </c>
      <c r="AE196" s="7">
        <f t="shared" si="57"/>
        <v>2910.3961599999993</v>
      </c>
      <c r="AF196" s="26">
        <f t="shared" si="58"/>
        <v>1.7274430350553505</v>
      </c>
      <c r="AG196" s="8">
        <f>IF(DASHBOARD!$Q$7&gt;'staging data'!X196,'staging data'!X196,DASHBOARD!$Q$7)</f>
        <v>0.14699999999999999</v>
      </c>
      <c r="AH196">
        <f>(100%+DASHBOARD!$Q$8)*'staging data'!T196</f>
        <v>698.09599999999989</v>
      </c>
      <c r="AI196">
        <f>(100%+DASHBOARD!$Q$9)*'staging data'!Y196</f>
        <v>8.4</v>
      </c>
    </row>
    <row r="197" spans="1:35" x14ac:dyDescent="0.3">
      <c r="A197" s="3" t="s">
        <v>450</v>
      </c>
      <c r="B197" s="28">
        <v>45240</v>
      </c>
      <c r="C197" s="28" t="str">
        <f t="shared" si="59"/>
        <v>Q4</v>
      </c>
      <c r="D197" s="28" t="str">
        <f t="shared" si="60"/>
        <v>2024</v>
      </c>
      <c r="E197" s="28" t="str">
        <f t="shared" si="61"/>
        <v>Dec</v>
      </c>
      <c r="F197" s="5">
        <v>45650</v>
      </c>
      <c r="G197" s="5">
        <f t="shared" si="49"/>
        <v>45670</v>
      </c>
      <c r="H197" s="5">
        <v>45670</v>
      </c>
      <c r="I197" s="5" t="str">
        <f t="shared" si="62"/>
        <v>Achieved</v>
      </c>
      <c r="J197" s="14">
        <f t="shared" si="63"/>
        <v>20</v>
      </c>
      <c r="K197" s="14">
        <f t="shared" si="50"/>
        <v>20</v>
      </c>
      <c r="L197" s="3" t="s">
        <v>646</v>
      </c>
      <c r="M197" s="3" t="s">
        <v>653</v>
      </c>
      <c r="N197" s="3" t="s">
        <v>667</v>
      </c>
      <c r="O197" s="3" t="s">
        <v>700</v>
      </c>
      <c r="P197" s="3" t="s">
        <v>708</v>
      </c>
      <c r="Q197" s="3" t="s">
        <v>725</v>
      </c>
      <c r="R197" s="3" t="s">
        <v>728</v>
      </c>
      <c r="S197" s="3" t="s">
        <v>1168</v>
      </c>
      <c r="T197" s="21">
        <v>126.15</v>
      </c>
      <c r="U197" s="21" t="str">
        <f t="shared" si="64"/>
        <v>Low</v>
      </c>
      <c r="V197">
        <f t="shared" si="51"/>
        <v>284.23</v>
      </c>
      <c r="W197" s="7">
        <v>284.23</v>
      </c>
      <c r="X197" s="8">
        <v>0.113</v>
      </c>
      <c r="Y197" s="14">
        <v>22</v>
      </c>
      <c r="Z197" s="7">
        <f t="shared" si="52"/>
        <v>32.117990000000006</v>
      </c>
      <c r="AA197" s="7">
        <f t="shared" si="53"/>
        <v>5546.4642200000008</v>
      </c>
      <c r="AB197" s="7">
        <f t="shared" si="54"/>
        <v>5514.346230000001</v>
      </c>
      <c r="AC197" s="7">
        <f t="shared" si="55"/>
        <v>2775.3</v>
      </c>
      <c r="AD197" s="7">
        <f t="shared" si="56"/>
        <v>2771.1642200000006</v>
      </c>
      <c r="AE197" s="7">
        <f t="shared" si="57"/>
        <v>2739.0462300000008</v>
      </c>
      <c r="AF197" s="26">
        <f t="shared" si="58"/>
        <v>1.9985097899326201</v>
      </c>
      <c r="AG197" s="8">
        <f>IF(DASHBOARD!$Q$7&gt;'staging data'!X197,'staging data'!X197,DASHBOARD!$Q$7)</f>
        <v>0.113</v>
      </c>
      <c r="AH197">
        <f>(100%+DASHBOARD!$Q$8)*'staging data'!T197</f>
        <v>145.07249999999999</v>
      </c>
      <c r="AI197">
        <f>(100%+DASHBOARD!$Q$9)*'staging data'!Y197</f>
        <v>26.4</v>
      </c>
    </row>
    <row r="198" spans="1:35" x14ac:dyDescent="0.3">
      <c r="A198" s="3" t="s">
        <v>449</v>
      </c>
      <c r="B198" s="28">
        <v>45244</v>
      </c>
      <c r="C198" s="28" t="str">
        <f t="shared" si="59"/>
        <v>Q4</v>
      </c>
      <c r="D198" s="28" t="str">
        <f t="shared" si="60"/>
        <v>2023</v>
      </c>
      <c r="E198" s="28" t="str">
        <f t="shared" si="61"/>
        <v>Oct</v>
      </c>
      <c r="F198" s="5">
        <v>45217</v>
      </c>
      <c r="G198" s="5">
        <f t="shared" si="49"/>
        <v>45219</v>
      </c>
      <c r="H198" s="5">
        <v>45219</v>
      </c>
      <c r="I198" s="5" t="str">
        <f t="shared" si="62"/>
        <v>Not achieved</v>
      </c>
      <c r="J198" s="14">
        <f t="shared" si="63"/>
        <v>2</v>
      </c>
      <c r="K198" s="14">
        <f t="shared" si="50"/>
        <v>2</v>
      </c>
      <c r="L198" s="3" t="s">
        <v>645</v>
      </c>
      <c r="M198" s="3" t="s">
        <v>649</v>
      </c>
      <c r="N198" s="3" t="s">
        <v>661</v>
      </c>
      <c r="O198" s="3" t="s">
        <v>703</v>
      </c>
      <c r="P198" s="3" t="s">
        <v>706</v>
      </c>
      <c r="Q198" s="3" t="s">
        <v>712</v>
      </c>
      <c r="R198" s="3" t="s">
        <v>729</v>
      </c>
      <c r="S198" s="3" t="s">
        <v>1167</v>
      </c>
      <c r="T198" s="21">
        <v>774.12</v>
      </c>
      <c r="U198" s="21" t="str">
        <f t="shared" si="64"/>
        <v>Medium</v>
      </c>
      <c r="V198">
        <f t="shared" si="51"/>
        <v>908.3</v>
      </c>
      <c r="W198" s="7">
        <v>908.3</v>
      </c>
      <c r="X198" s="8">
        <v>0</v>
      </c>
      <c r="Y198" s="14">
        <v>30</v>
      </c>
      <c r="Z198" s="7">
        <f t="shared" si="52"/>
        <v>0</v>
      </c>
      <c r="AA198" s="7">
        <f t="shared" si="53"/>
        <v>27249</v>
      </c>
      <c r="AB198" s="7">
        <f t="shared" si="54"/>
        <v>27249</v>
      </c>
      <c r="AC198" s="7">
        <f t="shared" si="55"/>
        <v>23223.599999999999</v>
      </c>
      <c r="AD198" s="7">
        <f t="shared" si="56"/>
        <v>4025.4000000000015</v>
      </c>
      <c r="AE198" s="7">
        <f t="shared" si="57"/>
        <v>4025.4000000000015</v>
      </c>
      <c r="AF198" s="26">
        <f t="shared" si="58"/>
        <v>1.1733322999018241</v>
      </c>
      <c r="AG198" s="8">
        <f>IF(DASHBOARD!$Q$7&gt;'staging data'!X198,'staging data'!X198,DASHBOARD!$Q$7)</f>
        <v>0</v>
      </c>
      <c r="AH198">
        <f>(100%+DASHBOARD!$Q$8)*'staging data'!T198</f>
        <v>890.23799999999994</v>
      </c>
      <c r="AI198">
        <f>(100%+DASHBOARD!$Q$9)*'staging data'!Y198</f>
        <v>36</v>
      </c>
    </row>
    <row r="199" spans="1:35" x14ac:dyDescent="0.3">
      <c r="A199" s="3" t="s">
        <v>448</v>
      </c>
      <c r="B199" s="28">
        <v>45245</v>
      </c>
      <c r="C199" s="28" t="str">
        <f t="shared" si="59"/>
        <v>Q4</v>
      </c>
      <c r="D199" s="28" t="str">
        <f t="shared" si="60"/>
        <v>2024</v>
      </c>
      <c r="E199" s="28" t="str">
        <f t="shared" si="61"/>
        <v>Sept</v>
      </c>
      <c r="F199" s="5">
        <v>45542</v>
      </c>
      <c r="G199" s="5">
        <f t="shared" si="49"/>
        <v>45553</v>
      </c>
      <c r="H199" s="5">
        <v>45553</v>
      </c>
      <c r="I199" s="5" t="str">
        <f t="shared" si="62"/>
        <v>Achieved</v>
      </c>
      <c r="J199" s="14">
        <f t="shared" si="63"/>
        <v>11</v>
      </c>
      <c r="K199" s="14">
        <f t="shared" si="50"/>
        <v>11</v>
      </c>
      <c r="L199" s="3" t="s">
        <v>646</v>
      </c>
      <c r="M199" s="3" t="s">
        <v>658</v>
      </c>
      <c r="N199" s="3" t="s">
        <v>698</v>
      </c>
      <c r="O199" s="3" t="s">
        <v>703</v>
      </c>
      <c r="P199" s="3" t="s">
        <v>709</v>
      </c>
      <c r="Q199" s="3" t="s">
        <v>718</v>
      </c>
      <c r="R199" s="3" t="s">
        <v>728</v>
      </c>
      <c r="S199" s="3" t="s">
        <v>1166</v>
      </c>
      <c r="T199" s="21">
        <v>181.74</v>
      </c>
      <c r="U199" s="21" t="str">
        <f t="shared" si="64"/>
        <v>Low</v>
      </c>
      <c r="V199">
        <f t="shared" si="51"/>
        <v>190.84</v>
      </c>
      <c r="W199" s="7">
        <v>190.84</v>
      </c>
      <c r="X199" s="8">
        <v>0.214</v>
      </c>
      <c r="Y199" s="14">
        <v>13</v>
      </c>
      <c r="Z199" s="7">
        <f t="shared" si="52"/>
        <v>40.839759999999998</v>
      </c>
      <c r="AA199" s="7">
        <f t="shared" si="53"/>
        <v>1950.0031200000001</v>
      </c>
      <c r="AB199" s="7">
        <f t="shared" si="54"/>
        <v>1909.16336</v>
      </c>
      <c r="AC199" s="7">
        <f t="shared" si="55"/>
        <v>2362.62</v>
      </c>
      <c r="AD199" s="7">
        <f t="shared" si="56"/>
        <v>-412.61687999999981</v>
      </c>
      <c r="AE199" s="7">
        <f t="shared" si="57"/>
        <v>-453.45663999999988</v>
      </c>
      <c r="AF199" s="26">
        <f t="shared" si="58"/>
        <v>0.82535622317596569</v>
      </c>
      <c r="AG199" s="8">
        <f>IF(DASHBOARD!$Q$7&gt;'staging data'!X199,'staging data'!X199,DASHBOARD!$Q$7)</f>
        <v>0.2</v>
      </c>
      <c r="AH199">
        <f>(100%+DASHBOARD!$Q$8)*'staging data'!T199</f>
        <v>209.001</v>
      </c>
      <c r="AI199">
        <f>(100%+DASHBOARD!$Q$9)*'staging data'!Y199</f>
        <v>15.6</v>
      </c>
    </row>
    <row r="200" spans="1:35" x14ac:dyDescent="0.3">
      <c r="A200" s="3" t="s">
        <v>445</v>
      </c>
      <c r="B200" s="28">
        <v>45249</v>
      </c>
      <c r="C200" s="28" t="str">
        <f t="shared" si="59"/>
        <v>Q4</v>
      </c>
      <c r="D200" s="28" t="str">
        <f t="shared" si="60"/>
        <v>2024</v>
      </c>
      <c r="E200" s="28" t="str">
        <f t="shared" si="61"/>
        <v>Dec</v>
      </c>
      <c r="F200" s="5">
        <v>45654</v>
      </c>
      <c r="G200" s="5">
        <f t="shared" si="49"/>
        <v>45665</v>
      </c>
      <c r="H200" s="5">
        <v>45665</v>
      </c>
      <c r="I200" s="5" t="str">
        <f t="shared" si="62"/>
        <v>Achieved</v>
      </c>
      <c r="J200" s="14">
        <f t="shared" si="63"/>
        <v>11</v>
      </c>
      <c r="K200" s="14">
        <f t="shared" si="50"/>
        <v>11</v>
      </c>
      <c r="L200" s="3" t="s">
        <v>646</v>
      </c>
      <c r="M200" s="3" t="s">
        <v>658</v>
      </c>
      <c r="N200" s="3" t="s">
        <v>675</v>
      </c>
      <c r="O200" s="3" t="s">
        <v>705</v>
      </c>
      <c r="P200" s="3" t="s">
        <v>707</v>
      </c>
      <c r="Q200" s="3" t="s">
        <v>722</v>
      </c>
      <c r="R200" s="3" t="s">
        <v>730</v>
      </c>
      <c r="S200" s="3" t="s">
        <v>1163</v>
      </c>
      <c r="T200" s="21">
        <v>1201.31</v>
      </c>
      <c r="U200" s="21" t="str">
        <f t="shared" si="64"/>
        <v>High</v>
      </c>
      <c r="V200">
        <f t="shared" si="51"/>
        <v>2764.65</v>
      </c>
      <c r="W200" s="7">
        <v>2764.65</v>
      </c>
      <c r="X200" s="8">
        <v>0</v>
      </c>
      <c r="Y200" s="14">
        <v>21</v>
      </c>
      <c r="Z200" s="7">
        <f t="shared" si="52"/>
        <v>0</v>
      </c>
      <c r="AA200" s="7">
        <f t="shared" si="53"/>
        <v>58057.65</v>
      </c>
      <c r="AB200" s="7">
        <f t="shared" si="54"/>
        <v>58057.65</v>
      </c>
      <c r="AC200" s="7">
        <f t="shared" si="55"/>
        <v>25227.51</v>
      </c>
      <c r="AD200" s="7">
        <f t="shared" si="56"/>
        <v>32830.14</v>
      </c>
      <c r="AE200" s="7">
        <f t="shared" si="57"/>
        <v>32830.14</v>
      </c>
      <c r="AF200" s="26">
        <f t="shared" si="58"/>
        <v>2.3013626790753428</v>
      </c>
      <c r="AG200" s="8">
        <f>IF(DASHBOARD!$Q$7&gt;'staging data'!X200,'staging data'!X200,DASHBOARD!$Q$7)</f>
        <v>0</v>
      </c>
      <c r="AH200">
        <f>(100%+DASHBOARD!$Q$8)*'staging data'!T200</f>
        <v>1381.5064999999997</v>
      </c>
      <c r="AI200">
        <f>(100%+DASHBOARD!$Q$9)*'staging data'!Y200</f>
        <v>25.2</v>
      </c>
    </row>
    <row r="201" spans="1:35" x14ac:dyDescent="0.3">
      <c r="A201" s="3" t="s">
        <v>446</v>
      </c>
      <c r="B201" s="28">
        <v>45249</v>
      </c>
      <c r="C201" s="28" t="str">
        <f t="shared" si="59"/>
        <v>Q4</v>
      </c>
      <c r="D201" s="28" t="str">
        <f t="shared" si="60"/>
        <v>2023</v>
      </c>
      <c r="E201" s="28" t="str">
        <f t="shared" si="61"/>
        <v>Oct</v>
      </c>
      <c r="F201" s="5">
        <v>45220</v>
      </c>
      <c r="G201" s="5">
        <f t="shared" si="49"/>
        <v>45220</v>
      </c>
      <c r="H201" s="5">
        <v>45220</v>
      </c>
      <c r="I201" s="5" t="str">
        <f t="shared" si="62"/>
        <v>Not achieved</v>
      </c>
      <c r="J201" s="14">
        <f t="shared" si="63"/>
        <v>0</v>
      </c>
      <c r="K201" s="14">
        <f t="shared" si="50"/>
        <v>0</v>
      </c>
      <c r="L201" s="3" t="s">
        <v>648</v>
      </c>
      <c r="M201" s="3" t="s">
        <v>657</v>
      </c>
      <c r="N201" s="3" t="s">
        <v>692</v>
      </c>
      <c r="O201" s="3" t="s">
        <v>705</v>
      </c>
      <c r="P201" s="3" t="s">
        <v>709</v>
      </c>
      <c r="Q201" s="3" t="s">
        <v>712</v>
      </c>
      <c r="R201" s="3" t="s">
        <v>731</v>
      </c>
      <c r="S201" s="3" t="s">
        <v>1164</v>
      </c>
      <c r="T201" s="21">
        <v>384.19</v>
      </c>
      <c r="U201" s="21" t="str">
        <f t="shared" si="64"/>
        <v>Low</v>
      </c>
      <c r="V201">
        <f t="shared" si="51"/>
        <v>278.35000000000002</v>
      </c>
      <c r="W201" s="7">
        <v>278.35000000000002</v>
      </c>
      <c r="X201" s="8">
        <v>5.6000000000000001E-2</v>
      </c>
      <c r="Y201" s="14">
        <v>10</v>
      </c>
      <c r="Z201" s="7">
        <f t="shared" si="52"/>
        <v>15.587600000000002</v>
      </c>
      <c r="AA201" s="7">
        <f t="shared" si="53"/>
        <v>2627.6239999999998</v>
      </c>
      <c r="AB201" s="7">
        <f t="shared" si="54"/>
        <v>2612.0364</v>
      </c>
      <c r="AC201" s="7">
        <f t="shared" si="55"/>
        <v>3841.9</v>
      </c>
      <c r="AD201" s="7">
        <f t="shared" si="56"/>
        <v>-1214.2760000000003</v>
      </c>
      <c r="AE201" s="7">
        <f t="shared" si="57"/>
        <v>-1229.8636000000001</v>
      </c>
      <c r="AF201" s="26">
        <f t="shared" si="58"/>
        <v>0.68393867617585047</v>
      </c>
      <c r="AG201" s="8">
        <f>IF(DASHBOARD!$Q$7&gt;'staging data'!X201,'staging data'!X201,DASHBOARD!$Q$7)</f>
        <v>5.6000000000000001E-2</v>
      </c>
      <c r="AH201">
        <f>(100%+DASHBOARD!$Q$8)*'staging data'!T201</f>
        <v>441.81849999999997</v>
      </c>
      <c r="AI201">
        <f>(100%+DASHBOARD!$Q$9)*'staging data'!Y201</f>
        <v>12</v>
      </c>
    </row>
    <row r="202" spans="1:35" x14ac:dyDescent="0.3">
      <c r="A202" s="3" t="s">
        <v>447</v>
      </c>
      <c r="B202" s="28">
        <v>45249</v>
      </c>
      <c r="C202" s="28" t="str">
        <f t="shared" si="59"/>
        <v>Q4</v>
      </c>
      <c r="D202" s="28" t="str">
        <f t="shared" si="60"/>
        <v>2024</v>
      </c>
      <c r="E202" s="28" t="str">
        <f t="shared" si="61"/>
        <v>Dec</v>
      </c>
      <c r="F202" s="5">
        <v>45636</v>
      </c>
      <c r="G202" s="5">
        <f t="shared" si="49"/>
        <v>45645</v>
      </c>
      <c r="H202" s="5">
        <v>45645</v>
      </c>
      <c r="I202" s="5" t="str">
        <f t="shared" si="62"/>
        <v>Achieved</v>
      </c>
      <c r="J202" s="14">
        <f t="shared" si="63"/>
        <v>9</v>
      </c>
      <c r="K202" s="14">
        <f t="shared" si="50"/>
        <v>9</v>
      </c>
      <c r="L202" s="3" t="s">
        <v>645</v>
      </c>
      <c r="M202" s="3" t="s">
        <v>650</v>
      </c>
      <c r="N202" s="3" t="s">
        <v>664</v>
      </c>
      <c r="O202" s="3" t="s">
        <v>700</v>
      </c>
      <c r="P202" s="3" t="s">
        <v>706</v>
      </c>
      <c r="Q202" s="3" t="s">
        <v>718</v>
      </c>
      <c r="R202" s="3" t="s">
        <v>731</v>
      </c>
      <c r="S202" s="3" t="s">
        <v>1165</v>
      </c>
      <c r="T202" s="21">
        <v>488.68</v>
      </c>
      <c r="U202" s="21" t="str">
        <f t="shared" si="64"/>
        <v>Medium</v>
      </c>
      <c r="V202">
        <f t="shared" si="51"/>
        <v>984.36</v>
      </c>
      <c r="W202" s="7">
        <v>984.36</v>
      </c>
      <c r="X202" s="8">
        <v>5.8999999999999997E-2</v>
      </c>
      <c r="Y202" s="14">
        <v>14</v>
      </c>
      <c r="Z202" s="7">
        <f t="shared" si="52"/>
        <v>58.077239999999996</v>
      </c>
      <c r="AA202" s="7">
        <f t="shared" si="53"/>
        <v>12967.958640000001</v>
      </c>
      <c r="AB202" s="7">
        <f t="shared" si="54"/>
        <v>12909.8814</v>
      </c>
      <c r="AC202" s="7">
        <f t="shared" si="55"/>
        <v>6841.52</v>
      </c>
      <c r="AD202" s="7">
        <f t="shared" si="56"/>
        <v>6126.4386400000003</v>
      </c>
      <c r="AE202" s="7">
        <f t="shared" si="57"/>
        <v>6068.3613999999998</v>
      </c>
      <c r="AF202" s="26">
        <f t="shared" si="58"/>
        <v>1.8954791683719407</v>
      </c>
      <c r="AG202" s="8">
        <f>IF(DASHBOARD!$Q$7&gt;'staging data'!X202,'staging data'!X202,DASHBOARD!$Q$7)</f>
        <v>5.8999999999999997E-2</v>
      </c>
      <c r="AH202">
        <f>(100%+DASHBOARD!$Q$8)*'staging data'!T202</f>
        <v>561.98199999999997</v>
      </c>
      <c r="AI202">
        <f>(100%+DASHBOARD!$Q$9)*'staging data'!Y202</f>
        <v>16.8</v>
      </c>
    </row>
    <row r="203" spans="1:35" x14ac:dyDescent="0.3">
      <c r="A203" s="3" t="s">
        <v>444</v>
      </c>
      <c r="B203" s="28">
        <v>45250</v>
      </c>
      <c r="C203" s="28" t="str">
        <f t="shared" si="59"/>
        <v>Q4</v>
      </c>
      <c r="D203" s="28" t="str">
        <f t="shared" si="60"/>
        <v>2024</v>
      </c>
      <c r="E203" s="28" t="str">
        <f t="shared" si="61"/>
        <v>Nov</v>
      </c>
      <c r="F203" s="5">
        <v>45597</v>
      </c>
      <c r="G203" s="5">
        <f t="shared" si="49"/>
        <v>45608</v>
      </c>
      <c r="H203" s="5">
        <v>45608</v>
      </c>
      <c r="I203" s="5" t="str">
        <f t="shared" si="62"/>
        <v>Achieved</v>
      </c>
      <c r="J203" s="14">
        <f t="shared" si="63"/>
        <v>11</v>
      </c>
      <c r="K203" s="14">
        <f t="shared" si="50"/>
        <v>11</v>
      </c>
      <c r="L203" s="3" t="s">
        <v>648</v>
      </c>
      <c r="M203" s="3" t="s">
        <v>655</v>
      </c>
      <c r="N203" s="3" t="s">
        <v>697</v>
      </c>
      <c r="O203" s="3" t="s">
        <v>703</v>
      </c>
      <c r="P203" s="3" t="s">
        <v>707</v>
      </c>
      <c r="Q203" s="3" t="s">
        <v>716</v>
      </c>
      <c r="R203" s="3" t="s">
        <v>727</v>
      </c>
      <c r="S203" s="3" t="s">
        <v>1162</v>
      </c>
      <c r="T203" s="21">
        <v>599.84</v>
      </c>
      <c r="U203" s="21" t="str">
        <f t="shared" si="64"/>
        <v>Medium</v>
      </c>
      <c r="V203">
        <f t="shared" si="51"/>
        <v>1330.85</v>
      </c>
      <c r="W203" s="7">
        <v>1330.85</v>
      </c>
      <c r="X203" s="8">
        <v>0.115</v>
      </c>
      <c r="Y203" s="14">
        <v>11</v>
      </c>
      <c r="Z203" s="7">
        <f t="shared" si="52"/>
        <v>153.04775000000001</v>
      </c>
      <c r="AA203" s="7">
        <f t="shared" si="53"/>
        <v>12955.824749999998</v>
      </c>
      <c r="AB203" s="7">
        <f t="shared" si="54"/>
        <v>12802.776999999998</v>
      </c>
      <c r="AC203" s="7">
        <f t="shared" si="55"/>
        <v>6598.2400000000007</v>
      </c>
      <c r="AD203" s="7">
        <f t="shared" si="56"/>
        <v>6357.5847499999973</v>
      </c>
      <c r="AE203" s="7">
        <f t="shared" si="57"/>
        <v>6204.5369999999975</v>
      </c>
      <c r="AF203" s="26">
        <f t="shared" si="58"/>
        <v>1.9635273572952783</v>
      </c>
      <c r="AG203" s="8">
        <f>IF(DASHBOARD!$Q$7&gt;'staging data'!X203,'staging data'!X203,DASHBOARD!$Q$7)</f>
        <v>0.115</v>
      </c>
      <c r="AH203">
        <f>(100%+DASHBOARD!$Q$8)*'staging data'!T203</f>
        <v>689.81600000000003</v>
      </c>
      <c r="AI203">
        <f>(100%+DASHBOARD!$Q$9)*'staging data'!Y203</f>
        <v>13.2</v>
      </c>
    </row>
    <row r="204" spans="1:35" x14ac:dyDescent="0.3">
      <c r="A204" s="3" t="s">
        <v>443</v>
      </c>
      <c r="B204" s="28">
        <v>45258</v>
      </c>
      <c r="C204" s="28" t="str">
        <f t="shared" si="59"/>
        <v>Q4</v>
      </c>
      <c r="D204" s="28" t="str">
        <f t="shared" si="60"/>
        <v>2025</v>
      </c>
      <c r="E204" s="28" t="str">
        <f t="shared" si="61"/>
        <v>May</v>
      </c>
      <c r="F204" s="5">
        <v>45784</v>
      </c>
      <c r="G204" s="5">
        <f t="shared" si="49"/>
        <v>45790</v>
      </c>
      <c r="H204" s="5">
        <v>45790</v>
      </c>
      <c r="I204" s="5" t="str">
        <f t="shared" si="62"/>
        <v>Not achieved</v>
      </c>
      <c r="J204" s="14">
        <f t="shared" si="63"/>
        <v>6</v>
      </c>
      <c r="K204" s="14">
        <f t="shared" si="50"/>
        <v>6</v>
      </c>
      <c r="L204" s="3" t="s">
        <v>646</v>
      </c>
      <c r="M204" s="3" t="s">
        <v>653</v>
      </c>
      <c r="N204" s="3" t="s">
        <v>667</v>
      </c>
      <c r="O204" s="3" t="s">
        <v>705</v>
      </c>
      <c r="P204" s="3" t="s">
        <v>710</v>
      </c>
      <c r="Q204" s="3" t="s">
        <v>712</v>
      </c>
      <c r="R204" s="3" t="s">
        <v>729</v>
      </c>
      <c r="S204" s="3" t="s">
        <v>1161</v>
      </c>
      <c r="T204" s="21">
        <v>935.98</v>
      </c>
      <c r="U204" s="21" t="str">
        <f t="shared" si="64"/>
        <v>High</v>
      </c>
      <c r="V204">
        <f t="shared" si="51"/>
        <v>2077.69</v>
      </c>
      <c r="W204" s="7">
        <v>2077.69</v>
      </c>
      <c r="X204" s="8">
        <v>0.17499999999999999</v>
      </c>
      <c r="Y204" s="14">
        <v>24</v>
      </c>
      <c r="Z204" s="7">
        <f t="shared" si="52"/>
        <v>363.59575000000001</v>
      </c>
      <c r="AA204" s="7">
        <f t="shared" si="53"/>
        <v>41138.261999999995</v>
      </c>
      <c r="AB204" s="7">
        <f t="shared" si="54"/>
        <v>40774.666249999995</v>
      </c>
      <c r="AC204" s="7">
        <f t="shared" si="55"/>
        <v>22463.52</v>
      </c>
      <c r="AD204" s="7">
        <f t="shared" si="56"/>
        <v>18674.741999999995</v>
      </c>
      <c r="AE204" s="7">
        <f t="shared" si="57"/>
        <v>18311.146249999994</v>
      </c>
      <c r="AF204" s="26">
        <f t="shared" si="58"/>
        <v>1.831336406760828</v>
      </c>
      <c r="AG204" s="8">
        <f>IF(DASHBOARD!$Q$7&gt;'staging data'!X204,'staging data'!X204,DASHBOARD!$Q$7)</f>
        <v>0.17499999999999999</v>
      </c>
      <c r="AH204">
        <f>(100%+DASHBOARD!$Q$8)*'staging data'!T204</f>
        <v>1076.377</v>
      </c>
      <c r="AI204">
        <f>(100%+DASHBOARD!$Q$9)*'staging data'!Y204</f>
        <v>28.799999999999997</v>
      </c>
    </row>
    <row r="205" spans="1:35" x14ac:dyDescent="0.3">
      <c r="A205" s="3" t="s">
        <v>441</v>
      </c>
      <c r="B205" s="28">
        <v>45260</v>
      </c>
      <c r="C205" s="28" t="str">
        <f t="shared" si="59"/>
        <v>Q4</v>
      </c>
      <c r="D205" s="28" t="str">
        <f t="shared" si="60"/>
        <v>2024</v>
      </c>
      <c r="E205" s="28" t="str">
        <f t="shared" si="61"/>
        <v>Aug</v>
      </c>
      <c r="F205" s="5">
        <v>45522</v>
      </c>
      <c r="G205" s="5">
        <f t="shared" si="49"/>
        <v>45547</v>
      </c>
      <c r="H205" s="5">
        <v>45547</v>
      </c>
      <c r="I205" s="5" t="str">
        <f t="shared" si="62"/>
        <v>Achieved</v>
      </c>
      <c r="J205" s="14">
        <f t="shared" si="63"/>
        <v>25</v>
      </c>
      <c r="K205" s="14">
        <f t="shared" si="50"/>
        <v>25</v>
      </c>
      <c r="L205" s="3" t="s">
        <v>646</v>
      </c>
      <c r="M205" s="3" t="s">
        <v>653</v>
      </c>
      <c r="N205" s="3" t="s">
        <v>690</v>
      </c>
      <c r="O205" s="3" t="s">
        <v>703</v>
      </c>
      <c r="P205" s="3" t="s">
        <v>708</v>
      </c>
      <c r="Q205" s="3" t="s">
        <v>711</v>
      </c>
      <c r="R205" s="3" t="s">
        <v>729</v>
      </c>
      <c r="S205" s="3" t="s">
        <v>1159</v>
      </c>
      <c r="T205" s="21">
        <v>1154.03</v>
      </c>
      <c r="U205" s="21" t="str">
        <f t="shared" si="64"/>
        <v>Medium</v>
      </c>
      <c r="V205">
        <f t="shared" si="51"/>
        <v>1590.36</v>
      </c>
      <c r="W205" s="7">
        <v>1590.36</v>
      </c>
      <c r="X205" s="8">
        <v>0.314</v>
      </c>
      <c r="Y205" s="14">
        <v>18</v>
      </c>
      <c r="Z205" s="7">
        <f t="shared" si="52"/>
        <v>499.37303999999995</v>
      </c>
      <c r="AA205" s="7">
        <f t="shared" si="53"/>
        <v>19637.76528</v>
      </c>
      <c r="AB205" s="7">
        <f t="shared" si="54"/>
        <v>19138.392240000001</v>
      </c>
      <c r="AC205" s="7">
        <f t="shared" si="55"/>
        <v>20772.54</v>
      </c>
      <c r="AD205" s="7">
        <f t="shared" si="56"/>
        <v>-1134.7747200000013</v>
      </c>
      <c r="AE205" s="7">
        <f t="shared" si="57"/>
        <v>-1634.1477599999998</v>
      </c>
      <c r="AF205" s="26">
        <f t="shared" si="58"/>
        <v>0.94537140282315013</v>
      </c>
      <c r="AG205" s="8">
        <f>IF(DASHBOARD!$Q$7&gt;'staging data'!X205,'staging data'!X205,DASHBOARD!$Q$7)</f>
        <v>0.2</v>
      </c>
      <c r="AH205">
        <f>(100%+DASHBOARD!$Q$8)*'staging data'!T205</f>
        <v>1327.1344999999999</v>
      </c>
      <c r="AI205">
        <f>(100%+DASHBOARD!$Q$9)*'staging data'!Y205</f>
        <v>21.599999999999998</v>
      </c>
    </row>
    <row r="206" spans="1:35" x14ac:dyDescent="0.3">
      <c r="A206" s="3" t="s">
        <v>442</v>
      </c>
      <c r="B206" s="28">
        <v>45260</v>
      </c>
      <c r="C206" s="28" t="str">
        <f t="shared" si="59"/>
        <v>Q4</v>
      </c>
      <c r="D206" s="28" t="str">
        <f t="shared" si="60"/>
        <v>2024</v>
      </c>
      <c r="E206" s="28" t="str">
        <f t="shared" si="61"/>
        <v>Feb</v>
      </c>
      <c r="F206" s="5">
        <v>45347</v>
      </c>
      <c r="G206" s="5">
        <f t="shared" si="49"/>
        <v>45360</v>
      </c>
      <c r="H206" s="5">
        <v>45360</v>
      </c>
      <c r="I206" s="5" t="str">
        <f t="shared" si="62"/>
        <v>Achieved</v>
      </c>
      <c r="J206" s="14">
        <f t="shared" si="63"/>
        <v>13</v>
      </c>
      <c r="K206" s="14">
        <f t="shared" si="50"/>
        <v>13</v>
      </c>
      <c r="L206" s="3" t="s">
        <v>648</v>
      </c>
      <c r="M206" s="3" t="s">
        <v>656</v>
      </c>
      <c r="N206" s="3" t="s">
        <v>672</v>
      </c>
      <c r="O206" s="3" t="s">
        <v>704</v>
      </c>
      <c r="P206" s="3" t="s">
        <v>709</v>
      </c>
      <c r="Q206" s="3" t="s">
        <v>717</v>
      </c>
      <c r="R206" s="3" t="s">
        <v>731</v>
      </c>
      <c r="S206" s="3" t="s">
        <v>1160</v>
      </c>
      <c r="T206" s="21">
        <v>322.44</v>
      </c>
      <c r="U206" s="21" t="str">
        <f t="shared" si="64"/>
        <v>Low</v>
      </c>
      <c r="V206">
        <f t="shared" si="51"/>
        <v>395.61</v>
      </c>
      <c r="W206" s="7">
        <v>395.61</v>
      </c>
      <c r="X206" s="8">
        <v>0</v>
      </c>
      <c r="Y206" s="14">
        <v>34</v>
      </c>
      <c r="Z206" s="7">
        <f t="shared" si="52"/>
        <v>0</v>
      </c>
      <c r="AA206" s="7">
        <f t="shared" si="53"/>
        <v>13450.74</v>
      </c>
      <c r="AB206" s="7">
        <f t="shared" si="54"/>
        <v>13450.74</v>
      </c>
      <c r="AC206" s="7">
        <f t="shared" si="55"/>
        <v>10962.96</v>
      </c>
      <c r="AD206" s="7">
        <f t="shared" si="56"/>
        <v>2487.7800000000007</v>
      </c>
      <c r="AE206" s="7">
        <f t="shared" si="57"/>
        <v>2487.7800000000007</v>
      </c>
      <c r="AF206" s="26">
        <f t="shared" si="58"/>
        <v>1.2269259397097134</v>
      </c>
      <c r="AG206" s="8">
        <f>IF(DASHBOARD!$Q$7&gt;'staging data'!X206,'staging data'!X206,DASHBOARD!$Q$7)</f>
        <v>0</v>
      </c>
      <c r="AH206">
        <f>(100%+DASHBOARD!$Q$8)*'staging data'!T206</f>
        <v>370.80599999999998</v>
      </c>
      <c r="AI206">
        <f>(100%+DASHBOARD!$Q$9)*'staging data'!Y206</f>
        <v>40.799999999999997</v>
      </c>
    </row>
    <row r="207" spans="1:35" x14ac:dyDescent="0.3">
      <c r="A207" s="3" t="s">
        <v>440</v>
      </c>
      <c r="B207" s="28">
        <v>45261</v>
      </c>
      <c r="C207" s="28" t="str">
        <f t="shared" si="59"/>
        <v>Q4</v>
      </c>
      <c r="D207" s="28" t="str">
        <f t="shared" si="60"/>
        <v>2025</v>
      </c>
      <c r="E207" s="28" t="str">
        <f t="shared" si="61"/>
        <v>Aug</v>
      </c>
      <c r="F207" s="5">
        <v>45897</v>
      </c>
      <c r="G207" s="5">
        <f t="shared" si="49"/>
        <v>45905</v>
      </c>
      <c r="H207" s="5">
        <v>45905</v>
      </c>
      <c r="I207" s="5" t="str">
        <f t="shared" si="62"/>
        <v>Achieved</v>
      </c>
      <c r="J207" s="14">
        <f t="shared" si="63"/>
        <v>8</v>
      </c>
      <c r="K207" s="14">
        <f t="shared" si="50"/>
        <v>8</v>
      </c>
      <c r="L207" s="3" t="s">
        <v>645</v>
      </c>
      <c r="M207" s="3" t="s">
        <v>650</v>
      </c>
      <c r="N207" s="3" t="s">
        <v>662</v>
      </c>
      <c r="O207" s="3" t="s">
        <v>704</v>
      </c>
      <c r="P207" s="3" t="s">
        <v>708</v>
      </c>
      <c r="Q207" s="3" t="s">
        <v>717</v>
      </c>
      <c r="R207" s="3" t="s">
        <v>730</v>
      </c>
      <c r="S207" s="3" t="s">
        <v>1158</v>
      </c>
      <c r="T207" s="21">
        <v>1271.0999999999999</v>
      </c>
      <c r="U207" s="21" t="str">
        <f t="shared" si="64"/>
        <v>High</v>
      </c>
      <c r="V207">
        <f t="shared" si="51"/>
        <v>1932.42</v>
      </c>
      <c r="W207" s="7">
        <v>1932.42</v>
      </c>
      <c r="X207" s="8">
        <v>0.25</v>
      </c>
      <c r="Y207" s="14">
        <v>21</v>
      </c>
      <c r="Z207" s="7">
        <f t="shared" si="52"/>
        <v>483.10500000000002</v>
      </c>
      <c r="AA207" s="7">
        <f t="shared" si="53"/>
        <v>30435.614999999998</v>
      </c>
      <c r="AB207" s="7">
        <f t="shared" si="54"/>
        <v>29952.51</v>
      </c>
      <c r="AC207" s="7">
        <f t="shared" si="55"/>
        <v>26693.1</v>
      </c>
      <c r="AD207" s="7">
        <f t="shared" si="56"/>
        <v>3742.5149999999994</v>
      </c>
      <c r="AE207" s="7">
        <f t="shared" si="57"/>
        <v>3259.41</v>
      </c>
      <c r="AF207" s="26">
        <f t="shared" si="58"/>
        <v>1.1402053339627094</v>
      </c>
      <c r="AG207" s="8">
        <f>IF(DASHBOARD!$Q$7&gt;'staging data'!X207,'staging data'!X207,DASHBOARD!$Q$7)</f>
        <v>0.2</v>
      </c>
      <c r="AH207">
        <f>(100%+DASHBOARD!$Q$8)*'staging data'!T207</f>
        <v>1461.7649999999999</v>
      </c>
      <c r="AI207">
        <f>(100%+DASHBOARD!$Q$9)*'staging data'!Y207</f>
        <v>25.2</v>
      </c>
    </row>
    <row r="208" spans="1:35" x14ac:dyDescent="0.3">
      <c r="A208" s="3" t="s">
        <v>439</v>
      </c>
      <c r="B208" s="28">
        <v>45262</v>
      </c>
      <c r="C208" s="28" t="str">
        <f t="shared" si="59"/>
        <v>Q4</v>
      </c>
      <c r="D208" s="28" t="str">
        <f t="shared" si="60"/>
        <v>2024</v>
      </c>
      <c r="E208" s="28" t="str">
        <f t="shared" si="61"/>
        <v>Feb</v>
      </c>
      <c r="F208" s="5">
        <v>45349</v>
      </c>
      <c r="G208" s="5">
        <f t="shared" si="49"/>
        <v>45377</v>
      </c>
      <c r="H208" s="5">
        <v>45377</v>
      </c>
      <c r="I208" s="5" t="str">
        <f t="shared" si="62"/>
        <v>Achieved</v>
      </c>
      <c r="J208" s="14">
        <f t="shared" si="63"/>
        <v>28</v>
      </c>
      <c r="K208" s="14">
        <f t="shared" si="50"/>
        <v>28</v>
      </c>
      <c r="L208" s="3" t="s">
        <v>646</v>
      </c>
      <c r="M208" s="3" t="s">
        <v>653</v>
      </c>
      <c r="N208" s="3" t="s">
        <v>690</v>
      </c>
      <c r="O208" s="3" t="s">
        <v>701</v>
      </c>
      <c r="P208" s="3" t="s">
        <v>708</v>
      </c>
      <c r="Q208" s="3" t="s">
        <v>714</v>
      </c>
      <c r="R208" s="3" t="s">
        <v>730</v>
      </c>
      <c r="S208" s="3" t="s">
        <v>1157</v>
      </c>
      <c r="T208" s="21">
        <v>1035.19</v>
      </c>
      <c r="U208" s="21" t="str">
        <f t="shared" si="64"/>
        <v>High</v>
      </c>
      <c r="V208">
        <f t="shared" si="51"/>
        <v>2322.6999999999998</v>
      </c>
      <c r="W208" s="7">
        <v>2322.6999999999998</v>
      </c>
      <c r="X208" s="8">
        <v>0.17299999999999999</v>
      </c>
      <c r="Y208" s="14">
        <v>8</v>
      </c>
      <c r="Z208" s="7">
        <f t="shared" si="52"/>
        <v>401.82709999999992</v>
      </c>
      <c r="AA208" s="7">
        <f t="shared" si="53"/>
        <v>15366.983199999999</v>
      </c>
      <c r="AB208" s="7">
        <f t="shared" si="54"/>
        <v>14965.156099999998</v>
      </c>
      <c r="AC208" s="7">
        <f t="shared" si="55"/>
        <v>8281.52</v>
      </c>
      <c r="AD208" s="7">
        <f t="shared" si="56"/>
        <v>7085.4631999999983</v>
      </c>
      <c r="AE208" s="7">
        <f t="shared" si="57"/>
        <v>6683.6360999999979</v>
      </c>
      <c r="AF208" s="26">
        <f t="shared" si="58"/>
        <v>1.8555752084158461</v>
      </c>
      <c r="AG208" s="8">
        <f>IF(DASHBOARD!$Q$7&gt;'staging data'!X208,'staging data'!X208,DASHBOARD!$Q$7)</f>
        <v>0.17299999999999999</v>
      </c>
      <c r="AH208">
        <f>(100%+DASHBOARD!$Q$8)*'staging data'!T208</f>
        <v>1190.4684999999999</v>
      </c>
      <c r="AI208">
        <f>(100%+DASHBOARD!$Q$9)*'staging data'!Y208</f>
        <v>9.6</v>
      </c>
    </row>
    <row r="209" spans="1:35" x14ac:dyDescent="0.3">
      <c r="A209" s="3" t="s">
        <v>438</v>
      </c>
      <c r="B209" s="28">
        <v>45263</v>
      </c>
      <c r="C209" s="28" t="str">
        <f t="shared" si="59"/>
        <v>Q4</v>
      </c>
      <c r="D209" s="28" t="str">
        <f t="shared" si="60"/>
        <v>2024</v>
      </c>
      <c r="E209" s="28" t="str">
        <f t="shared" si="61"/>
        <v>Feb</v>
      </c>
      <c r="F209" s="5">
        <v>45341</v>
      </c>
      <c r="G209" s="5">
        <f t="shared" si="49"/>
        <v>45357</v>
      </c>
      <c r="H209" s="5">
        <v>45357</v>
      </c>
      <c r="I209" s="5" t="str">
        <f t="shared" si="62"/>
        <v>Achieved</v>
      </c>
      <c r="J209" s="14">
        <f t="shared" si="63"/>
        <v>16</v>
      </c>
      <c r="K209" s="14">
        <f t="shared" si="50"/>
        <v>16</v>
      </c>
      <c r="L209" s="3" t="s">
        <v>646</v>
      </c>
      <c r="M209" s="3" t="s">
        <v>658</v>
      </c>
      <c r="N209" s="3" t="s">
        <v>698</v>
      </c>
      <c r="O209" s="3" t="s">
        <v>701</v>
      </c>
      <c r="P209" s="3" t="s">
        <v>708</v>
      </c>
      <c r="Q209" s="3" t="s">
        <v>718</v>
      </c>
      <c r="R209" s="3" t="s">
        <v>727</v>
      </c>
      <c r="S209" s="3" t="s">
        <v>1156</v>
      </c>
      <c r="T209" s="21">
        <v>1477.84</v>
      </c>
      <c r="U209" s="21" t="str">
        <f t="shared" si="64"/>
        <v>High</v>
      </c>
      <c r="V209">
        <f t="shared" si="51"/>
        <v>3197.47</v>
      </c>
      <c r="W209" s="7">
        <v>3197.47</v>
      </c>
      <c r="X209" s="8">
        <v>0.24299999999999999</v>
      </c>
      <c r="Y209" s="14">
        <v>24</v>
      </c>
      <c r="Z209" s="7">
        <f t="shared" si="52"/>
        <v>776.98520999999994</v>
      </c>
      <c r="AA209" s="7">
        <f t="shared" si="53"/>
        <v>58091.634960000003</v>
      </c>
      <c r="AB209" s="7">
        <f t="shared" si="54"/>
        <v>57314.649750000004</v>
      </c>
      <c r="AC209" s="7">
        <f t="shared" si="55"/>
        <v>35468.159999999996</v>
      </c>
      <c r="AD209" s="7">
        <f t="shared" si="56"/>
        <v>22623.474960000007</v>
      </c>
      <c r="AE209" s="7">
        <f t="shared" si="57"/>
        <v>21846.489750000008</v>
      </c>
      <c r="AF209" s="26">
        <f t="shared" si="58"/>
        <v>1.6378530761110812</v>
      </c>
      <c r="AG209" s="8">
        <f>IF(DASHBOARD!$Q$7&gt;'staging data'!X209,'staging data'!X209,DASHBOARD!$Q$7)</f>
        <v>0.2</v>
      </c>
      <c r="AH209">
        <f>(100%+DASHBOARD!$Q$8)*'staging data'!T209</f>
        <v>1699.5159999999998</v>
      </c>
      <c r="AI209">
        <f>(100%+DASHBOARD!$Q$9)*'staging data'!Y209</f>
        <v>28.799999999999997</v>
      </c>
    </row>
    <row r="210" spans="1:35" x14ac:dyDescent="0.3">
      <c r="A210" s="3" t="s">
        <v>437</v>
      </c>
      <c r="B210" s="28">
        <v>45265</v>
      </c>
      <c r="C210" s="28" t="str">
        <f t="shared" si="59"/>
        <v>Q4</v>
      </c>
      <c r="D210" s="28" t="str">
        <f t="shared" si="60"/>
        <v>2025</v>
      </c>
      <c r="E210" s="28" t="str">
        <f t="shared" si="61"/>
        <v>Sept</v>
      </c>
      <c r="F210" s="5">
        <v>45915</v>
      </c>
      <c r="G210" s="5">
        <f t="shared" si="49"/>
        <v>45925</v>
      </c>
      <c r="H210" s="5">
        <v>45925</v>
      </c>
      <c r="I210" s="5" t="str">
        <f t="shared" si="62"/>
        <v>Achieved</v>
      </c>
      <c r="J210" s="14">
        <f t="shared" si="63"/>
        <v>10</v>
      </c>
      <c r="K210" s="14">
        <f t="shared" si="50"/>
        <v>10</v>
      </c>
      <c r="L210" s="3" t="s">
        <v>646</v>
      </c>
      <c r="M210" s="3" t="s">
        <v>653</v>
      </c>
      <c r="N210" s="3" t="s">
        <v>679</v>
      </c>
      <c r="O210" s="3" t="s">
        <v>703</v>
      </c>
      <c r="P210" s="3" t="s">
        <v>706</v>
      </c>
      <c r="Q210" s="3" t="s">
        <v>719</v>
      </c>
      <c r="R210" s="3" t="s">
        <v>729</v>
      </c>
      <c r="S210" s="3" t="s">
        <v>1155</v>
      </c>
      <c r="T210" s="21">
        <v>1488.91</v>
      </c>
      <c r="U210" s="21" t="str">
        <f t="shared" si="64"/>
        <v>Medium</v>
      </c>
      <c r="V210">
        <f t="shared" si="51"/>
        <v>1483.74</v>
      </c>
      <c r="W210" s="7">
        <v>1483.74</v>
      </c>
      <c r="X210" s="8">
        <v>0.16800000000000001</v>
      </c>
      <c r="Y210" s="14">
        <v>24</v>
      </c>
      <c r="Z210" s="7">
        <f t="shared" si="52"/>
        <v>249.26832000000002</v>
      </c>
      <c r="AA210" s="7">
        <f t="shared" si="53"/>
        <v>29627.320319999999</v>
      </c>
      <c r="AB210" s="7">
        <f t="shared" si="54"/>
        <v>29378.052</v>
      </c>
      <c r="AC210" s="7">
        <f t="shared" si="55"/>
        <v>35733.840000000004</v>
      </c>
      <c r="AD210" s="7">
        <f t="shared" si="56"/>
        <v>-6106.5196800000049</v>
      </c>
      <c r="AE210" s="7">
        <f t="shared" si="57"/>
        <v>-6355.7880000000041</v>
      </c>
      <c r="AF210" s="26">
        <f t="shared" si="58"/>
        <v>0.82911101409756116</v>
      </c>
      <c r="AG210" s="8">
        <f>IF(DASHBOARD!$Q$7&gt;'staging data'!X210,'staging data'!X210,DASHBOARD!$Q$7)</f>
        <v>0.16800000000000001</v>
      </c>
      <c r="AH210">
        <f>(100%+DASHBOARD!$Q$8)*'staging data'!T210</f>
        <v>1712.2465</v>
      </c>
      <c r="AI210">
        <f>(100%+DASHBOARD!$Q$9)*'staging data'!Y210</f>
        <v>28.799999999999997</v>
      </c>
    </row>
    <row r="211" spans="1:35" x14ac:dyDescent="0.3">
      <c r="A211" s="3" t="s">
        <v>436</v>
      </c>
      <c r="B211" s="28">
        <v>45266</v>
      </c>
      <c r="C211" s="28" t="str">
        <f t="shared" si="59"/>
        <v>Q4</v>
      </c>
      <c r="D211" s="28" t="str">
        <f t="shared" si="60"/>
        <v>2025</v>
      </c>
      <c r="E211" s="28" t="str">
        <f t="shared" si="61"/>
        <v>Jul</v>
      </c>
      <c r="F211" s="5">
        <v>45841</v>
      </c>
      <c r="G211" s="5">
        <f t="shared" si="49"/>
        <v>45844</v>
      </c>
      <c r="H211" s="5">
        <v>45844</v>
      </c>
      <c r="I211" s="5" t="str">
        <f t="shared" si="62"/>
        <v>Not achieved</v>
      </c>
      <c r="J211" s="14">
        <f t="shared" si="63"/>
        <v>3</v>
      </c>
      <c r="K211" s="14">
        <f t="shared" si="50"/>
        <v>3</v>
      </c>
      <c r="L211" s="3" t="s">
        <v>645</v>
      </c>
      <c r="M211" s="3" t="s">
        <v>650</v>
      </c>
      <c r="N211" s="3" t="s">
        <v>664</v>
      </c>
      <c r="O211" s="3" t="s">
        <v>703</v>
      </c>
      <c r="P211" s="3" t="s">
        <v>707</v>
      </c>
      <c r="Q211" s="3" t="s">
        <v>720</v>
      </c>
      <c r="R211" s="3" t="s">
        <v>730</v>
      </c>
      <c r="S211" s="3" t="s">
        <v>1154</v>
      </c>
      <c r="T211" s="21">
        <v>1313.3</v>
      </c>
      <c r="U211" s="21" t="str">
        <f t="shared" si="64"/>
        <v>High</v>
      </c>
      <c r="V211">
        <f t="shared" si="51"/>
        <v>2884.34</v>
      </c>
      <c r="W211" s="7">
        <v>2884.34</v>
      </c>
      <c r="X211" s="8">
        <v>0.157</v>
      </c>
      <c r="Y211" s="14">
        <v>42</v>
      </c>
      <c r="Z211" s="7">
        <f t="shared" si="52"/>
        <v>452.84138000000002</v>
      </c>
      <c r="AA211" s="7">
        <f t="shared" si="53"/>
        <v>102122.94203999999</v>
      </c>
      <c r="AB211" s="7">
        <f t="shared" si="54"/>
        <v>101670.10066</v>
      </c>
      <c r="AC211" s="7">
        <f t="shared" si="55"/>
        <v>55158.6</v>
      </c>
      <c r="AD211" s="7">
        <f t="shared" si="56"/>
        <v>46964.342039999996</v>
      </c>
      <c r="AE211" s="7">
        <f t="shared" si="57"/>
        <v>46511.500659999998</v>
      </c>
      <c r="AF211" s="26">
        <f t="shared" si="58"/>
        <v>1.8514418792355136</v>
      </c>
      <c r="AG211" s="8">
        <f>IF(DASHBOARD!$Q$7&gt;'staging data'!X211,'staging data'!X211,DASHBOARD!$Q$7)</f>
        <v>0.157</v>
      </c>
      <c r="AH211">
        <f>(100%+DASHBOARD!$Q$8)*'staging data'!T211</f>
        <v>1510.2949999999998</v>
      </c>
      <c r="AI211">
        <f>(100%+DASHBOARD!$Q$9)*'staging data'!Y211</f>
        <v>50.4</v>
      </c>
    </row>
    <row r="212" spans="1:35" x14ac:dyDescent="0.3">
      <c r="A212" s="3" t="s">
        <v>434</v>
      </c>
      <c r="B212" s="28">
        <v>45267</v>
      </c>
      <c r="C212" s="28" t="str">
        <f t="shared" si="59"/>
        <v>Q4</v>
      </c>
      <c r="D212" s="28" t="str">
        <f t="shared" si="60"/>
        <v>2023</v>
      </c>
      <c r="E212" s="28" t="str">
        <f t="shared" si="61"/>
        <v>Oct</v>
      </c>
      <c r="F212" s="5">
        <v>45211</v>
      </c>
      <c r="G212" s="5">
        <f t="shared" si="49"/>
        <v>45228</v>
      </c>
      <c r="H212" s="5">
        <v>45228</v>
      </c>
      <c r="I212" s="5" t="str">
        <f t="shared" si="62"/>
        <v>Achieved</v>
      </c>
      <c r="J212" s="14">
        <f t="shared" si="63"/>
        <v>17</v>
      </c>
      <c r="K212" s="14">
        <f t="shared" si="50"/>
        <v>17</v>
      </c>
      <c r="L212" s="3" t="s">
        <v>646</v>
      </c>
      <c r="M212" s="3" t="s">
        <v>651</v>
      </c>
      <c r="N212" s="3" t="s">
        <v>693</v>
      </c>
      <c r="O212" s="3" t="s">
        <v>702</v>
      </c>
      <c r="P212" s="3" t="s">
        <v>710</v>
      </c>
      <c r="Q212" s="3" t="s">
        <v>721</v>
      </c>
      <c r="R212" s="3" t="s">
        <v>729</v>
      </c>
      <c r="S212" s="3" t="s">
        <v>1152</v>
      </c>
      <c r="T212" s="21">
        <v>1102.19</v>
      </c>
      <c r="U212" s="21" t="str">
        <f t="shared" si="64"/>
        <v>Medium</v>
      </c>
      <c r="V212">
        <f t="shared" si="51"/>
        <v>1711.16</v>
      </c>
      <c r="W212" s="7">
        <v>1711.16</v>
      </c>
      <c r="X212" s="8">
        <v>0.151</v>
      </c>
      <c r="Y212" s="14">
        <v>10</v>
      </c>
      <c r="Z212" s="7">
        <f t="shared" si="52"/>
        <v>258.38515999999998</v>
      </c>
      <c r="AA212" s="7">
        <f t="shared" si="53"/>
        <v>14527.748400000002</v>
      </c>
      <c r="AB212" s="7">
        <f t="shared" si="54"/>
        <v>14269.363240000002</v>
      </c>
      <c r="AC212" s="7">
        <f t="shared" si="55"/>
        <v>11021.900000000001</v>
      </c>
      <c r="AD212" s="7">
        <f t="shared" si="56"/>
        <v>3505.8484000000008</v>
      </c>
      <c r="AE212" s="7">
        <f t="shared" si="57"/>
        <v>3247.463240000001</v>
      </c>
      <c r="AF212" s="26">
        <f t="shared" si="58"/>
        <v>1.3180802221032673</v>
      </c>
      <c r="AG212" s="8">
        <f>IF(DASHBOARD!$Q$7&gt;'staging data'!X212,'staging data'!X212,DASHBOARD!$Q$7)</f>
        <v>0.151</v>
      </c>
      <c r="AH212">
        <f>(100%+DASHBOARD!$Q$8)*'staging data'!T212</f>
        <v>1267.5184999999999</v>
      </c>
      <c r="AI212">
        <f>(100%+DASHBOARD!$Q$9)*'staging data'!Y212</f>
        <v>12</v>
      </c>
    </row>
    <row r="213" spans="1:35" x14ac:dyDescent="0.3">
      <c r="A213" s="3" t="s">
        <v>435</v>
      </c>
      <c r="B213" s="28">
        <v>45267</v>
      </c>
      <c r="C213" s="28" t="str">
        <f t="shared" si="59"/>
        <v>Q4</v>
      </c>
      <c r="D213" s="28" t="str">
        <f t="shared" si="60"/>
        <v>2025</v>
      </c>
      <c r="E213" s="28" t="str">
        <f t="shared" si="61"/>
        <v>Feb</v>
      </c>
      <c r="F213" s="5">
        <v>45713</v>
      </c>
      <c r="G213" s="5">
        <f t="shared" si="49"/>
        <v>45733</v>
      </c>
      <c r="H213" s="5">
        <v>45733</v>
      </c>
      <c r="I213" s="5" t="str">
        <f t="shared" si="62"/>
        <v>Achieved</v>
      </c>
      <c r="J213" s="14">
        <f t="shared" si="63"/>
        <v>20</v>
      </c>
      <c r="K213" s="14">
        <f t="shared" si="50"/>
        <v>20</v>
      </c>
      <c r="L213" s="3" t="s">
        <v>647</v>
      </c>
      <c r="M213" s="3" t="s">
        <v>659</v>
      </c>
      <c r="N213" s="3" t="s">
        <v>685</v>
      </c>
      <c r="O213" s="3" t="s">
        <v>702</v>
      </c>
      <c r="P213" s="3" t="s">
        <v>708</v>
      </c>
      <c r="Q213" s="3" t="s">
        <v>721</v>
      </c>
      <c r="R213" s="3" t="s">
        <v>729</v>
      </c>
      <c r="S213" s="3" t="s">
        <v>1153</v>
      </c>
      <c r="T213" s="21">
        <v>1205.26</v>
      </c>
      <c r="U213" s="21" t="str">
        <f t="shared" si="64"/>
        <v>Medium</v>
      </c>
      <c r="V213">
        <f t="shared" si="51"/>
        <v>1696.35</v>
      </c>
      <c r="W213" s="7">
        <v>1696.35</v>
      </c>
      <c r="X213" s="8">
        <v>1.9E-2</v>
      </c>
      <c r="Y213" s="14">
        <v>6</v>
      </c>
      <c r="Z213" s="7">
        <f t="shared" si="52"/>
        <v>32.230649999999997</v>
      </c>
      <c r="AA213" s="7">
        <f t="shared" si="53"/>
        <v>9984.7160999999978</v>
      </c>
      <c r="AB213" s="7">
        <f t="shared" si="54"/>
        <v>9952.4854499999983</v>
      </c>
      <c r="AC213" s="7">
        <f t="shared" si="55"/>
        <v>7231.5599999999995</v>
      </c>
      <c r="AD213" s="7">
        <f t="shared" si="56"/>
        <v>2753.1560999999983</v>
      </c>
      <c r="AE213" s="7">
        <f t="shared" si="57"/>
        <v>2720.9254499999988</v>
      </c>
      <c r="AF213" s="26">
        <f t="shared" si="58"/>
        <v>1.3807139953205116</v>
      </c>
      <c r="AG213" s="8">
        <f>IF(DASHBOARD!$Q$7&gt;'staging data'!X213,'staging data'!X213,DASHBOARD!$Q$7)</f>
        <v>1.9E-2</v>
      </c>
      <c r="AH213">
        <f>(100%+DASHBOARD!$Q$8)*'staging data'!T213</f>
        <v>1386.049</v>
      </c>
      <c r="AI213">
        <f>(100%+DASHBOARD!$Q$9)*'staging data'!Y213</f>
        <v>7.1999999999999993</v>
      </c>
    </row>
    <row r="214" spans="1:35" x14ac:dyDescent="0.3">
      <c r="A214" s="3" t="s">
        <v>433</v>
      </c>
      <c r="B214" s="28">
        <v>45276</v>
      </c>
      <c r="C214" s="28" t="str">
        <f t="shared" si="59"/>
        <v>Q4</v>
      </c>
      <c r="D214" s="28" t="str">
        <f t="shared" si="60"/>
        <v>2024</v>
      </c>
      <c r="E214" s="28" t="str">
        <f t="shared" si="61"/>
        <v>Jan</v>
      </c>
      <c r="F214" s="5">
        <v>45307</v>
      </c>
      <c r="G214" s="5">
        <f t="shared" si="49"/>
        <v>45333</v>
      </c>
      <c r="H214" s="5">
        <v>45333</v>
      </c>
      <c r="I214" s="5" t="str">
        <f t="shared" si="62"/>
        <v>Achieved</v>
      </c>
      <c r="J214" s="14">
        <f t="shared" si="63"/>
        <v>26</v>
      </c>
      <c r="K214" s="14">
        <f t="shared" si="50"/>
        <v>26</v>
      </c>
      <c r="L214" s="3" t="s">
        <v>648</v>
      </c>
      <c r="M214" s="3" t="s">
        <v>655</v>
      </c>
      <c r="N214" s="3" t="s">
        <v>697</v>
      </c>
      <c r="O214" s="3" t="s">
        <v>702</v>
      </c>
      <c r="P214" s="3" t="s">
        <v>709</v>
      </c>
      <c r="Q214" s="3" t="s">
        <v>717</v>
      </c>
      <c r="R214" s="3" t="s">
        <v>731</v>
      </c>
      <c r="S214" s="3" t="s">
        <v>1151</v>
      </c>
      <c r="T214" s="21">
        <v>504.93</v>
      </c>
      <c r="U214" s="21" t="str">
        <f t="shared" si="64"/>
        <v>Medium</v>
      </c>
      <c r="V214">
        <f t="shared" si="51"/>
        <v>819.06</v>
      </c>
      <c r="W214" s="7">
        <v>819.06</v>
      </c>
      <c r="X214" s="8">
        <v>0.22600000000000001</v>
      </c>
      <c r="Y214" s="14">
        <v>15</v>
      </c>
      <c r="Z214" s="7">
        <f t="shared" si="52"/>
        <v>185.10756000000001</v>
      </c>
      <c r="AA214" s="7">
        <f t="shared" si="53"/>
        <v>9509.2865999999995</v>
      </c>
      <c r="AB214" s="7">
        <f t="shared" si="54"/>
        <v>9324.1790399999991</v>
      </c>
      <c r="AC214" s="7">
        <f t="shared" si="55"/>
        <v>7573.95</v>
      </c>
      <c r="AD214" s="7">
        <f t="shared" si="56"/>
        <v>1935.3365999999996</v>
      </c>
      <c r="AE214" s="7">
        <f t="shared" si="57"/>
        <v>1750.2290399999993</v>
      </c>
      <c r="AF214" s="26">
        <f t="shared" si="58"/>
        <v>1.255525399560335</v>
      </c>
      <c r="AG214" s="8">
        <f>IF(DASHBOARD!$Q$7&gt;'staging data'!X214,'staging data'!X214,DASHBOARD!$Q$7)</f>
        <v>0.2</v>
      </c>
      <c r="AH214">
        <f>(100%+DASHBOARD!$Q$8)*'staging data'!T214</f>
        <v>580.66949999999997</v>
      </c>
      <c r="AI214">
        <f>(100%+DASHBOARD!$Q$9)*'staging data'!Y214</f>
        <v>18</v>
      </c>
    </row>
    <row r="215" spans="1:35" x14ac:dyDescent="0.3">
      <c r="A215" s="3" t="s">
        <v>432</v>
      </c>
      <c r="B215" s="28">
        <v>45278</v>
      </c>
      <c r="C215" s="28" t="str">
        <f t="shared" si="59"/>
        <v>Q4</v>
      </c>
      <c r="D215" s="28" t="str">
        <f t="shared" si="60"/>
        <v>2025</v>
      </c>
      <c r="E215" s="28" t="str">
        <f t="shared" si="61"/>
        <v>Mar</v>
      </c>
      <c r="F215" s="5">
        <v>45730</v>
      </c>
      <c r="G215" s="5">
        <f t="shared" si="49"/>
        <v>45755</v>
      </c>
      <c r="H215" s="5">
        <v>45755</v>
      </c>
      <c r="I215" s="5" t="str">
        <f t="shared" si="62"/>
        <v>Achieved</v>
      </c>
      <c r="J215" s="14">
        <f t="shared" si="63"/>
        <v>25</v>
      </c>
      <c r="K215" s="14">
        <f t="shared" si="50"/>
        <v>25</v>
      </c>
      <c r="L215" s="3" t="s">
        <v>646</v>
      </c>
      <c r="M215" s="3" t="s">
        <v>658</v>
      </c>
      <c r="N215" s="3" t="s">
        <v>684</v>
      </c>
      <c r="O215" s="3" t="s">
        <v>700</v>
      </c>
      <c r="P215" s="3" t="s">
        <v>709</v>
      </c>
      <c r="Q215" s="3" t="s">
        <v>725</v>
      </c>
      <c r="R215" s="3" t="s">
        <v>727</v>
      </c>
      <c r="S215" s="3" t="s">
        <v>1150</v>
      </c>
      <c r="T215" s="21">
        <v>80.59</v>
      </c>
      <c r="U215" s="21" t="str">
        <f t="shared" si="64"/>
        <v>Low</v>
      </c>
      <c r="V215">
        <f t="shared" si="51"/>
        <v>157.82</v>
      </c>
      <c r="W215" s="7">
        <v>157.82</v>
      </c>
      <c r="X215" s="8">
        <v>0.217</v>
      </c>
      <c r="Y215" s="14">
        <v>6</v>
      </c>
      <c r="Z215" s="7">
        <f t="shared" si="52"/>
        <v>34.246939999999995</v>
      </c>
      <c r="AA215" s="7">
        <f t="shared" si="53"/>
        <v>741.43835999999999</v>
      </c>
      <c r="AB215" s="7">
        <f t="shared" si="54"/>
        <v>707.19141999999999</v>
      </c>
      <c r="AC215" s="7">
        <f t="shared" si="55"/>
        <v>483.54</v>
      </c>
      <c r="AD215" s="7">
        <f t="shared" si="56"/>
        <v>257.89835999999997</v>
      </c>
      <c r="AE215" s="7">
        <f t="shared" si="57"/>
        <v>223.65141999999997</v>
      </c>
      <c r="AF215" s="26">
        <f t="shared" si="58"/>
        <v>1.5333547586549199</v>
      </c>
      <c r="AG215" s="8">
        <f>IF(DASHBOARD!$Q$7&gt;'staging data'!X215,'staging data'!X215,DASHBOARD!$Q$7)</f>
        <v>0.2</v>
      </c>
      <c r="AH215">
        <f>(100%+DASHBOARD!$Q$8)*'staging data'!T215</f>
        <v>92.6785</v>
      </c>
      <c r="AI215">
        <f>(100%+DASHBOARD!$Q$9)*'staging data'!Y215</f>
        <v>7.1999999999999993</v>
      </c>
    </row>
    <row r="216" spans="1:35" x14ac:dyDescent="0.3">
      <c r="A216" s="3" t="s">
        <v>430</v>
      </c>
      <c r="B216" s="28">
        <v>45279</v>
      </c>
      <c r="C216" s="28" t="str">
        <f t="shared" si="59"/>
        <v>Q4</v>
      </c>
      <c r="D216" s="28" t="str">
        <f t="shared" si="60"/>
        <v>2024</v>
      </c>
      <c r="E216" s="28" t="str">
        <f t="shared" si="61"/>
        <v>Nov</v>
      </c>
      <c r="F216" s="5">
        <v>45626</v>
      </c>
      <c r="G216" s="5">
        <f t="shared" si="49"/>
        <v>45636</v>
      </c>
      <c r="H216" s="5">
        <v>45636</v>
      </c>
      <c r="I216" s="5" t="str">
        <f t="shared" si="62"/>
        <v>Achieved</v>
      </c>
      <c r="J216" s="14">
        <f t="shared" si="63"/>
        <v>10</v>
      </c>
      <c r="K216" s="14">
        <f t="shared" si="50"/>
        <v>10</v>
      </c>
      <c r="L216" s="3" t="s">
        <v>646</v>
      </c>
      <c r="M216" s="3" t="s">
        <v>653</v>
      </c>
      <c r="N216" s="3" t="s">
        <v>695</v>
      </c>
      <c r="O216" s="3" t="s">
        <v>704</v>
      </c>
      <c r="P216" s="3" t="s">
        <v>706</v>
      </c>
      <c r="Q216" s="3" t="s">
        <v>720</v>
      </c>
      <c r="R216" s="3" t="s">
        <v>732</v>
      </c>
      <c r="S216" s="3" t="s">
        <v>1148</v>
      </c>
      <c r="T216" s="21">
        <v>851.49</v>
      </c>
      <c r="U216" s="21" t="str">
        <f t="shared" si="64"/>
        <v>Medium</v>
      </c>
      <c r="V216">
        <f t="shared" si="51"/>
        <v>901.79</v>
      </c>
      <c r="W216" s="7">
        <v>901.79</v>
      </c>
      <c r="X216" s="8">
        <v>0.245</v>
      </c>
      <c r="Y216" s="14">
        <v>16</v>
      </c>
      <c r="Z216" s="7">
        <f t="shared" si="52"/>
        <v>220.93854999999999</v>
      </c>
      <c r="AA216" s="7">
        <f t="shared" si="53"/>
        <v>10893.6232</v>
      </c>
      <c r="AB216" s="7">
        <f t="shared" si="54"/>
        <v>10672.684649999999</v>
      </c>
      <c r="AC216" s="7">
        <f t="shared" si="55"/>
        <v>13623.84</v>
      </c>
      <c r="AD216" s="7">
        <f t="shared" si="56"/>
        <v>-2730.2168000000001</v>
      </c>
      <c r="AE216" s="7">
        <f t="shared" si="57"/>
        <v>-2951.1553500000009</v>
      </c>
      <c r="AF216" s="26">
        <f t="shared" si="58"/>
        <v>0.79960005402294798</v>
      </c>
      <c r="AG216" s="8">
        <f>IF(DASHBOARD!$Q$7&gt;'staging data'!X216,'staging data'!X216,DASHBOARD!$Q$7)</f>
        <v>0.2</v>
      </c>
      <c r="AH216">
        <f>(100%+DASHBOARD!$Q$8)*'staging data'!T216</f>
        <v>979.21349999999995</v>
      </c>
      <c r="AI216">
        <f>(100%+DASHBOARD!$Q$9)*'staging data'!Y216</f>
        <v>19.2</v>
      </c>
    </row>
    <row r="217" spans="1:35" x14ac:dyDescent="0.3">
      <c r="A217" s="3" t="s">
        <v>431</v>
      </c>
      <c r="B217" s="28">
        <v>45279</v>
      </c>
      <c r="C217" s="28" t="str">
        <f t="shared" si="59"/>
        <v>Q4</v>
      </c>
      <c r="D217" s="28" t="str">
        <f t="shared" si="60"/>
        <v>2025</v>
      </c>
      <c r="E217" s="28" t="str">
        <f t="shared" si="61"/>
        <v>Jun</v>
      </c>
      <c r="F217" s="5">
        <v>45813</v>
      </c>
      <c r="G217" s="5">
        <f t="shared" si="49"/>
        <v>45822</v>
      </c>
      <c r="H217" s="5">
        <v>45822</v>
      </c>
      <c r="I217" s="5" t="str">
        <f t="shared" si="62"/>
        <v>Achieved</v>
      </c>
      <c r="J217" s="14">
        <f t="shared" si="63"/>
        <v>9</v>
      </c>
      <c r="K217" s="14">
        <f t="shared" si="50"/>
        <v>9</v>
      </c>
      <c r="L217" s="3" t="s">
        <v>646</v>
      </c>
      <c r="M217" s="3" t="s">
        <v>653</v>
      </c>
      <c r="N217" s="3" t="s">
        <v>679</v>
      </c>
      <c r="O217" s="3" t="s">
        <v>702</v>
      </c>
      <c r="P217" s="3" t="s">
        <v>706</v>
      </c>
      <c r="Q217" s="3" t="s">
        <v>719</v>
      </c>
      <c r="R217" s="3" t="s">
        <v>732</v>
      </c>
      <c r="S217" s="3" t="s">
        <v>1149</v>
      </c>
      <c r="T217" s="21">
        <v>618.69000000000005</v>
      </c>
      <c r="U217" s="21" t="str">
        <f t="shared" si="64"/>
        <v>Medium</v>
      </c>
      <c r="V217">
        <f t="shared" si="51"/>
        <v>796.15</v>
      </c>
      <c r="W217" s="7">
        <v>796.15</v>
      </c>
      <c r="X217" s="8">
        <v>0.09</v>
      </c>
      <c r="Y217" s="14">
        <v>11</v>
      </c>
      <c r="Z217" s="7">
        <f t="shared" si="52"/>
        <v>71.653499999999994</v>
      </c>
      <c r="AA217" s="7">
        <f t="shared" si="53"/>
        <v>7969.4615000000003</v>
      </c>
      <c r="AB217" s="7">
        <f t="shared" si="54"/>
        <v>7897.808</v>
      </c>
      <c r="AC217" s="7">
        <f t="shared" si="55"/>
        <v>6805.59</v>
      </c>
      <c r="AD217" s="7">
        <f t="shared" si="56"/>
        <v>1163.8715000000002</v>
      </c>
      <c r="AE217" s="7">
        <f t="shared" si="57"/>
        <v>1092.2179999999998</v>
      </c>
      <c r="AF217" s="26">
        <f t="shared" si="58"/>
        <v>1.1710169875058591</v>
      </c>
      <c r="AG217" s="8">
        <f>IF(DASHBOARD!$Q$7&gt;'staging data'!X217,'staging data'!X217,DASHBOARD!$Q$7)</f>
        <v>0.09</v>
      </c>
      <c r="AH217">
        <f>(100%+DASHBOARD!$Q$8)*'staging data'!T217</f>
        <v>711.49350000000004</v>
      </c>
      <c r="AI217">
        <f>(100%+DASHBOARD!$Q$9)*'staging data'!Y217</f>
        <v>13.2</v>
      </c>
    </row>
    <row r="218" spans="1:35" x14ac:dyDescent="0.3">
      <c r="A218" s="3" t="s">
        <v>429</v>
      </c>
      <c r="B218" s="28">
        <v>45280</v>
      </c>
      <c r="C218" s="28" t="str">
        <f t="shared" si="59"/>
        <v>Q4</v>
      </c>
      <c r="D218" s="28" t="str">
        <f t="shared" si="60"/>
        <v>2023</v>
      </c>
      <c r="E218" s="28" t="str">
        <f t="shared" si="61"/>
        <v>Aug</v>
      </c>
      <c r="F218" s="5">
        <v>45167</v>
      </c>
      <c r="G218" s="5">
        <f t="shared" si="49"/>
        <v>45182</v>
      </c>
      <c r="H218" s="5">
        <v>45182</v>
      </c>
      <c r="I218" s="5" t="str">
        <f t="shared" si="62"/>
        <v>Achieved</v>
      </c>
      <c r="J218" s="14">
        <f t="shared" si="63"/>
        <v>15</v>
      </c>
      <c r="K218" s="14">
        <f t="shared" si="50"/>
        <v>15</v>
      </c>
      <c r="L218" s="3" t="s">
        <v>647</v>
      </c>
      <c r="M218" s="3" t="s">
        <v>652</v>
      </c>
      <c r="N218" s="3" t="s">
        <v>687</v>
      </c>
      <c r="O218" s="3" t="s">
        <v>704</v>
      </c>
      <c r="P218" s="3" t="s">
        <v>708</v>
      </c>
      <c r="Q218" s="3" t="s">
        <v>718</v>
      </c>
      <c r="R218" s="3" t="s">
        <v>727</v>
      </c>
      <c r="S218" s="3" t="s">
        <v>1147</v>
      </c>
      <c r="T218" s="21">
        <v>1287.6400000000001</v>
      </c>
      <c r="U218" s="21" t="str">
        <f t="shared" si="64"/>
        <v>High</v>
      </c>
      <c r="V218">
        <f t="shared" si="51"/>
        <v>2717.15</v>
      </c>
      <c r="W218" s="7">
        <v>2717.15</v>
      </c>
      <c r="X218" s="8">
        <v>3.2000000000000001E-2</v>
      </c>
      <c r="Y218" s="14">
        <v>7</v>
      </c>
      <c r="Z218" s="7">
        <f t="shared" si="52"/>
        <v>86.948800000000006</v>
      </c>
      <c r="AA218" s="7">
        <f t="shared" si="53"/>
        <v>18411.4084</v>
      </c>
      <c r="AB218" s="7">
        <f t="shared" si="54"/>
        <v>18324.459600000002</v>
      </c>
      <c r="AC218" s="7">
        <f t="shared" si="55"/>
        <v>9013.4800000000014</v>
      </c>
      <c r="AD218" s="7">
        <f t="shared" si="56"/>
        <v>9397.9283999999989</v>
      </c>
      <c r="AE218" s="7">
        <f t="shared" si="57"/>
        <v>9310.9796000000006</v>
      </c>
      <c r="AF218" s="26">
        <f t="shared" si="58"/>
        <v>2.0426526047653066</v>
      </c>
      <c r="AG218" s="8">
        <f>IF(DASHBOARD!$Q$7&gt;'staging data'!X218,'staging data'!X218,DASHBOARD!$Q$7)</f>
        <v>3.2000000000000001E-2</v>
      </c>
      <c r="AH218">
        <f>(100%+DASHBOARD!$Q$8)*'staging data'!T218</f>
        <v>1480.7860000000001</v>
      </c>
      <c r="AI218">
        <f>(100%+DASHBOARD!$Q$9)*'staging data'!Y218</f>
        <v>8.4</v>
      </c>
    </row>
    <row r="219" spans="1:35" x14ac:dyDescent="0.3">
      <c r="A219" s="3" t="s">
        <v>428</v>
      </c>
      <c r="B219" s="28">
        <v>45281</v>
      </c>
      <c r="C219" s="28" t="str">
        <f t="shared" si="59"/>
        <v>Q4</v>
      </c>
      <c r="D219" s="28" t="str">
        <f t="shared" si="60"/>
        <v>2024</v>
      </c>
      <c r="E219" s="28" t="str">
        <f t="shared" si="61"/>
        <v>Jun</v>
      </c>
      <c r="F219" s="5">
        <v>45449</v>
      </c>
      <c r="G219" s="5">
        <f t="shared" si="49"/>
        <v>45467</v>
      </c>
      <c r="H219" s="5">
        <v>45467</v>
      </c>
      <c r="I219" s="5" t="str">
        <f t="shared" si="62"/>
        <v>Achieved</v>
      </c>
      <c r="J219" s="14">
        <f t="shared" si="63"/>
        <v>18</v>
      </c>
      <c r="K219" s="14">
        <f t="shared" si="50"/>
        <v>18</v>
      </c>
      <c r="L219" s="3" t="s">
        <v>646</v>
      </c>
      <c r="M219" s="3" t="s">
        <v>653</v>
      </c>
      <c r="N219" s="3" t="s">
        <v>667</v>
      </c>
      <c r="O219" s="3" t="s">
        <v>704</v>
      </c>
      <c r="P219" s="3" t="s">
        <v>710</v>
      </c>
      <c r="Q219" s="3" t="s">
        <v>721</v>
      </c>
      <c r="R219" s="3" t="s">
        <v>728</v>
      </c>
      <c r="S219" s="3" t="s">
        <v>1146</v>
      </c>
      <c r="T219" s="21">
        <v>1253.25</v>
      </c>
      <c r="U219" s="21" t="str">
        <f t="shared" si="64"/>
        <v>High</v>
      </c>
      <c r="V219">
        <f t="shared" si="51"/>
        <v>3087.13</v>
      </c>
      <c r="W219" s="7">
        <v>3087.13</v>
      </c>
      <c r="X219" s="8">
        <v>7.1999999999999995E-2</v>
      </c>
      <c r="Y219" s="14">
        <v>11</v>
      </c>
      <c r="Z219" s="7">
        <f t="shared" si="52"/>
        <v>222.27336</v>
      </c>
      <c r="AA219" s="7">
        <f t="shared" si="53"/>
        <v>31513.423040000001</v>
      </c>
      <c r="AB219" s="7">
        <f t="shared" si="54"/>
        <v>31291.149680000002</v>
      </c>
      <c r="AC219" s="7">
        <f t="shared" si="55"/>
        <v>13785.75</v>
      </c>
      <c r="AD219" s="7">
        <f t="shared" si="56"/>
        <v>17727.673040000001</v>
      </c>
      <c r="AE219" s="7">
        <f t="shared" si="57"/>
        <v>17505.399680000002</v>
      </c>
      <c r="AF219" s="26">
        <f t="shared" si="58"/>
        <v>2.2859418631557951</v>
      </c>
      <c r="AG219" s="8">
        <f>IF(DASHBOARD!$Q$7&gt;'staging data'!X219,'staging data'!X219,DASHBOARD!$Q$7)</f>
        <v>7.1999999999999995E-2</v>
      </c>
      <c r="AH219">
        <f>(100%+DASHBOARD!$Q$8)*'staging data'!T219</f>
        <v>1441.2375</v>
      </c>
      <c r="AI219">
        <f>(100%+DASHBOARD!$Q$9)*'staging data'!Y219</f>
        <v>13.2</v>
      </c>
    </row>
    <row r="220" spans="1:35" x14ac:dyDescent="0.3">
      <c r="A220" s="3" t="s">
        <v>426</v>
      </c>
      <c r="B220" s="28">
        <v>45282</v>
      </c>
      <c r="C220" s="28" t="str">
        <f t="shared" si="59"/>
        <v>Q4</v>
      </c>
      <c r="D220" s="28" t="str">
        <f t="shared" si="60"/>
        <v>2023</v>
      </c>
      <c r="E220" s="28" t="str">
        <f t="shared" si="61"/>
        <v>Mar</v>
      </c>
      <c r="F220" s="5">
        <v>45002</v>
      </c>
      <c r="G220" s="5">
        <f t="shared" si="49"/>
        <v>45022</v>
      </c>
      <c r="H220" s="5">
        <v>45022</v>
      </c>
      <c r="I220" s="5" t="str">
        <f t="shared" si="62"/>
        <v>Achieved</v>
      </c>
      <c r="J220" s="14">
        <f t="shared" si="63"/>
        <v>20</v>
      </c>
      <c r="K220" s="14">
        <f t="shared" si="50"/>
        <v>20</v>
      </c>
      <c r="L220" s="3" t="s">
        <v>648</v>
      </c>
      <c r="M220" s="3" t="s">
        <v>655</v>
      </c>
      <c r="N220" s="3" t="s">
        <v>683</v>
      </c>
      <c r="O220" s="3" t="s">
        <v>703</v>
      </c>
      <c r="P220" s="3" t="s">
        <v>706</v>
      </c>
      <c r="Q220" s="3" t="s">
        <v>718</v>
      </c>
      <c r="R220" s="3" t="s">
        <v>729</v>
      </c>
      <c r="S220" s="3" t="s">
        <v>1144</v>
      </c>
      <c r="T220" s="21">
        <v>692.18</v>
      </c>
      <c r="U220" s="21" t="str">
        <f t="shared" si="64"/>
        <v>Medium</v>
      </c>
      <c r="V220">
        <f t="shared" si="51"/>
        <v>1159.3499999999999</v>
      </c>
      <c r="W220" s="7">
        <v>1159.3499999999999</v>
      </c>
      <c r="X220" s="8">
        <v>0.112</v>
      </c>
      <c r="Y220" s="14">
        <v>2</v>
      </c>
      <c r="Z220" s="7">
        <f t="shared" si="52"/>
        <v>129.84719999999999</v>
      </c>
      <c r="AA220" s="7">
        <f t="shared" si="53"/>
        <v>2059.0056</v>
      </c>
      <c r="AB220" s="7">
        <f t="shared" si="54"/>
        <v>1929.1584</v>
      </c>
      <c r="AC220" s="7">
        <f t="shared" si="55"/>
        <v>1384.36</v>
      </c>
      <c r="AD220" s="7">
        <f t="shared" si="56"/>
        <v>674.64560000000006</v>
      </c>
      <c r="AE220" s="7">
        <f t="shared" si="57"/>
        <v>544.79840000000013</v>
      </c>
      <c r="AF220" s="26">
        <f t="shared" si="58"/>
        <v>1.4873339304805109</v>
      </c>
      <c r="AG220" s="8">
        <f>IF(DASHBOARD!$Q$7&gt;'staging data'!X220,'staging data'!X220,DASHBOARD!$Q$7)</f>
        <v>0.112</v>
      </c>
      <c r="AH220">
        <f>(100%+DASHBOARD!$Q$8)*'staging data'!T220</f>
        <v>796.00699999999983</v>
      </c>
      <c r="AI220">
        <f>(100%+DASHBOARD!$Q$9)*'staging data'!Y220</f>
        <v>2.4</v>
      </c>
    </row>
    <row r="221" spans="1:35" x14ac:dyDescent="0.3">
      <c r="A221" s="3" t="s">
        <v>427</v>
      </c>
      <c r="B221" s="28">
        <v>45282</v>
      </c>
      <c r="C221" s="28" t="str">
        <f t="shared" si="59"/>
        <v>Q4</v>
      </c>
      <c r="D221" s="28" t="str">
        <f t="shared" si="60"/>
        <v>2023</v>
      </c>
      <c r="E221" s="28" t="str">
        <f t="shared" si="61"/>
        <v>Aug</v>
      </c>
      <c r="F221" s="5">
        <v>45163</v>
      </c>
      <c r="G221" s="5">
        <f t="shared" si="49"/>
        <v>45185</v>
      </c>
      <c r="H221" s="5">
        <v>45185</v>
      </c>
      <c r="I221" s="5" t="str">
        <f t="shared" si="62"/>
        <v>Achieved</v>
      </c>
      <c r="J221" s="14">
        <f t="shared" si="63"/>
        <v>22</v>
      </c>
      <c r="K221" s="14">
        <f t="shared" si="50"/>
        <v>22</v>
      </c>
      <c r="L221" s="3" t="s">
        <v>645</v>
      </c>
      <c r="M221" s="3" t="s">
        <v>650</v>
      </c>
      <c r="N221" s="3" t="s">
        <v>668</v>
      </c>
      <c r="O221" s="3" t="s">
        <v>700</v>
      </c>
      <c r="P221" s="3" t="s">
        <v>708</v>
      </c>
      <c r="Q221" s="3" t="s">
        <v>715</v>
      </c>
      <c r="R221" s="3" t="s">
        <v>729</v>
      </c>
      <c r="S221" s="3" t="s">
        <v>1145</v>
      </c>
      <c r="T221" s="21">
        <v>1196.83</v>
      </c>
      <c r="U221" s="21" t="str">
        <f t="shared" si="64"/>
        <v>High</v>
      </c>
      <c r="V221">
        <f t="shared" si="51"/>
        <v>2513.5100000000002</v>
      </c>
      <c r="W221" s="7">
        <v>2513.5100000000002</v>
      </c>
      <c r="X221" s="8">
        <v>8.3000000000000004E-2</v>
      </c>
      <c r="Y221" s="14">
        <v>7</v>
      </c>
      <c r="Z221" s="7">
        <f t="shared" si="52"/>
        <v>208.62133000000003</v>
      </c>
      <c r="AA221" s="7">
        <f t="shared" si="53"/>
        <v>16134.22069</v>
      </c>
      <c r="AB221" s="7">
        <f t="shared" si="54"/>
        <v>15925.59936</v>
      </c>
      <c r="AC221" s="7">
        <f t="shared" si="55"/>
        <v>8377.81</v>
      </c>
      <c r="AD221" s="7">
        <f t="shared" si="56"/>
        <v>7756.4106900000006</v>
      </c>
      <c r="AE221" s="7">
        <f t="shared" si="57"/>
        <v>7547.7893600000007</v>
      </c>
      <c r="AF221" s="26">
        <f t="shared" si="58"/>
        <v>1.92582795384474</v>
      </c>
      <c r="AG221" s="8">
        <f>IF(DASHBOARD!$Q$7&gt;'staging data'!X221,'staging data'!X221,DASHBOARD!$Q$7)</f>
        <v>8.3000000000000004E-2</v>
      </c>
      <c r="AH221">
        <f>(100%+DASHBOARD!$Q$8)*'staging data'!T221</f>
        <v>1376.3544999999999</v>
      </c>
      <c r="AI221">
        <f>(100%+DASHBOARD!$Q$9)*'staging data'!Y221</f>
        <v>8.4</v>
      </c>
    </row>
    <row r="222" spans="1:35" x14ac:dyDescent="0.3">
      <c r="A222" s="3" t="s">
        <v>424</v>
      </c>
      <c r="B222" s="28">
        <v>45284</v>
      </c>
      <c r="C222" s="28" t="str">
        <f t="shared" si="59"/>
        <v>Q4</v>
      </c>
      <c r="D222" s="28" t="str">
        <f t="shared" si="60"/>
        <v>2024</v>
      </c>
      <c r="E222" s="28" t="str">
        <f t="shared" si="61"/>
        <v>Aug</v>
      </c>
      <c r="F222" s="5">
        <v>45534</v>
      </c>
      <c r="G222" s="5">
        <f t="shared" si="49"/>
        <v>45540</v>
      </c>
      <c r="H222" s="5">
        <v>45540</v>
      </c>
      <c r="I222" s="5" t="str">
        <f t="shared" si="62"/>
        <v>Not achieved</v>
      </c>
      <c r="J222" s="14">
        <f t="shared" si="63"/>
        <v>6</v>
      </c>
      <c r="K222" s="14">
        <f t="shared" si="50"/>
        <v>6</v>
      </c>
      <c r="L222" s="3" t="s">
        <v>646</v>
      </c>
      <c r="M222" s="3" t="s">
        <v>651</v>
      </c>
      <c r="N222" s="3" t="s">
        <v>693</v>
      </c>
      <c r="O222" s="3" t="s">
        <v>701</v>
      </c>
      <c r="P222" s="3" t="s">
        <v>707</v>
      </c>
      <c r="Q222" s="3" t="s">
        <v>724</v>
      </c>
      <c r="R222" s="3" t="s">
        <v>730</v>
      </c>
      <c r="S222" s="3" t="s">
        <v>1142</v>
      </c>
      <c r="T222" s="21">
        <v>466.16</v>
      </c>
      <c r="U222" s="21" t="str">
        <f t="shared" si="64"/>
        <v>Medium</v>
      </c>
      <c r="V222">
        <f t="shared" si="51"/>
        <v>876.81</v>
      </c>
      <c r="W222" s="7">
        <v>876.81</v>
      </c>
      <c r="X222" s="8">
        <v>0.24099999999999999</v>
      </c>
      <c r="Y222" s="14">
        <v>8</v>
      </c>
      <c r="Z222" s="7">
        <f t="shared" si="52"/>
        <v>211.31120999999999</v>
      </c>
      <c r="AA222" s="7">
        <f t="shared" si="53"/>
        <v>5323.9903199999999</v>
      </c>
      <c r="AB222" s="7">
        <f t="shared" si="54"/>
        <v>5112.67911</v>
      </c>
      <c r="AC222" s="7">
        <f t="shared" si="55"/>
        <v>3729.28</v>
      </c>
      <c r="AD222" s="7">
        <f t="shared" si="56"/>
        <v>1594.7103199999997</v>
      </c>
      <c r="AE222" s="7">
        <f t="shared" si="57"/>
        <v>1383.3991099999998</v>
      </c>
      <c r="AF222" s="26">
        <f t="shared" si="58"/>
        <v>1.4276188218637376</v>
      </c>
      <c r="AG222" s="8">
        <f>IF(DASHBOARD!$Q$7&gt;'staging data'!X222,'staging data'!X222,DASHBOARD!$Q$7)</f>
        <v>0.2</v>
      </c>
      <c r="AH222">
        <f>(100%+DASHBOARD!$Q$8)*'staging data'!T222</f>
        <v>536.08399999999995</v>
      </c>
      <c r="AI222">
        <f>(100%+DASHBOARD!$Q$9)*'staging data'!Y222</f>
        <v>9.6</v>
      </c>
    </row>
    <row r="223" spans="1:35" x14ac:dyDescent="0.3">
      <c r="A223" s="3" t="s">
        <v>425</v>
      </c>
      <c r="B223" s="28">
        <v>45284</v>
      </c>
      <c r="C223" s="28" t="str">
        <f t="shared" si="59"/>
        <v>Q4</v>
      </c>
      <c r="D223" s="28" t="str">
        <f t="shared" si="60"/>
        <v>2024</v>
      </c>
      <c r="E223" s="28" t="str">
        <f t="shared" si="61"/>
        <v>May</v>
      </c>
      <c r="F223" s="5">
        <v>45430</v>
      </c>
      <c r="G223" s="5">
        <f t="shared" si="49"/>
        <v>45433</v>
      </c>
      <c r="H223" s="5">
        <v>45433</v>
      </c>
      <c r="I223" s="5" t="str">
        <f t="shared" si="62"/>
        <v>Not achieved</v>
      </c>
      <c r="J223" s="14">
        <f t="shared" si="63"/>
        <v>3</v>
      </c>
      <c r="K223" s="14">
        <f t="shared" si="50"/>
        <v>3</v>
      </c>
      <c r="L223" s="3" t="s">
        <v>648</v>
      </c>
      <c r="M223" s="3" t="s">
        <v>656</v>
      </c>
      <c r="N223" s="3" t="s">
        <v>672</v>
      </c>
      <c r="O223" s="3" t="s">
        <v>702</v>
      </c>
      <c r="P223" s="3" t="s">
        <v>708</v>
      </c>
      <c r="Q223" s="3" t="s">
        <v>725</v>
      </c>
      <c r="R223" s="3" t="s">
        <v>727</v>
      </c>
      <c r="S223" s="3" t="s">
        <v>1143</v>
      </c>
      <c r="T223" s="21">
        <v>663.66</v>
      </c>
      <c r="U223" s="21" t="str">
        <f t="shared" si="64"/>
        <v>Medium</v>
      </c>
      <c r="V223">
        <f t="shared" si="51"/>
        <v>824.26</v>
      </c>
      <c r="W223" s="7">
        <v>824.26</v>
      </c>
      <c r="X223" s="8">
        <v>0.23899999999999999</v>
      </c>
      <c r="Y223" s="14">
        <v>11</v>
      </c>
      <c r="Z223" s="7">
        <f t="shared" si="52"/>
        <v>196.99813999999998</v>
      </c>
      <c r="AA223" s="7">
        <f t="shared" si="53"/>
        <v>6899.8804600000003</v>
      </c>
      <c r="AB223" s="7">
        <f t="shared" si="54"/>
        <v>6702.8823200000006</v>
      </c>
      <c r="AC223" s="7">
        <f t="shared" si="55"/>
        <v>7300.2599999999993</v>
      </c>
      <c r="AD223" s="7">
        <f t="shared" si="56"/>
        <v>-400.379539999999</v>
      </c>
      <c r="AE223" s="7">
        <f t="shared" si="57"/>
        <v>-597.37767999999869</v>
      </c>
      <c r="AF223" s="26">
        <f t="shared" si="58"/>
        <v>0.94515544103908644</v>
      </c>
      <c r="AG223" s="8">
        <f>IF(DASHBOARD!$Q$7&gt;'staging data'!X223,'staging data'!X223,DASHBOARD!$Q$7)</f>
        <v>0.2</v>
      </c>
      <c r="AH223">
        <f>(100%+DASHBOARD!$Q$8)*'staging data'!T223</f>
        <v>763.20899999999995</v>
      </c>
      <c r="AI223">
        <f>(100%+DASHBOARD!$Q$9)*'staging data'!Y223</f>
        <v>13.2</v>
      </c>
    </row>
    <row r="224" spans="1:35" x14ac:dyDescent="0.3">
      <c r="A224" s="3" t="s">
        <v>423</v>
      </c>
      <c r="B224" s="28">
        <v>45286</v>
      </c>
      <c r="C224" s="28" t="str">
        <f t="shared" si="59"/>
        <v>Q4</v>
      </c>
      <c r="D224" s="28" t="str">
        <f t="shared" si="60"/>
        <v>2023</v>
      </c>
      <c r="E224" s="28" t="str">
        <f t="shared" si="61"/>
        <v>Dec</v>
      </c>
      <c r="F224" s="5">
        <v>45276</v>
      </c>
      <c r="G224" s="5">
        <f t="shared" si="49"/>
        <v>45279</v>
      </c>
      <c r="H224" s="5">
        <v>45279</v>
      </c>
      <c r="I224" s="5" t="str">
        <f t="shared" si="62"/>
        <v>Not achieved</v>
      </c>
      <c r="J224" s="14">
        <f t="shared" si="63"/>
        <v>3</v>
      </c>
      <c r="K224" s="14">
        <f t="shared" si="50"/>
        <v>3</v>
      </c>
      <c r="L224" s="3" t="s">
        <v>646</v>
      </c>
      <c r="M224" s="3" t="s">
        <v>658</v>
      </c>
      <c r="N224" s="3" t="s">
        <v>698</v>
      </c>
      <c r="O224" s="3" t="s">
        <v>701</v>
      </c>
      <c r="P224" s="3" t="s">
        <v>706</v>
      </c>
      <c r="Q224" s="3" t="s">
        <v>719</v>
      </c>
      <c r="R224" s="3" t="s">
        <v>732</v>
      </c>
      <c r="S224" s="3" t="s">
        <v>1141</v>
      </c>
      <c r="T224" s="21">
        <v>1415.05</v>
      </c>
      <c r="U224" s="21" t="str">
        <f t="shared" si="64"/>
        <v>High</v>
      </c>
      <c r="V224">
        <f t="shared" si="51"/>
        <v>1972.38</v>
      </c>
      <c r="W224" s="7">
        <v>1972.38</v>
      </c>
      <c r="X224" s="8">
        <v>0</v>
      </c>
      <c r="Y224" s="14">
        <v>12</v>
      </c>
      <c r="Z224" s="7">
        <f t="shared" si="52"/>
        <v>0</v>
      </c>
      <c r="AA224" s="7">
        <f t="shared" si="53"/>
        <v>23668.560000000001</v>
      </c>
      <c r="AB224" s="7">
        <f t="shared" si="54"/>
        <v>23668.560000000001</v>
      </c>
      <c r="AC224" s="7">
        <f t="shared" si="55"/>
        <v>16980.599999999999</v>
      </c>
      <c r="AD224" s="7">
        <f t="shared" si="56"/>
        <v>6687.9600000000028</v>
      </c>
      <c r="AE224" s="7">
        <f t="shared" si="57"/>
        <v>6687.9600000000028</v>
      </c>
      <c r="AF224" s="26">
        <f t="shared" si="58"/>
        <v>1.3938588742447264</v>
      </c>
      <c r="AG224" s="8">
        <f>IF(DASHBOARD!$Q$7&gt;'staging data'!X224,'staging data'!X224,DASHBOARD!$Q$7)</f>
        <v>0</v>
      </c>
      <c r="AH224">
        <f>(100%+DASHBOARD!$Q$8)*'staging data'!T224</f>
        <v>1627.3074999999999</v>
      </c>
      <c r="AI224">
        <f>(100%+DASHBOARD!$Q$9)*'staging data'!Y224</f>
        <v>14.399999999999999</v>
      </c>
    </row>
    <row r="225" spans="1:35" x14ac:dyDescent="0.3">
      <c r="A225" s="3" t="s">
        <v>422</v>
      </c>
      <c r="B225" s="28">
        <v>45288</v>
      </c>
      <c r="C225" s="28" t="str">
        <f t="shared" si="59"/>
        <v>Q4</v>
      </c>
      <c r="D225" s="28" t="str">
        <f t="shared" si="60"/>
        <v>2025</v>
      </c>
      <c r="E225" s="28" t="str">
        <f t="shared" si="61"/>
        <v>Mar</v>
      </c>
      <c r="F225" s="5">
        <v>45724</v>
      </c>
      <c r="G225" s="5">
        <f t="shared" si="49"/>
        <v>45731</v>
      </c>
      <c r="H225" s="5">
        <v>45731</v>
      </c>
      <c r="I225" s="5" t="str">
        <f t="shared" si="62"/>
        <v>Achieved</v>
      </c>
      <c r="J225" s="14">
        <f t="shared" si="63"/>
        <v>7</v>
      </c>
      <c r="K225" s="14">
        <f t="shared" si="50"/>
        <v>7</v>
      </c>
      <c r="L225" s="3" t="s">
        <v>646</v>
      </c>
      <c r="M225" s="3" t="s">
        <v>653</v>
      </c>
      <c r="N225" s="3" t="s">
        <v>667</v>
      </c>
      <c r="O225" s="3" t="s">
        <v>700</v>
      </c>
      <c r="P225" s="3" t="s">
        <v>709</v>
      </c>
      <c r="Q225" s="3" t="s">
        <v>722</v>
      </c>
      <c r="R225" s="3" t="s">
        <v>730</v>
      </c>
      <c r="S225" s="3" t="s">
        <v>1140</v>
      </c>
      <c r="T225" s="21">
        <v>475.66</v>
      </c>
      <c r="U225" s="21" t="str">
        <f t="shared" si="64"/>
        <v>Low</v>
      </c>
      <c r="V225">
        <f t="shared" si="51"/>
        <v>529.14</v>
      </c>
      <c r="W225" s="7">
        <v>529.14</v>
      </c>
      <c r="X225" s="8">
        <v>0.19600000000000001</v>
      </c>
      <c r="Y225" s="14">
        <v>11</v>
      </c>
      <c r="Z225" s="7">
        <f t="shared" si="52"/>
        <v>103.71144</v>
      </c>
      <c r="AA225" s="7">
        <f t="shared" si="53"/>
        <v>4679.7141600000004</v>
      </c>
      <c r="AB225" s="7">
        <f t="shared" si="54"/>
        <v>4576.0027200000004</v>
      </c>
      <c r="AC225" s="7">
        <f t="shared" si="55"/>
        <v>5232.26</v>
      </c>
      <c r="AD225" s="7">
        <f t="shared" si="56"/>
        <v>-552.54583999999977</v>
      </c>
      <c r="AE225" s="7">
        <f t="shared" si="57"/>
        <v>-656.25727999999981</v>
      </c>
      <c r="AF225" s="26">
        <f t="shared" si="58"/>
        <v>0.89439633351553638</v>
      </c>
      <c r="AG225" s="8">
        <f>IF(DASHBOARD!$Q$7&gt;'staging data'!X225,'staging data'!X225,DASHBOARD!$Q$7)</f>
        <v>0.19600000000000001</v>
      </c>
      <c r="AH225">
        <f>(100%+DASHBOARD!$Q$8)*'staging data'!T225</f>
        <v>547.00900000000001</v>
      </c>
      <c r="AI225">
        <f>(100%+DASHBOARD!$Q$9)*'staging data'!Y225</f>
        <v>13.2</v>
      </c>
    </row>
    <row r="226" spans="1:35" x14ac:dyDescent="0.3">
      <c r="A226" s="3" t="s">
        <v>421</v>
      </c>
      <c r="B226" s="28">
        <v>45289</v>
      </c>
      <c r="C226" s="28" t="str">
        <f t="shared" si="59"/>
        <v>Q4</v>
      </c>
      <c r="D226" s="28" t="str">
        <f t="shared" si="60"/>
        <v>2025</v>
      </c>
      <c r="E226" s="28" t="str">
        <f t="shared" si="61"/>
        <v>Feb</v>
      </c>
      <c r="F226" s="5">
        <v>45709</v>
      </c>
      <c r="G226" s="5">
        <f t="shared" si="49"/>
        <v>45737</v>
      </c>
      <c r="H226" s="5">
        <v>45737</v>
      </c>
      <c r="I226" s="5" t="str">
        <f t="shared" si="62"/>
        <v>Achieved</v>
      </c>
      <c r="J226" s="14">
        <f t="shared" si="63"/>
        <v>28</v>
      </c>
      <c r="K226" s="14">
        <f t="shared" si="50"/>
        <v>28</v>
      </c>
      <c r="L226" s="3" t="s">
        <v>645</v>
      </c>
      <c r="M226" s="3" t="s">
        <v>650</v>
      </c>
      <c r="N226" s="3" t="s">
        <v>668</v>
      </c>
      <c r="O226" s="3" t="s">
        <v>705</v>
      </c>
      <c r="P226" s="3" t="s">
        <v>708</v>
      </c>
      <c r="Q226" s="3" t="s">
        <v>713</v>
      </c>
      <c r="R226" s="3" t="s">
        <v>729</v>
      </c>
      <c r="S226" s="3" t="s">
        <v>1139</v>
      </c>
      <c r="T226" s="21">
        <v>1437.39</v>
      </c>
      <c r="U226" s="21" t="str">
        <f t="shared" si="64"/>
        <v>Medium</v>
      </c>
      <c r="V226">
        <f t="shared" si="51"/>
        <v>1388.31</v>
      </c>
      <c r="W226" s="7">
        <v>1388.31</v>
      </c>
      <c r="X226" s="8">
        <v>0.13800000000000001</v>
      </c>
      <c r="Y226" s="14">
        <v>18</v>
      </c>
      <c r="Z226" s="7">
        <f t="shared" si="52"/>
        <v>191.58678</v>
      </c>
      <c r="AA226" s="7">
        <f t="shared" si="53"/>
        <v>21541.017959999997</v>
      </c>
      <c r="AB226" s="7">
        <f t="shared" si="54"/>
        <v>21349.431179999996</v>
      </c>
      <c r="AC226" s="7">
        <f t="shared" si="55"/>
        <v>25873.02</v>
      </c>
      <c r="AD226" s="7">
        <f t="shared" si="56"/>
        <v>-4332.002040000003</v>
      </c>
      <c r="AE226" s="7">
        <f t="shared" si="57"/>
        <v>-4523.5888200000045</v>
      </c>
      <c r="AF226" s="26">
        <f t="shared" si="58"/>
        <v>0.83256681902615148</v>
      </c>
      <c r="AG226" s="8">
        <f>IF(DASHBOARD!$Q$7&gt;'staging data'!X226,'staging data'!X226,DASHBOARD!$Q$7)</f>
        <v>0.13800000000000001</v>
      </c>
      <c r="AH226">
        <f>(100%+DASHBOARD!$Q$8)*'staging data'!T226</f>
        <v>1652.9984999999999</v>
      </c>
      <c r="AI226">
        <f>(100%+DASHBOARD!$Q$9)*'staging data'!Y226</f>
        <v>21.599999999999998</v>
      </c>
    </row>
    <row r="227" spans="1:35" x14ac:dyDescent="0.3">
      <c r="A227" s="3" t="s">
        <v>420</v>
      </c>
      <c r="B227" s="28">
        <v>45290</v>
      </c>
      <c r="C227" s="28" t="str">
        <f t="shared" si="59"/>
        <v>Q4</v>
      </c>
      <c r="D227" s="28" t="str">
        <f t="shared" si="60"/>
        <v>2024</v>
      </c>
      <c r="E227" s="28" t="str">
        <f t="shared" si="61"/>
        <v>Dec</v>
      </c>
      <c r="F227" s="5">
        <v>45646</v>
      </c>
      <c r="G227" s="5">
        <f t="shared" si="49"/>
        <v>45671</v>
      </c>
      <c r="H227" s="5">
        <v>45671</v>
      </c>
      <c r="I227" s="5" t="str">
        <f t="shared" si="62"/>
        <v>Achieved</v>
      </c>
      <c r="J227" s="14">
        <f t="shared" si="63"/>
        <v>25</v>
      </c>
      <c r="K227" s="14">
        <f t="shared" si="50"/>
        <v>25</v>
      </c>
      <c r="L227" s="3" t="s">
        <v>646</v>
      </c>
      <c r="M227" s="3" t="s">
        <v>653</v>
      </c>
      <c r="N227" s="3" t="s">
        <v>679</v>
      </c>
      <c r="O227" s="3" t="s">
        <v>704</v>
      </c>
      <c r="P227" s="3" t="s">
        <v>706</v>
      </c>
      <c r="Q227" s="3" t="s">
        <v>723</v>
      </c>
      <c r="R227" s="3" t="s">
        <v>727</v>
      </c>
      <c r="S227" s="3" t="s">
        <v>1138</v>
      </c>
      <c r="T227" s="21">
        <v>1361.34</v>
      </c>
      <c r="U227" s="21" t="str">
        <f t="shared" si="64"/>
        <v>Medium</v>
      </c>
      <c r="V227">
        <f t="shared" si="51"/>
        <v>1737.9</v>
      </c>
      <c r="W227" s="7">
        <v>1737.9</v>
      </c>
      <c r="X227" s="8">
        <v>7.6999999999999999E-2</v>
      </c>
      <c r="Y227" s="14">
        <v>14</v>
      </c>
      <c r="Z227" s="7">
        <f t="shared" si="52"/>
        <v>133.81829999999999</v>
      </c>
      <c r="AA227" s="7">
        <f t="shared" si="53"/>
        <v>22457.143800000002</v>
      </c>
      <c r="AB227" s="7">
        <f t="shared" si="54"/>
        <v>22323.325500000003</v>
      </c>
      <c r="AC227" s="7">
        <f t="shared" si="55"/>
        <v>19058.759999999998</v>
      </c>
      <c r="AD227" s="7">
        <f t="shared" si="56"/>
        <v>3398.3838000000032</v>
      </c>
      <c r="AE227" s="7">
        <f t="shared" si="57"/>
        <v>3264.5655000000042</v>
      </c>
      <c r="AF227" s="26">
        <f t="shared" si="58"/>
        <v>1.1783108554806296</v>
      </c>
      <c r="AG227" s="8">
        <f>IF(DASHBOARD!$Q$7&gt;'staging data'!X227,'staging data'!X227,DASHBOARD!$Q$7)</f>
        <v>7.6999999999999999E-2</v>
      </c>
      <c r="AH227">
        <f>(100%+DASHBOARD!$Q$8)*'staging data'!T227</f>
        <v>1565.5409999999997</v>
      </c>
      <c r="AI227">
        <f>(100%+DASHBOARD!$Q$9)*'staging data'!Y227</f>
        <v>16.8</v>
      </c>
    </row>
    <row r="228" spans="1:35" x14ac:dyDescent="0.3">
      <c r="A228" s="3" t="s">
        <v>419</v>
      </c>
      <c r="B228" s="28">
        <v>45292</v>
      </c>
      <c r="C228" s="28" t="str">
        <f t="shared" si="59"/>
        <v>Q1</v>
      </c>
      <c r="D228" s="28" t="str">
        <f t="shared" si="60"/>
        <v>2023</v>
      </c>
      <c r="E228" s="28" t="str">
        <f t="shared" si="61"/>
        <v>Mar</v>
      </c>
      <c r="F228" s="5">
        <v>44991</v>
      </c>
      <c r="G228" s="5">
        <f t="shared" si="49"/>
        <v>45020</v>
      </c>
      <c r="H228" s="5">
        <v>45020</v>
      </c>
      <c r="I228" s="5" t="str">
        <f t="shared" si="62"/>
        <v>Achieved</v>
      </c>
      <c r="J228" s="14">
        <f t="shared" si="63"/>
        <v>29</v>
      </c>
      <c r="K228" s="14">
        <f t="shared" si="50"/>
        <v>29</v>
      </c>
      <c r="L228" s="3" t="s">
        <v>646</v>
      </c>
      <c r="M228" s="3" t="s">
        <v>658</v>
      </c>
      <c r="N228" s="3" t="s">
        <v>698</v>
      </c>
      <c r="O228" s="3" t="s">
        <v>704</v>
      </c>
      <c r="P228" s="3" t="s">
        <v>710</v>
      </c>
      <c r="Q228" s="3" t="s">
        <v>711</v>
      </c>
      <c r="R228" s="3" t="s">
        <v>731</v>
      </c>
      <c r="S228" s="3" t="s">
        <v>1137</v>
      </c>
      <c r="T228" s="21">
        <v>1126.29</v>
      </c>
      <c r="U228" s="21" t="str">
        <f t="shared" si="64"/>
        <v>High</v>
      </c>
      <c r="V228">
        <f t="shared" si="51"/>
        <v>2050.87</v>
      </c>
      <c r="W228" s="7">
        <v>2050.87</v>
      </c>
      <c r="X228" s="8">
        <v>6.4000000000000001E-2</v>
      </c>
      <c r="Y228" s="14">
        <v>7</v>
      </c>
      <c r="Z228" s="7">
        <f t="shared" si="52"/>
        <v>131.25567999999998</v>
      </c>
      <c r="AA228" s="7">
        <f t="shared" si="53"/>
        <v>13437.300239999999</v>
      </c>
      <c r="AB228" s="7">
        <f t="shared" si="54"/>
        <v>13306.044559999998</v>
      </c>
      <c r="AC228" s="7">
        <f t="shared" si="55"/>
        <v>7884.03</v>
      </c>
      <c r="AD228" s="7">
        <f t="shared" si="56"/>
        <v>5553.2702399999989</v>
      </c>
      <c r="AE228" s="7">
        <f t="shared" si="57"/>
        <v>5422.0145599999987</v>
      </c>
      <c r="AF228" s="26">
        <f t="shared" si="58"/>
        <v>1.7043694963108966</v>
      </c>
      <c r="AG228" s="8">
        <f>IF(DASHBOARD!$Q$7&gt;'staging data'!X228,'staging data'!X228,DASHBOARD!$Q$7)</f>
        <v>6.4000000000000001E-2</v>
      </c>
      <c r="AH228">
        <f>(100%+DASHBOARD!$Q$8)*'staging data'!T228</f>
        <v>1295.2334999999998</v>
      </c>
      <c r="AI228">
        <f>(100%+DASHBOARD!$Q$9)*'staging data'!Y228</f>
        <v>8.4</v>
      </c>
    </row>
    <row r="229" spans="1:35" x14ac:dyDescent="0.3">
      <c r="A229" s="3" t="s">
        <v>416</v>
      </c>
      <c r="B229" s="28">
        <v>45293</v>
      </c>
      <c r="C229" s="28" t="str">
        <f t="shared" si="59"/>
        <v>Q1</v>
      </c>
      <c r="D229" s="28" t="str">
        <f t="shared" si="60"/>
        <v>2024</v>
      </c>
      <c r="E229" s="28" t="str">
        <f t="shared" si="61"/>
        <v>Nov</v>
      </c>
      <c r="F229" s="5">
        <v>45601</v>
      </c>
      <c r="G229" s="5">
        <f t="shared" si="49"/>
        <v>45604</v>
      </c>
      <c r="H229" s="5">
        <v>45604</v>
      </c>
      <c r="I229" s="5" t="str">
        <f t="shared" si="62"/>
        <v>Not achieved</v>
      </c>
      <c r="J229" s="14">
        <f t="shared" si="63"/>
        <v>3</v>
      </c>
      <c r="K229" s="14">
        <f t="shared" si="50"/>
        <v>3</v>
      </c>
      <c r="L229" s="3" t="s">
        <v>647</v>
      </c>
      <c r="M229" s="3" t="s">
        <v>652</v>
      </c>
      <c r="N229" s="3" t="s">
        <v>666</v>
      </c>
      <c r="O229" s="3" t="s">
        <v>701</v>
      </c>
      <c r="P229" s="3" t="s">
        <v>708</v>
      </c>
      <c r="Q229" s="3" t="s">
        <v>718</v>
      </c>
      <c r="R229" s="3" t="s">
        <v>726</v>
      </c>
      <c r="S229" s="3" t="s">
        <v>1134</v>
      </c>
      <c r="T229" s="21">
        <v>1020.4</v>
      </c>
      <c r="U229" s="21" t="str">
        <f t="shared" si="64"/>
        <v>Medium</v>
      </c>
      <c r="V229">
        <f t="shared" si="51"/>
        <v>1184.71</v>
      </c>
      <c r="W229" s="7">
        <v>1184.71</v>
      </c>
      <c r="X229" s="8">
        <v>0.106</v>
      </c>
      <c r="Y229" s="14">
        <v>16</v>
      </c>
      <c r="Z229" s="7">
        <f t="shared" si="52"/>
        <v>125.57926</v>
      </c>
      <c r="AA229" s="7">
        <f t="shared" si="53"/>
        <v>16946.091840000001</v>
      </c>
      <c r="AB229" s="7">
        <f t="shared" si="54"/>
        <v>16820.512580000002</v>
      </c>
      <c r="AC229" s="7">
        <f t="shared" si="55"/>
        <v>16326.4</v>
      </c>
      <c r="AD229" s="7">
        <f t="shared" si="56"/>
        <v>619.69184000000132</v>
      </c>
      <c r="AE229" s="7">
        <f t="shared" si="57"/>
        <v>494.11258000000271</v>
      </c>
      <c r="AF229" s="26">
        <f t="shared" si="58"/>
        <v>1.0379564288514309</v>
      </c>
      <c r="AG229" s="8">
        <f>IF(DASHBOARD!$Q$7&gt;'staging data'!X229,'staging data'!X229,DASHBOARD!$Q$7)</f>
        <v>0.106</v>
      </c>
      <c r="AH229">
        <f>(100%+DASHBOARD!$Q$8)*'staging data'!T229</f>
        <v>1173.4599999999998</v>
      </c>
      <c r="AI229">
        <f>(100%+DASHBOARD!$Q$9)*'staging data'!Y229</f>
        <v>19.2</v>
      </c>
    </row>
    <row r="230" spans="1:35" x14ac:dyDescent="0.3">
      <c r="A230" s="3" t="s">
        <v>417</v>
      </c>
      <c r="B230" s="28">
        <v>45293</v>
      </c>
      <c r="C230" s="28" t="str">
        <f t="shared" si="59"/>
        <v>Q1</v>
      </c>
      <c r="D230" s="28" t="str">
        <f t="shared" si="60"/>
        <v>2024</v>
      </c>
      <c r="E230" s="28" t="str">
        <f t="shared" si="61"/>
        <v>Jul</v>
      </c>
      <c r="F230" s="5">
        <v>45497</v>
      </c>
      <c r="G230" s="5">
        <f t="shared" si="49"/>
        <v>45512</v>
      </c>
      <c r="H230" s="5">
        <v>45512</v>
      </c>
      <c r="I230" s="5" t="str">
        <f t="shared" si="62"/>
        <v>Achieved</v>
      </c>
      <c r="J230" s="14">
        <f t="shared" si="63"/>
        <v>15</v>
      </c>
      <c r="K230" s="14">
        <f t="shared" si="50"/>
        <v>15</v>
      </c>
      <c r="L230" s="3" t="s">
        <v>648</v>
      </c>
      <c r="M230" s="3" t="s">
        <v>656</v>
      </c>
      <c r="N230" s="3" t="s">
        <v>672</v>
      </c>
      <c r="O230" s="3" t="s">
        <v>705</v>
      </c>
      <c r="P230" s="3" t="s">
        <v>708</v>
      </c>
      <c r="Q230" s="3" t="s">
        <v>721</v>
      </c>
      <c r="R230" s="3" t="s">
        <v>730</v>
      </c>
      <c r="S230" s="3" t="s">
        <v>1135</v>
      </c>
      <c r="T230" s="21">
        <v>501.5</v>
      </c>
      <c r="U230" s="21" t="str">
        <f t="shared" si="64"/>
        <v>Medium</v>
      </c>
      <c r="V230">
        <f t="shared" si="51"/>
        <v>1201.47</v>
      </c>
      <c r="W230" s="7">
        <v>1201.47</v>
      </c>
      <c r="X230" s="8">
        <v>0.126</v>
      </c>
      <c r="Y230" s="14">
        <v>5</v>
      </c>
      <c r="Z230" s="7">
        <f t="shared" si="52"/>
        <v>151.38522</v>
      </c>
      <c r="AA230" s="7">
        <f t="shared" si="53"/>
        <v>5250.4239000000007</v>
      </c>
      <c r="AB230" s="7">
        <f t="shared" si="54"/>
        <v>5099.0386800000006</v>
      </c>
      <c r="AC230" s="7">
        <f t="shared" si="55"/>
        <v>2507.5</v>
      </c>
      <c r="AD230" s="7">
        <f t="shared" si="56"/>
        <v>2742.9239000000007</v>
      </c>
      <c r="AE230" s="7">
        <f t="shared" si="57"/>
        <v>2591.5386800000006</v>
      </c>
      <c r="AF230" s="26">
        <f t="shared" si="58"/>
        <v>2.0938878963110672</v>
      </c>
      <c r="AG230" s="8">
        <f>IF(DASHBOARD!$Q$7&gt;'staging data'!X230,'staging data'!X230,DASHBOARD!$Q$7)</f>
        <v>0.126</v>
      </c>
      <c r="AH230">
        <f>(100%+DASHBOARD!$Q$8)*'staging data'!T230</f>
        <v>576.72499999999991</v>
      </c>
      <c r="AI230">
        <f>(100%+DASHBOARD!$Q$9)*'staging data'!Y230</f>
        <v>6</v>
      </c>
    </row>
    <row r="231" spans="1:35" x14ac:dyDescent="0.3">
      <c r="A231" s="3" t="s">
        <v>418</v>
      </c>
      <c r="B231" s="28">
        <v>45293</v>
      </c>
      <c r="C231" s="28" t="str">
        <f t="shared" si="59"/>
        <v>Q1</v>
      </c>
      <c r="D231" s="28" t="str">
        <f t="shared" si="60"/>
        <v>2025</v>
      </c>
      <c r="E231" s="28" t="str">
        <f t="shared" si="61"/>
        <v>Jan</v>
      </c>
      <c r="F231" s="5">
        <v>45677</v>
      </c>
      <c r="G231" s="5">
        <f t="shared" si="49"/>
        <v>45691</v>
      </c>
      <c r="H231" s="5">
        <v>45691</v>
      </c>
      <c r="I231" s="5" t="str">
        <f t="shared" si="62"/>
        <v>Achieved</v>
      </c>
      <c r="J231" s="14">
        <f t="shared" si="63"/>
        <v>14</v>
      </c>
      <c r="K231" s="14">
        <f t="shared" si="50"/>
        <v>14</v>
      </c>
      <c r="L231" s="3" t="s">
        <v>647</v>
      </c>
      <c r="M231" s="3" t="s">
        <v>654</v>
      </c>
      <c r="N231" s="3" t="s">
        <v>671</v>
      </c>
      <c r="O231" s="3" t="s">
        <v>705</v>
      </c>
      <c r="P231" s="3" t="s">
        <v>708</v>
      </c>
      <c r="Q231" s="3" t="s">
        <v>720</v>
      </c>
      <c r="R231" s="3" t="s">
        <v>726</v>
      </c>
      <c r="S231" s="3" t="s">
        <v>1136</v>
      </c>
      <c r="T231" s="21">
        <v>974.11</v>
      </c>
      <c r="U231" s="21" t="str">
        <f t="shared" si="64"/>
        <v>Medium</v>
      </c>
      <c r="V231">
        <f t="shared" si="51"/>
        <v>880.99</v>
      </c>
      <c r="W231" s="7">
        <v>880.99</v>
      </c>
      <c r="X231" s="8">
        <v>0.111</v>
      </c>
      <c r="Y231" s="14">
        <v>10</v>
      </c>
      <c r="Z231" s="7">
        <f t="shared" si="52"/>
        <v>97.78989</v>
      </c>
      <c r="AA231" s="7">
        <f t="shared" si="53"/>
        <v>7832.0010999999995</v>
      </c>
      <c r="AB231" s="7">
        <f t="shared" si="54"/>
        <v>7734.2112099999995</v>
      </c>
      <c r="AC231" s="7">
        <f t="shared" si="55"/>
        <v>9741.1</v>
      </c>
      <c r="AD231" s="7">
        <f t="shared" si="56"/>
        <v>-1909.0989000000009</v>
      </c>
      <c r="AE231" s="7">
        <f t="shared" si="57"/>
        <v>-2006.8887900000009</v>
      </c>
      <c r="AF231" s="26">
        <f t="shared" si="58"/>
        <v>0.80401608647893963</v>
      </c>
      <c r="AG231" s="8">
        <f>IF(DASHBOARD!$Q$7&gt;'staging data'!X231,'staging data'!X231,DASHBOARD!$Q$7)</f>
        <v>0.111</v>
      </c>
      <c r="AH231">
        <f>(100%+DASHBOARD!$Q$8)*'staging data'!T231</f>
        <v>1120.2265</v>
      </c>
      <c r="AI231">
        <f>(100%+DASHBOARD!$Q$9)*'staging data'!Y231</f>
        <v>12</v>
      </c>
    </row>
    <row r="232" spans="1:35" x14ac:dyDescent="0.3">
      <c r="A232" s="3" t="s">
        <v>415</v>
      </c>
      <c r="B232" s="28">
        <v>45299</v>
      </c>
      <c r="C232" s="28" t="str">
        <f t="shared" si="59"/>
        <v>Q1</v>
      </c>
      <c r="D232" s="28" t="str">
        <f t="shared" si="60"/>
        <v>2024</v>
      </c>
      <c r="E232" s="28" t="str">
        <f t="shared" si="61"/>
        <v>Aug</v>
      </c>
      <c r="F232" s="5">
        <v>45516</v>
      </c>
      <c r="G232" s="5">
        <f t="shared" si="49"/>
        <v>45519</v>
      </c>
      <c r="H232" s="5">
        <v>45519</v>
      </c>
      <c r="I232" s="5" t="str">
        <f t="shared" si="62"/>
        <v>Not achieved</v>
      </c>
      <c r="J232" s="14">
        <f t="shared" si="63"/>
        <v>3</v>
      </c>
      <c r="K232" s="14">
        <f t="shared" si="50"/>
        <v>3</v>
      </c>
      <c r="L232" s="3" t="s">
        <v>647</v>
      </c>
      <c r="M232" s="3" t="s">
        <v>659</v>
      </c>
      <c r="N232" s="3" t="s">
        <v>676</v>
      </c>
      <c r="O232" s="3" t="s">
        <v>700</v>
      </c>
      <c r="P232" s="3" t="s">
        <v>708</v>
      </c>
      <c r="Q232" s="3" t="s">
        <v>725</v>
      </c>
      <c r="R232" s="3" t="s">
        <v>727</v>
      </c>
      <c r="S232" s="3" t="s">
        <v>1133</v>
      </c>
      <c r="T232" s="21">
        <v>850.7</v>
      </c>
      <c r="U232" s="21" t="str">
        <f t="shared" si="64"/>
        <v>Medium</v>
      </c>
      <c r="V232">
        <f t="shared" si="51"/>
        <v>1118.56</v>
      </c>
      <c r="W232" s="7">
        <v>1118.56</v>
      </c>
      <c r="X232" s="8">
        <v>0.18</v>
      </c>
      <c r="Y232" s="14">
        <v>19</v>
      </c>
      <c r="Z232" s="7">
        <f t="shared" si="52"/>
        <v>201.34079999999997</v>
      </c>
      <c r="AA232" s="7">
        <f t="shared" si="53"/>
        <v>17427.164800000002</v>
      </c>
      <c r="AB232" s="7">
        <f t="shared" si="54"/>
        <v>17225.824000000001</v>
      </c>
      <c r="AC232" s="7">
        <f t="shared" si="55"/>
        <v>16163.300000000001</v>
      </c>
      <c r="AD232" s="7">
        <f t="shared" si="56"/>
        <v>1263.8648000000012</v>
      </c>
      <c r="AE232" s="7">
        <f t="shared" si="57"/>
        <v>1062.5239999999994</v>
      </c>
      <c r="AF232" s="26">
        <f t="shared" si="58"/>
        <v>1.0781934877159987</v>
      </c>
      <c r="AG232" s="8">
        <f>IF(DASHBOARD!$Q$7&gt;'staging data'!X232,'staging data'!X232,DASHBOARD!$Q$7)</f>
        <v>0.18</v>
      </c>
      <c r="AH232">
        <f>(100%+DASHBOARD!$Q$8)*'staging data'!T232</f>
        <v>978.30499999999995</v>
      </c>
      <c r="AI232">
        <f>(100%+DASHBOARD!$Q$9)*'staging data'!Y232</f>
        <v>22.8</v>
      </c>
    </row>
    <row r="233" spans="1:35" x14ac:dyDescent="0.3">
      <c r="A233" s="3" t="s">
        <v>414</v>
      </c>
      <c r="B233" s="28">
        <v>45301</v>
      </c>
      <c r="C233" s="28" t="str">
        <f t="shared" si="59"/>
        <v>Q1</v>
      </c>
      <c r="D233" s="28" t="str">
        <f t="shared" si="60"/>
        <v>2025</v>
      </c>
      <c r="E233" s="28" t="str">
        <f t="shared" si="61"/>
        <v>Apr</v>
      </c>
      <c r="F233" s="5">
        <v>45759</v>
      </c>
      <c r="G233" s="5">
        <f t="shared" si="49"/>
        <v>45777</v>
      </c>
      <c r="H233" s="5">
        <v>45777</v>
      </c>
      <c r="I233" s="5" t="str">
        <f t="shared" si="62"/>
        <v>Achieved</v>
      </c>
      <c r="J233" s="14">
        <f t="shared" si="63"/>
        <v>18</v>
      </c>
      <c r="K233" s="14">
        <f t="shared" si="50"/>
        <v>18</v>
      </c>
      <c r="L233" s="3" t="s">
        <v>645</v>
      </c>
      <c r="M233" s="3" t="s">
        <v>649</v>
      </c>
      <c r="N233" s="3" t="s">
        <v>661</v>
      </c>
      <c r="O233" s="3" t="s">
        <v>700</v>
      </c>
      <c r="P233" s="3" t="s">
        <v>708</v>
      </c>
      <c r="Q233" s="3" t="s">
        <v>720</v>
      </c>
      <c r="R233" s="3" t="s">
        <v>728</v>
      </c>
      <c r="S233" s="3" t="s">
        <v>1132</v>
      </c>
      <c r="T233" s="21">
        <v>1119.04</v>
      </c>
      <c r="U233" s="21" t="str">
        <f t="shared" si="64"/>
        <v>Medium</v>
      </c>
      <c r="V233">
        <f t="shared" si="51"/>
        <v>1299.02</v>
      </c>
      <c r="W233" s="7">
        <v>1299.02</v>
      </c>
      <c r="X233" s="8">
        <v>2.5000000000000001E-2</v>
      </c>
      <c r="Y233" s="14">
        <v>14</v>
      </c>
      <c r="Z233" s="7">
        <f t="shared" si="52"/>
        <v>32.475500000000004</v>
      </c>
      <c r="AA233" s="7">
        <f t="shared" si="53"/>
        <v>17731.623</v>
      </c>
      <c r="AB233" s="7">
        <f t="shared" si="54"/>
        <v>17699.147499999999</v>
      </c>
      <c r="AC233" s="7">
        <f t="shared" si="55"/>
        <v>15666.56</v>
      </c>
      <c r="AD233" s="7">
        <f t="shared" si="56"/>
        <v>2065.0630000000001</v>
      </c>
      <c r="AE233" s="7">
        <f t="shared" si="57"/>
        <v>2032.5874999999996</v>
      </c>
      <c r="AF233" s="26">
        <f t="shared" si="58"/>
        <v>1.1318134293680298</v>
      </c>
      <c r="AG233" s="8">
        <f>IF(DASHBOARD!$Q$7&gt;'staging data'!X233,'staging data'!X233,DASHBOARD!$Q$7)</f>
        <v>2.5000000000000001E-2</v>
      </c>
      <c r="AH233">
        <f>(100%+DASHBOARD!$Q$8)*'staging data'!T233</f>
        <v>1286.896</v>
      </c>
      <c r="AI233">
        <f>(100%+DASHBOARD!$Q$9)*'staging data'!Y233</f>
        <v>16.8</v>
      </c>
    </row>
    <row r="234" spans="1:35" x14ac:dyDescent="0.3">
      <c r="A234" s="3" t="s">
        <v>412</v>
      </c>
      <c r="B234" s="28">
        <v>45302</v>
      </c>
      <c r="C234" s="28" t="str">
        <f t="shared" si="59"/>
        <v>Q1</v>
      </c>
      <c r="D234" s="28" t="str">
        <f t="shared" si="60"/>
        <v>2025</v>
      </c>
      <c r="E234" s="28" t="str">
        <f t="shared" si="61"/>
        <v>Sept</v>
      </c>
      <c r="F234" s="5">
        <v>45914</v>
      </c>
      <c r="G234" s="5">
        <f t="shared" si="49"/>
        <v>45923</v>
      </c>
      <c r="H234" s="5">
        <v>45923</v>
      </c>
      <c r="I234" s="5" t="str">
        <f t="shared" si="62"/>
        <v>Achieved</v>
      </c>
      <c r="J234" s="14">
        <f t="shared" si="63"/>
        <v>9</v>
      </c>
      <c r="K234" s="14">
        <f t="shared" si="50"/>
        <v>9</v>
      </c>
      <c r="L234" s="3" t="s">
        <v>645</v>
      </c>
      <c r="M234" s="3" t="s">
        <v>660</v>
      </c>
      <c r="N234" s="3" t="s">
        <v>686</v>
      </c>
      <c r="O234" s="3" t="s">
        <v>702</v>
      </c>
      <c r="P234" s="3" t="s">
        <v>707</v>
      </c>
      <c r="Q234" s="3" t="s">
        <v>725</v>
      </c>
      <c r="R234" s="3" t="s">
        <v>726</v>
      </c>
      <c r="S234" s="3" t="s">
        <v>1130</v>
      </c>
      <c r="T234" s="21">
        <v>1310.3</v>
      </c>
      <c r="U234" s="21" t="str">
        <f t="shared" si="64"/>
        <v>High</v>
      </c>
      <c r="V234">
        <f t="shared" si="51"/>
        <v>2875.8</v>
      </c>
      <c r="W234" s="7">
        <v>2875.8</v>
      </c>
      <c r="X234" s="8">
        <v>8.3000000000000004E-2</v>
      </c>
      <c r="Y234" s="14">
        <v>5</v>
      </c>
      <c r="Z234" s="7">
        <f t="shared" si="52"/>
        <v>238.69140000000002</v>
      </c>
      <c r="AA234" s="7">
        <f t="shared" si="53"/>
        <v>13185.543</v>
      </c>
      <c r="AB234" s="7">
        <f t="shared" si="54"/>
        <v>12946.8516</v>
      </c>
      <c r="AC234" s="7">
        <f t="shared" si="55"/>
        <v>6551.5</v>
      </c>
      <c r="AD234" s="7">
        <f t="shared" si="56"/>
        <v>6634.0429999999997</v>
      </c>
      <c r="AE234" s="7">
        <f t="shared" si="57"/>
        <v>6395.3516</v>
      </c>
      <c r="AF234" s="26">
        <f t="shared" si="58"/>
        <v>2.0125990994428755</v>
      </c>
      <c r="AG234" s="8">
        <f>IF(DASHBOARD!$Q$7&gt;'staging data'!X234,'staging data'!X234,DASHBOARD!$Q$7)</f>
        <v>8.3000000000000004E-2</v>
      </c>
      <c r="AH234">
        <f>(100%+DASHBOARD!$Q$8)*'staging data'!T234</f>
        <v>1506.8449999999998</v>
      </c>
      <c r="AI234">
        <f>(100%+DASHBOARD!$Q$9)*'staging data'!Y234</f>
        <v>6</v>
      </c>
    </row>
    <row r="235" spans="1:35" x14ac:dyDescent="0.3">
      <c r="A235" s="3" t="s">
        <v>413</v>
      </c>
      <c r="B235" s="28">
        <v>45302</v>
      </c>
      <c r="C235" s="28" t="str">
        <f t="shared" si="59"/>
        <v>Q1</v>
      </c>
      <c r="D235" s="28" t="str">
        <f t="shared" si="60"/>
        <v>2024</v>
      </c>
      <c r="E235" s="28" t="str">
        <f t="shared" si="61"/>
        <v>Sept</v>
      </c>
      <c r="F235" s="5">
        <v>45541</v>
      </c>
      <c r="G235" s="5">
        <f t="shared" si="49"/>
        <v>45569</v>
      </c>
      <c r="H235" s="5">
        <v>45569</v>
      </c>
      <c r="I235" s="5" t="str">
        <f t="shared" si="62"/>
        <v>Achieved</v>
      </c>
      <c r="J235" s="14">
        <f t="shared" si="63"/>
        <v>28</v>
      </c>
      <c r="K235" s="14">
        <f t="shared" si="50"/>
        <v>28</v>
      </c>
      <c r="L235" s="3" t="s">
        <v>645</v>
      </c>
      <c r="M235" s="3" t="s">
        <v>660</v>
      </c>
      <c r="N235" s="3" t="s">
        <v>694</v>
      </c>
      <c r="O235" s="3" t="s">
        <v>700</v>
      </c>
      <c r="P235" s="3" t="s">
        <v>708</v>
      </c>
      <c r="Q235" s="3" t="s">
        <v>725</v>
      </c>
      <c r="R235" s="3" t="s">
        <v>731</v>
      </c>
      <c r="S235" s="3" t="s">
        <v>1131</v>
      </c>
      <c r="T235" s="21">
        <v>1174.17</v>
      </c>
      <c r="U235" s="21" t="str">
        <f t="shared" si="64"/>
        <v>Medium</v>
      </c>
      <c r="V235">
        <f t="shared" si="51"/>
        <v>1641.61</v>
      </c>
      <c r="W235" s="7">
        <v>1641.61</v>
      </c>
      <c r="X235" s="8">
        <v>0.122</v>
      </c>
      <c r="Y235" s="14">
        <v>9</v>
      </c>
      <c r="Z235" s="7">
        <f t="shared" si="52"/>
        <v>200.27641999999997</v>
      </c>
      <c r="AA235" s="7">
        <f t="shared" si="53"/>
        <v>12972.00222</v>
      </c>
      <c r="AB235" s="7">
        <f t="shared" si="54"/>
        <v>12771.7258</v>
      </c>
      <c r="AC235" s="7">
        <f t="shared" si="55"/>
        <v>10567.53</v>
      </c>
      <c r="AD235" s="7">
        <f t="shared" si="56"/>
        <v>2404.4722199999997</v>
      </c>
      <c r="AE235" s="7">
        <f t="shared" si="57"/>
        <v>2204.1957999999995</v>
      </c>
      <c r="AF235" s="26">
        <f t="shared" si="58"/>
        <v>1.2275339857090539</v>
      </c>
      <c r="AG235" s="8">
        <f>IF(DASHBOARD!$Q$7&gt;'staging data'!X235,'staging data'!X235,DASHBOARD!$Q$7)</f>
        <v>0.122</v>
      </c>
      <c r="AH235">
        <f>(100%+DASHBOARD!$Q$8)*'staging data'!T235</f>
        <v>1350.2954999999999</v>
      </c>
      <c r="AI235">
        <f>(100%+DASHBOARD!$Q$9)*'staging data'!Y235</f>
        <v>10.799999999999999</v>
      </c>
    </row>
    <row r="236" spans="1:35" x14ac:dyDescent="0.3">
      <c r="A236" s="3" t="s">
        <v>410</v>
      </c>
      <c r="B236" s="28">
        <v>45303</v>
      </c>
      <c r="C236" s="28" t="str">
        <f t="shared" si="59"/>
        <v>Q1</v>
      </c>
      <c r="D236" s="28" t="str">
        <f t="shared" si="60"/>
        <v>2025</v>
      </c>
      <c r="E236" s="28" t="str">
        <f t="shared" si="61"/>
        <v>Aug</v>
      </c>
      <c r="F236" s="5">
        <v>45890</v>
      </c>
      <c r="G236" s="5">
        <f t="shared" si="49"/>
        <v>45914</v>
      </c>
      <c r="H236" s="5">
        <v>45914</v>
      </c>
      <c r="I236" s="5" t="str">
        <f t="shared" si="62"/>
        <v>Achieved</v>
      </c>
      <c r="J236" s="14">
        <f t="shared" si="63"/>
        <v>24</v>
      </c>
      <c r="K236" s="14">
        <f t="shared" si="50"/>
        <v>24</v>
      </c>
      <c r="L236" s="3" t="s">
        <v>648</v>
      </c>
      <c r="M236" s="3" t="s">
        <v>655</v>
      </c>
      <c r="N236" s="3" t="s">
        <v>670</v>
      </c>
      <c r="O236" s="3" t="s">
        <v>702</v>
      </c>
      <c r="P236" s="3" t="s">
        <v>707</v>
      </c>
      <c r="Q236" s="3" t="s">
        <v>719</v>
      </c>
      <c r="R236" s="3" t="s">
        <v>731</v>
      </c>
      <c r="S236" s="3" t="s">
        <v>1128</v>
      </c>
      <c r="T236" s="21">
        <v>1397.67</v>
      </c>
      <c r="U236" s="21" t="str">
        <f t="shared" si="64"/>
        <v>High</v>
      </c>
      <c r="V236">
        <f t="shared" si="51"/>
        <v>3131.37</v>
      </c>
      <c r="W236" s="7">
        <v>3131.37</v>
      </c>
      <c r="X236" s="8">
        <v>0.10299999999999999</v>
      </c>
      <c r="Y236" s="14">
        <v>20</v>
      </c>
      <c r="Z236" s="7">
        <f t="shared" si="52"/>
        <v>322.53110999999996</v>
      </c>
      <c r="AA236" s="7">
        <f t="shared" si="53"/>
        <v>56176.777799999996</v>
      </c>
      <c r="AB236" s="7">
        <f t="shared" si="54"/>
        <v>55854.246689999993</v>
      </c>
      <c r="AC236" s="7">
        <f t="shared" si="55"/>
        <v>27953.4</v>
      </c>
      <c r="AD236" s="7">
        <f t="shared" si="56"/>
        <v>28223.377799999995</v>
      </c>
      <c r="AE236" s="7">
        <f t="shared" si="57"/>
        <v>27900.846689999991</v>
      </c>
      <c r="AF236" s="26">
        <f t="shared" si="58"/>
        <v>2.0096581381871257</v>
      </c>
      <c r="AG236" s="8">
        <f>IF(DASHBOARD!$Q$7&gt;'staging data'!X236,'staging data'!X236,DASHBOARD!$Q$7)</f>
        <v>0.10299999999999999</v>
      </c>
      <c r="AH236">
        <f>(100%+DASHBOARD!$Q$8)*'staging data'!T236</f>
        <v>1607.3205</v>
      </c>
      <c r="AI236">
        <f>(100%+DASHBOARD!$Q$9)*'staging data'!Y236</f>
        <v>24</v>
      </c>
    </row>
    <row r="237" spans="1:35" x14ac:dyDescent="0.3">
      <c r="A237" s="3" t="s">
        <v>411</v>
      </c>
      <c r="B237" s="28">
        <v>45303</v>
      </c>
      <c r="C237" s="28" t="str">
        <f t="shared" si="59"/>
        <v>Q1</v>
      </c>
      <c r="D237" s="28" t="str">
        <f t="shared" si="60"/>
        <v>2024</v>
      </c>
      <c r="E237" s="28" t="str">
        <f t="shared" si="61"/>
        <v>Dec</v>
      </c>
      <c r="F237" s="5">
        <v>45638</v>
      </c>
      <c r="G237" s="5">
        <f t="shared" si="49"/>
        <v>45646</v>
      </c>
      <c r="H237" s="5">
        <v>45646</v>
      </c>
      <c r="I237" s="5" t="str">
        <f t="shared" si="62"/>
        <v>Achieved</v>
      </c>
      <c r="J237" s="14">
        <f t="shared" si="63"/>
        <v>8</v>
      </c>
      <c r="K237" s="14">
        <f t="shared" si="50"/>
        <v>8</v>
      </c>
      <c r="L237" s="3" t="s">
        <v>646</v>
      </c>
      <c r="M237" s="3" t="s">
        <v>651</v>
      </c>
      <c r="N237" s="3" t="s">
        <v>688</v>
      </c>
      <c r="O237" s="3" t="s">
        <v>700</v>
      </c>
      <c r="P237" s="3" t="s">
        <v>706</v>
      </c>
      <c r="Q237" s="3" t="s">
        <v>716</v>
      </c>
      <c r="R237" s="3" t="s">
        <v>730</v>
      </c>
      <c r="S237" s="3" t="s">
        <v>1129</v>
      </c>
      <c r="T237" s="21">
        <v>1202.47</v>
      </c>
      <c r="U237" s="21" t="str">
        <f t="shared" si="64"/>
        <v>Medium</v>
      </c>
      <c r="V237">
        <f t="shared" si="51"/>
        <v>1444.72</v>
      </c>
      <c r="W237" s="7">
        <v>1444.72</v>
      </c>
      <c r="X237" s="8">
        <v>0.24099999999999999</v>
      </c>
      <c r="Y237" s="14">
        <v>17</v>
      </c>
      <c r="Z237" s="7">
        <f t="shared" si="52"/>
        <v>348.17752000000002</v>
      </c>
      <c r="AA237" s="7">
        <f t="shared" si="53"/>
        <v>18641.222160000001</v>
      </c>
      <c r="AB237" s="7">
        <f t="shared" si="54"/>
        <v>18293.04464</v>
      </c>
      <c r="AC237" s="7">
        <f t="shared" si="55"/>
        <v>20441.990000000002</v>
      </c>
      <c r="AD237" s="7">
        <f t="shared" si="56"/>
        <v>-1800.7678400000004</v>
      </c>
      <c r="AE237" s="7">
        <f t="shared" si="57"/>
        <v>-2148.9453600000015</v>
      </c>
      <c r="AF237" s="26">
        <f t="shared" si="58"/>
        <v>0.91190838856686651</v>
      </c>
      <c r="AG237" s="8">
        <f>IF(DASHBOARD!$Q$7&gt;'staging data'!X237,'staging data'!X237,DASHBOARD!$Q$7)</f>
        <v>0.2</v>
      </c>
      <c r="AH237">
        <f>(100%+DASHBOARD!$Q$8)*'staging data'!T237</f>
        <v>1382.8405</v>
      </c>
      <c r="AI237">
        <f>(100%+DASHBOARD!$Q$9)*'staging data'!Y237</f>
        <v>20.399999999999999</v>
      </c>
    </row>
    <row r="238" spans="1:35" x14ac:dyDescent="0.3">
      <c r="A238" s="3" t="s">
        <v>407</v>
      </c>
      <c r="B238" s="28">
        <v>45304</v>
      </c>
      <c r="C238" s="28" t="str">
        <f t="shared" si="59"/>
        <v>Q1</v>
      </c>
      <c r="D238" s="28" t="str">
        <f t="shared" si="60"/>
        <v>2024</v>
      </c>
      <c r="E238" s="28" t="str">
        <f t="shared" si="61"/>
        <v>Mar</v>
      </c>
      <c r="F238" s="5">
        <v>45360</v>
      </c>
      <c r="G238" s="5">
        <f t="shared" si="49"/>
        <v>45377</v>
      </c>
      <c r="H238" s="5">
        <v>45377</v>
      </c>
      <c r="I238" s="5" t="str">
        <f t="shared" si="62"/>
        <v>Achieved</v>
      </c>
      <c r="J238" s="14">
        <f t="shared" si="63"/>
        <v>17</v>
      </c>
      <c r="K238" s="14">
        <f t="shared" si="50"/>
        <v>17</v>
      </c>
      <c r="L238" s="3" t="s">
        <v>647</v>
      </c>
      <c r="M238" s="3" t="s">
        <v>659</v>
      </c>
      <c r="N238" s="3" t="s">
        <v>685</v>
      </c>
      <c r="O238" s="3" t="s">
        <v>701</v>
      </c>
      <c r="P238" s="3" t="s">
        <v>710</v>
      </c>
      <c r="Q238" s="3" t="s">
        <v>713</v>
      </c>
      <c r="R238" s="3" t="s">
        <v>729</v>
      </c>
      <c r="S238" s="3" t="s">
        <v>1125</v>
      </c>
      <c r="T238" s="21">
        <v>1137.4100000000001</v>
      </c>
      <c r="U238" s="21" t="str">
        <f t="shared" si="64"/>
        <v>Medium</v>
      </c>
      <c r="V238">
        <f t="shared" si="51"/>
        <v>1680.93</v>
      </c>
      <c r="W238" s="7">
        <v>1680.93</v>
      </c>
      <c r="X238" s="8">
        <v>0.254</v>
      </c>
      <c r="Y238" s="14">
        <v>9</v>
      </c>
      <c r="Z238" s="7">
        <f t="shared" si="52"/>
        <v>426.95622000000003</v>
      </c>
      <c r="AA238" s="7">
        <f t="shared" si="53"/>
        <v>11285.764020000001</v>
      </c>
      <c r="AB238" s="7">
        <f t="shared" si="54"/>
        <v>10858.8078</v>
      </c>
      <c r="AC238" s="7">
        <f t="shared" si="55"/>
        <v>10236.69</v>
      </c>
      <c r="AD238" s="7">
        <f t="shared" si="56"/>
        <v>1049.07402</v>
      </c>
      <c r="AE238" s="7">
        <f t="shared" si="57"/>
        <v>622.11779999999999</v>
      </c>
      <c r="AF238" s="26">
        <f t="shared" si="58"/>
        <v>1.1024817611942923</v>
      </c>
      <c r="AG238" s="8">
        <f>IF(DASHBOARD!$Q$7&gt;'staging data'!X238,'staging data'!X238,DASHBOARD!$Q$7)</f>
        <v>0.2</v>
      </c>
      <c r="AH238">
        <f>(100%+DASHBOARD!$Q$8)*'staging data'!T238</f>
        <v>1308.0215000000001</v>
      </c>
      <c r="AI238">
        <f>(100%+DASHBOARD!$Q$9)*'staging data'!Y238</f>
        <v>10.799999999999999</v>
      </c>
    </row>
    <row r="239" spans="1:35" x14ac:dyDescent="0.3">
      <c r="A239" s="3" t="s">
        <v>408</v>
      </c>
      <c r="B239" s="28">
        <v>45304</v>
      </c>
      <c r="C239" s="28" t="str">
        <f t="shared" si="59"/>
        <v>Q1</v>
      </c>
      <c r="D239" s="28" t="str">
        <f t="shared" si="60"/>
        <v>2023</v>
      </c>
      <c r="E239" s="28" t="str">
        <f t="shared" si="61"/>
        <v>May</v>
      </c>
      <c r="F239" s="5">
        <v>45075</v>
      </c>
      <c r="G239" s="5">
        <f t="shared" si="49"/>
        <v>45097</v>
      </c>
      <c r="H239" s="5">
        <v>45097</v>
      </c>
      <c r="I239" s="5" t="str">
        <f t="shared" si="62"/>
        <v>Achieved</v>
      </c>
      <c r="J239" s="14">
        <f t="shared" si="63"/>
        <v>22</v>
      </c>
      <c r="K239" s="14">
        <f t="shared" si="50"/>
        <v>22</v>
      </c>
      <c r="L239" s="3" t="s">
        <v>648</v>
      </c>
      <c r="M239" s="3" t="s">
        <v>657</v>
      </c>
      <c r="N239" s="3" t="s">
        <v>682</v>
      </c>
      <c r="O239" s="3" t="s">
        <v>704</v>
      </c>
      <c r="P239" s="3" t="s">
        <v>710</v>
      </c>
      <c r="Q239" s="3" t="s">
        <v>722</v>
      </c>
      <c r="R239" s="3" t="s">
        <v>726</v>
      </c>
      <c r="S239" s="3" t="s">
        <v>1126</v>
      </c>
      <c r="T239" s="21">
        <v>1295.3900000000001</v>
      </c>
      <c r="U239" s="21" t="str">
        <f t="shared" si="64"/>
        <v>High</v>
      </c>
      <c r="V239">
        <f t="shared" si="51"/>
        <v>2905.06</v>
      </c>
      <c r="W239" s="7">
        <v>2905.06</v>
      </c>
      <c r="X239" s="8">
        <v>0.14799999999999999</v>
      </c>
      <c r="Y239" s="14">
        <v>8</v>
      </c>
      <c r="Z239" s="7">
        <f t="shared" si="52"/>
        <v>429.94887999999997</v>
      </c>
      <c r="AA239" s="7">
        <f t="shared" si="53"/>
        <v>19800.88896</v>
      </c>
      <c r="AB239" s="7">
        <f t="shared" si="54"/>
        <v>19370.94008</v>
      </c>
      <c r="AC239" s="7">
        <f t="shared" si="55"/>
        <v>10363.120000000001</v>
      </c>
      <c r="AD239" s="7">
        <f t="shared" si="56"/>
        <v>9437.7689599999994</v>
      </c>
      <c r="AE239" s="7">
        <f t="shared" si="57"/>
        <v>9007.8200799999995</v>
      </c>
      <c r="AF239" s="26">
        <f t="shared" si="58"/>
        <v>1.9107072927844122</v>
      </c>
      <c r="AG239" s="8">
        <f>IF(DASHBOARD!$Q$7&gt;'staging data'!X239,'staging data'!X239,DASHBOARD!$Q$7)</f>
        <v>0.14799999999999999</v>
      </c>
      <c r="AH239">
        <f>(100%+DASHBOARD!$Q$8)*'staging data'!T239</f>
        <v>1489.6985</v>
      </c>
      <c r="AI239">
        <f>(100%+DASHBOARD!$Q$9)*'staging data'!Y239</f>
        <v>9.6</v>
      </c>
    </row>
    <row r="240" spans="1:35" x14ac:dyDescent="0.3">
      <c r="A240" s="3" t="s">
        <v>409</v>
      </c>
      <c r="B240" s="28">
        <v>45304</v>
      </c>
      <c r="C240" s="28" t="str">
        <f t="shared" si="59"/>
        <v>Q1</v>
      </c>
      <c r="D240" s="28" t="str">
        <f t="shared" si="60"/>
        <v>2025</v>
      </c>
      <c r="E240" s="28" t="str">
        <f t="shared" si="61"/>
        <v>May</v>
      </c>
      <c r="F240" s="5">
        <v>45804</v>
      </c>
      <c r="G240" s="5">
        <f t="shared" si="49"/>
        <v>45816</v>
      </c>
      <c r="H240" s="5">
        <v>45816</v>
      </c>
      <c r="I240" s="5" t="str">
        <f t="shared" si="62"/>
        <v>Achieved</v>
      </c>
      <c r="J240" s="14">
        <f t="shared" si="63"/>
        <v>12</v>
      </c>
      <c r="K240" s="14">
        <f t="shared" si="50"/>
        <v>12</v>
      </c>
      <c r="L240" s="3" t="s">
        <v>646</v>
      </c>
      <c r="M240" s="3" t="s">
        <v>651</v>
      </c>
      <c r="N240" s="3" t="s">
        <v>665</v>
      </c>
      <c r="O240" s="3" t="s">
        <v>700</v>
      </c>
      <c r="P240" s="3" t="s">
        <v>706</v>
      </c>
      <c r="Q240" s="3" t="s">
        <v>721</v>
      </c>
      <c r="R240" s="3" t="s">
        <v>732</v>
      </c>
      <c r="S240" s="3" t="s">
        <v>1127</v>
      </c>
      <c r="T240" s="21">
        <v>653.6</v>
      </c>
      <c r="U240" s="21" t="str">
        <f t="shared" si="64"/>
        <v>Medium</v>
      </c>
      <c r="V240">
        <f t="shared" si="51"/>
        <v>842.09</v>
      </c>
      <c r="W240" s="7">
        <v>842.09</v>
      </c>
      <c r="X240" s="8">
        <v>9.8000000000000004E-2</v>
      </c>
      <c r="Y240" s="14">
        <v>19</v>
      </c>
      <c r="Z240" s="7">
        <f t="shared" si="52"/>
        <v>82.524820000000005</v>
      </c>
      <c r="AA240" s="7">
        <f t="shared" si="53"/>
        <v>14431.738420000001</v>
      </c>
      <c r="AB240" s="7">
        <f t="shared" si="54"/>
        <v>14349.213600000001</v>
      </c>
      <c r="AC240" s="7">
        <f t="shared" si="55"/>
        <v>12418.4</v>
      </c>
      <c r="AD240" s="7">
        <f t="shared" si="56"/>
        <v>2013.3384200000019</v>
      </c>
      <c r="AE240" s="7">
        <f t="shared" si="57"/>
        <v>1930.8136000000013</v>
      </c>
      <c r="AF240" s="26">
        <f t="shared" si="58"/>
        <v>1.162125428396573</v>
      </c>
      <c r="AG240" s="8">
        <f>IF(DASHBOARD!$Q$7&gt;'staging data'!X240,'staging data'!X240,DASHBOARD!$Q$7)</f>
        <v>9.8000000000000004E-2</v>
      </c>
      <c r="AH240">
        <f>(100%+DASHBOARD!$Q$8)*'staging data'!T240</f>
        <v>751.64</v>
      </c>
      <c r="AI240">
        <f>(100%+DASHBOARD!$Q$9)*'staging data'!Y240</f>
        <v>22.8</v>
      </c>
    </row>
    <row r="241" spans="1:35" x14ac:dyDescent="0.3">
      <c r="A241" s="3" t="s">
        <v>406</v>
      </c>
      <c r="B241" s="28">
        <v>45307</v>
      </c>
      <c r="C241" s="28" t="str">
        <f t="shared" si="59"/>
        <v>Q1</v>
      </c>
      <c r="D241" s="28" t="str">
        <f t="shared" si="60"/>
        <v>2023</v>
      </c>
      <c r="E241" s="28" t="str">
        <f t="shared" si="61"/>
        <v>Oct</v>
      </c>
      <c r="F241" s="5">
        <v>45208</v>
      </c>
      <c r="G241" s="5">
        <f t="shared" si="49"/>
        <v>45225</v>
      </c>
      <c r="H241" s="5">
        <v>45225</v>
      </c>
      <c r="I241" s="5" t="str">
        <f t="shared" si="62"/>
        <v>Achieved</v>
      </c>
      <c r="J241" s="14">
        <f t="shared" si="63"/>
        <v>17</v>
      </c>
      <c r="K241" s="14">
        <f t="shared" si="50"/>
        <v>17</v>
      </c>
      <c r="L241" s="3" t="s">
        <v>646</v>
      </c>
      <c r="M241" s="3" t="s">
        <v>658</v>
      </c>
      <c r="N241" s="3" t="s">
        <v>684</v>
      </c>
      <c r="O241" s="3" t="s">
        <v>703</v>
      </c>
      <c r="P241" s="3" t="s">
        <v>708</v>
      </c>
      <c r="Q241" s="3" t="s">
        <v>711</v>
      </c>
      <c r="R241" s="3" t="s">
        <v>726</v>
      </c>
      <c r="S241" s="3" t="s">
        <v>1124</v>
      </c>
      <c r="T241" s="21">
        <v>1132.03</v>
      </c>
      <c r="U241" s="21" t="str">
        <f t="shared" si="64"/>
        <v>High</v>
      </c>
      <c r="V241">
        <f t="shared" si="51"/>
        <v>2137.21</v>
      </c>
      <c r="W241" s="7">
        <v>2137.21</v>
      </c>
      <c r="X241" s="8">
        <v>0.35699999999999998</v>
      </c>
      <c r="Y241" s="14">
        <v>35</v>
      </c>
      <c r="Z241" s="7">
        <f t="shared" si="52"/>
        <v>762.98397</v>
      </c>
      <c r="AA241" s="7">
        <f t="shared" si="53"/>
        <v>48097.911050000002</v>
      </c>
      <c r="AB241" s="7">
        <f t="shared" si="54"/>
        <v>47334.927080000001</v>
      </c>
      <c r="AC241" s="7">
        <f t="shared" si="55"/>
        <v>39621.049999999996</v>
      </c>
      <c r="AD241" s="7">
        <f t="shared" si="56"/>
        <v>8476.8610500000068</v>
      </c>
      <c r="AE241" s="7">
        <f t="shared" si="57"/>
        <v>7713.8770800000057</v>
      </c>
      <c r="AF241" s="26">
        <f t="shared" si="58"/>
        <v>1.213948420094874</v>
      </c>
      <c r="AG241" s="8">
        <f>IF(DASHBOARD!$Q$7&gt;'staging data'!X241,'staging data'!X241,DASHBOARD!$Q$7)</f>
        <v>0.2</v>
      </c>
      <c r="AH241">
        <f>(100%+DASHBOARD!$Q$8)*'staging data'!T241</f>
        <v>1301.8344999999999</v>
      </c>
      <c r="AI241">
        <f>(100%+DASHBOARD!$Q$9)*'staging data'!Y241</f>
        <v>42</v>
      </c>
    </row>
    <row r="242" spans="1:35" x14ac:dyDescent="0.3">
      <c r="A242" s="3" t="s">
        <v>405</v>
      </c>
      <c r="B242" s="28">
        <v>45309</v>
      </c>
      <c r="C242" s="28" t="str">
        <f t="shared" si="59"/>
        <v>Q1</v>
      </c>
      <c r="D242" s="28" t="str">
        <f t="shared" si="60"/>
        <v>2024</v>
      </c>
      <c r="E242" s="28" t="str">
        <f t="shared" si="61"/>
        <v>Aug</v>
      </c>
      <c r="F242" s="5">
        <v>45514</v>
      </c>
      <c r="G242" s="5">
        <f t="shared" si="49"/>
        <v>45542</v>
      </c>
      <c r="H242" s="5">
        <v>45542</v>
      </c>
      <c r="I242" s="5" t="str">
        <f t="shared" si="62"/>
        <v>Achieved</v>
      </c>
      <c r="J242" s="14">
        <f t="shared" si="63"/>
        <v>28</v>
      </c>
      <c r="K242" s="14">
        <f t="shared" si="50"/>
        <v>28</v>
      </c>
      <c r="L242" s="3" t="s">
        <v>648</v>
      </c>
      <c r="M242" s="3" t="s">
        <v>656</v>
      </c>
      <c r="N242" s="3" t="s">
        <v>672</v>
      </c>
      <c r="O242" s="3" t="s">
        <v>702</v>
      </c>
      <c r="P242" s="3" t="s">
        <v>710</v>
      </c>
      <c r="Q242" s="3" t="s">
        <v>720</v>
      </c>
      <c r="R242" s="3" t="s">
        <v>727</v>
      </c>
      <c r="S242" s="3" t="s">
        <v>1123</v>
      </c>
      <c r="T242" s="21">
        <v>229.96</v>
      </c>
      <c r="U242" s="21" t="str">
        <f t="shared" si="64"/>
        <v>Low</v>
      </c>
      <c r="V242">
        <f t="shared" si="51"/>
        <v>564.26</v>
      </c>
      <c r="W242" s="7">
        <v>564.26</v>
      </c>
      <c r="X242" s="8">
        <v>0.105</v>
      </c>
      <c r="Y242" s="14">
        <v>5</v>
      </c>
      <c r="Z242" s="7">
        <f t="shared" si="52"/>
        <v>59.247299999999996</v>
      </c>
      <c r="AA242" s="7">
        <f t="shared" si="53"/>
        <v>2525.0635000000002</v>
      </c>
      <c r="AB242" s="7">
        <f t="shared" si="54"/>
        <v>2465.8162000000002</v>
      </c>
      <c r="AC242" s="7">
        <f t="shared" si="55"/>
        <v>1149.8</v>
      </c>
      <c r="AD242" s="7">
        <f t="shared" si="56"/>
        <v>1375.2635000000002</v>
      </c>
      <c r="AE242" s="7">
        <f t="shared" si="57"/>
        <v>1316.0162000000003</v>
      </c>
      <c r="AF242" s="26">
        <f t="shared" si="58"/>
        <v>2.1960893198817186</v>
      </c>
      <c r="AG242" s="8">
        <f>IF(DASHBOARD!$Q$7&gt;'staging data'!X242,'staging data'!X242,DASHBOARD!$Q$7)</f>
        <v>0.105</v>
      </c>
      <c r="AH242">
        <f>(100%+DASHBOARD!$Q$8)*'staging data'!T242</f>
        <v>264.45400000000001</v>
      </c>
      <c r="AI242">
        <f>(100%+DASHBOARD!$Q$9)*'staging data'!Y242</f>
        <v>6</v>
      </c>
    </row>
    <row r="243" spans="1:35" x14ac:dyDescent="0.3">
      <c r="A243" s="3" t="s">
        <v>404</v>
      </c>
      <c r="B243" s="28">
        <v>45311</v>
      </c>
      <c r="C243" s="28" t="str">
        <f t="shared" si="59"/>
        <v>Q1</v>
      </c>
      <c r="D243" s="28" t="str">
        <f t="shared" si="60"/>
        <v>2025</v>
      </c>
      <c r="E243" s="28" t="str">
        <f t="shared" si="61"/>
        <v>Jun</v>
      </c>
      <c r="F243" s="5">
        <v>45823</v>
      </c>
      <c r="G243" s="5">
        <f t="shared" si="49"/>
        <v>45838</v>
      </c>
      <c r="H243" s="5">
        <v>45838</v>
      </c>
      <c r="I243" s="5" t="str">
        <f t="shared" si="62"/>
        <v>Achieved</v>
      </c>
      <c r="J243" s="14">
        <f t="shared" si="63"/>
        <v>15</v>
      </c>
      <c r="K243" s="14">
        <f t="shared" si="50"/>
        <v>15</v>
      </c>
      <c r="L243" s="3" t="s">
        <v>645</v>
      </c>
      <c r="M243" s="3" t="s">
        <v>660</v>
      </c>
      <c r="N243" s="3" t="s">
        <v>681</v>
      </c>
      <c r="O243" s="3" t="s">
        <v>704</v>
      </c>
      <c r="P243" s="3" t="s">
        <v>710</v>
      </c>
      <c r="Q243" s="3" t="s">
        <v>711</v>
      </c>
      <c r="R243" s="3" t="s">
        <v>731</v>
      </c>
      <c r="S243" s="3" t="s">
        <v>1122</v>
      </c>
      <c r="T243" s="21">
        <v>1487.59</v>
      </c>
      <c r="U243" s="21" t="str">
        <f t="shared" si="64"/>
        <v>Medium</v>
      </c>
      <c r="V243">
        <f t="shared" si="51"/>
        <v>1480.83</v>
      </c>
      <c r="W243" s="7">
        <v>1480.83</v>
      </c>
      <c r="X243" s="8">
        <v>8.9999999999999993E-3</v>
      </c>
      <c r="Y243" s="14">
        <v>11</v>
      </c>
      <c r="Z243" s="7">
        <f t="shared" si="52"/>
        <v>13.327469999999998</v>
      </c>
      <c r="AA243" s="7">
        <f t="shared" si="53"/>
        <v>16142.527829999999</v>
      </c>
      <c r="AB243" s="7">
        <f t="shared" si="54"/>
        <v>16129.200359999999</v>
      </c>
      <c r="AC243" s="7">
        <f t="shared" si="55"/>
        <v>16363.49</v>
      </c>
      <c r="AD243" s="7">
        <f t="shared" si="56"/>
        <v>-220.9621700000007</v>
      </c>
      <c r="AE243" s="7">
        <f t="shared" si="57"/>
        <v>-234.28964000000087</v>
      </c>
      <c r="AF243" s="26">
        <f t="shared" si="58"/>
        <v>0.98649663549768418</v>
      </c>
      <c r="AG243" s="8">
        <f>IF(DASHBOARD!$Q$7&gt;'staging data'!X243,'staging data'!X243,DASHBOARD!$Q$7)</f>
        <v>8.9999999999999993E-3</v>
      </c>
      <c r="AH243">
        <f>(100%+DASHBOARD!$Q$8)*'staging data'!T243</f>
        <v>1710.7284999999997</v>
      </c>
      <c r="AI243">
        <f>(100%+DASHBOARD!$Q$9)*'staging data'!Y243</f>
        <v>13.2</v>
      </c>
    </row>
    <row r="244" spans="1:35" x14ac:dyDescent="0.3">
      <c r="A244" s="3" t="s">
        <v>403</v>
      </c>
      <c r="B244" s="28">
        <v>45312</v>
      </c>
      <c r="C244" s="28" t="str">
        <f t="shared" si="59"/>
        <v>Q1</v>
      </c>
      <c r="D244" s="28" t="str">
        <f t="shared" si="60"/>
        <v>2023</v>
      </c>
      <c r="E244" s="28" t="str">
        <f t="shared" si="61"/>
        <v>Oct</v>
      </c>
      <c r="F244" s="5">
        <v>45225</v>
      </c>
      <c r="G244" s="5">
        <f t="shared" si="49"/>
        <v>45235</v>
      </c>
      <c r="H244" s="5">
        <v>45235</v>
      </c>
      <c r="I244" s="5" t="str">
        <f t="shared" si="62"/>
        <v>Achieved</v>
      </c>
      <c r="J244" s="14">
        <f t="shared" si="63"/>
        <v>10</v>
      </c>
      <c r="K244" s="14">
        <f t="shared" si="50"/>
        <v>10</v>
      </c>
      <c r="L244" s="3" t="s">
        <v>645</v>
      </c>
      <c r="M244" s="3" t="s">
        <v>660</v>
      </c>
      <c r="N244" s="3" t="s">
        <v>694</v>
      </c>
      <c r="O244" s="3" t="s">
        <v>702</v>
      </c>
      <c r="P244" s="3" t="s">
        <v>707</v>
      </c>
      <c r="Q244" s="3" t="s">
        <v>713</v>
      </c>
      <c r="R244" s="3" t="s">
        <v>730</v>
      </c>
      <c r="S244" s="3" t="s">
        <v>1121</v>
      </c>
      <c r="T244" s="21">
        <v>20.38</v>
      </c>
      <c r="U244" s="21" t="str">
        <f t="shared" si="64"/>
        <v>Low</v>
      </c>
      <c r="V244">
        <f t="shared" si="51"/>
        <v>42.56</v>
      </c>
      <c r="W244" s="7">
        <v>42.56</v>
      </c>
      <c r="X244" s="8">
        <v>7.1999999999999995E-2</v>
      </c>
      <c r="Y244" s="14">
        <v>11</v>
      </c>
      <c r="Z244" s="7">
        <f t="shared" si="52"/>
        <v>3.0643199999999999</v>
      </c>
      <c r="AA244" s="7">
        <f t="shared" si="53"/>
        <v>434.45248000000004</v>
      </c>
      <c r="AB244" s="7">
        <f t="shared" si="54"/>
        <v>431.38816000000003</v>
      </c>
      <c r="AC244" s="7">
        <f t="shared" si="55"/>
        <v>224.17999999999998</v>
      </c>
      <c r="AD244" s="7">
        <f t="shared" si="56"/>
        <v>210.27248000000006</v>
      </c>
      <c r="AE244" s="7">
        <f t="shared" si="57"/>
        <v>207.20816000000005</v>
      </c>
      <c r="AF244" s="26">
        <f t="shared" si="58"/>
        <v>1.9379627085377824</v>
      </c>
      <c r="AG244" s="8">
        <f>IF(DASHBOARD!$Q$7&gt;'staging data'!X244,'staging data'!X244,DASHBOARD!$Q$7)</f>
        <v>7.1999999999999995E-2</v>
      </c>
      <c r="AH244">
        <f>(100%+DASHBOARD!$Q$8)*'staging data'!T244</f>
        <v>23.436999999999998</v>
      </c>
      <c r="AI244">
        <f>(100%+DASHBOARD!$Q$9)*'staging data'!Y244</f>
        <v>13.2</v>
      </c>
    </row>
    <row r="245" spans="1:35" x14ac:dyDescent="0.3">
      <c r="A245" s="3" t="s">
        <v>402</v>
      </c>
      <c r="B245" s="28">
        <v>45315</v>
      </c>
      <c r="C245" s="28" t="str">
        <f t="shared" si="59"/>
        <v>Q1</v>
      </c>
      <c r="D245" s="28" t="str">
        <f t="shared" si="60"/>
        <v>2023</v>
      </c>
      <c r="E245" s="28" t="str">
        <f t="shared" si="61"/>
        <v>Sept</v>
      </c>
      <c r="F245" s="5">
        <v>45199</v>
      </c>
      <c r="G245" s="5">
        <f t="shared" si="49"/>
        <v>45202</v>
      </c>
      <c r="H245" s="5">
        <v>45202</v>
      </c>
      <c r="I245" s="5" t="str">
        <f t="shared" si="62"/>
        <v>Not achieved</v>
      </c>
      <c r="J245" s="14">
        <f t="shared" si="63"/>
        <v>3</v>
      </c>
      <c r="K245" s="14">
        <f t="shared" si="50"/>
        <v>3</v>
      </c>
      <c r="L245" s="3" t="s">
        <v>646</v>
      </c>
      <c r="M245" s="3" t="s">
        <v>658</v>
      </c>
      <c r="N245" s="3" t="s">
        <v>698</v>
      </c>
      <c r="O245" s="3" t="s">
        <v>702</v>
      </c>
      <c r="P245" s="3" t="s">
        <v>706</v>
      </c>
      <c r="Q245" s="3" t="s">
        <v>712</v>
      </c>
      <c r="R245" s="3" t="s">
        <v>730</v>
      </c>
      <c r="S245" s="3" t="s">
        <v>1120</v>
      </c>
      <c r="T245" s="21">
        <v>1019.36</v>
      </c>
      <c r="U245" s="21" t="str">
        <f t="shared" si="64"/>
        <v>Medium</v>
      </c>
      <c r="V245">
        <f t="shared" si="51"/>
        <v>972.91</v>
      </c>
      <c r="W245" s="7">
        <v>972.91</v>
      </c>
      <c r="X245" s="8">
        <v>0.14699999999999999</v>
      </c>
      <c r="Y245" s="14">
        <v>17</v>
      </c>
      <c r="Z245" s="7">
        <f t="shared" si="52"/>
        <v>143.01776999999998</v>
      </c>
      <c r="AA245" s="7">
        <f t="shared" si="53"/>
        <v>14108.16791</v>
      </c>
      <c r="AB245" s="7">
        <f t="shared" si="54"/>
        <v>13965.15014</v>
      </c>
      <c r="AC245" s="7">
        <f t="shared" si="55"/>
        <v>17329.12</v>
      </c>
      <c r="AD245" s="7">
        <f t="shared" si="56"/>
        <v>-3220.9520899999989</v>
      </c>
      <c r="AE245" s="7">
        <f t="shared" si="57"/>
        <v>-3363.9698599999992</v>
      </c>
      <c r="AF245" s="26">
        <f t="shared" si="58"/>
        <v>0.81413066041437765</v>
      </c>
      <c r="AG245" s="8">
        <f>IF(DASHBOARD!$Q$7&gt;'staging data'!X245,'staging data'!X245,DASHBOARD!$Q$7)</f>
        <v>0.14699999999999999</v>
      </c>
      <c r="AH245">
        <f>(100%+DASHBOARD!$Q$8)*'staging data'!T245</f>
        <v>1172.2639999999999</v>
      </c>
      <c r="AI245">
        <f>(100%+DASHBOARD!$Q$9)*'staging data'!Y245</f>
        <v>20.399999999999999</v>
      </c>
    </row>
    <row r="246" spans="1:35" x14ac:dyDescent="0.3">
      <c r="A246" s="3" t="s">
        <v>400</v>
      </c>
      <c r="B246" s="28">
        <v>45316</v>
      </c>
      <c r="C246" s="28" t="str">
        <f t="shared" si="59"/>
        <v>Q1</v>
      </c>
      <c r="D246" s="28" t="str">
        <f t="shared" si="60"/>
        <v>2025</v>
      </c>
      <c r="E246" s="28" t="str">
        <f t="shared" si="61"/>
        <v>May</v>
      </c>
      <c r="F246" s="5">
        <v>45789</v>
      </c>
      <c r="G246" s="5">
        <f t="shared" si="49"/>
        <v>45803</v>
      </c>
      <c r="H246" s="5">
        <v>45803</v>
      </c>
      <c r="I246" s="5" t="str">
        <f t="shared" si="62"/>
        <v>Achieved</v>
      </c>
      <c r="J246" s="14">
        <f t="shared" si="63"/>
        <v>14</v>
      </c>
      <c r="K246" s="14">
        <f t="shared" si="50"/>
        <v>14</v>
      </c>
      <c r="L246" s="3" t="s">
        <v>646</v>
      </c>
      <c r="M246" s="3" t="s">
        <v>653</v>
      </c>
      <c r="N246" s="3" t="s">
        <v>695</v>
      </c>
      <c r="O246" s="3" t="s">
        <v>700</v>
      </c>
      <c r="P246" s="3" t="s">
        <v>708</v>
      </c>
      <c r="Q246" s="3" t="s">
        <v>714</v>
      </c>
      <c r="R246" s="3" t="s">
        <v>727</v>
      </c>
      <c r="S246" s="3" t="s">
        <v>1118</v>
      </c>
      <c r="T246" s="21">
        <v>320.12</v>
      </c>
      <c r="U246" s="21" t="str">
        <f t="shared" si="64"/>
        <v>Medium</v>
      </c>
      <c r="V246">
        <f t="shared" si="51"/>
        <v>594.41999999999996</v>
      </c>
      <c r="W246" s="7">
        <v>594.41999999999996</v>
      </c>
      <c r="X246" s="8">
        <v>0.104</v>
      </c>
      <c r="Y246" s="14">
        <v>18</v>
      </c>
      <c r="Z246" s="7">
        <f t="shared" si="52"/>
        <v>61.819679999999991</v>
      </c>
      <c r="AA246" s="7">
        <f t="shared" si="53"/>
        <v>9586.8057599999993</v>
      </c>
      <c r="AB246" s="7">
        <f t="shared" si="54"/>
        <v>9524.9860799999988</v>
      </c>
      <c r="AC246" s="7">
        <f t="shared" si="55"/>
        <v>5762.16</v>
      </c>
      <c r="AD246" s="7">
        <f t="shared" si="56"/>
        <v>3824.6457599999994</v>
      </c>
      <c r="AE246" s="7">
        <f t="shared" si="57"/>
        <v>3762.8260799999989</v>
      </c>
      <c r="AF246" s="26">
        <f t="shared" si="58"/>
        <v>1.6637520929651379</v>
      </c>
      <c r="AG246" s="8">
        <f>IF(DASHBOARD!$Q$7&gt;'staging data'!X246,'staging data'!X246,DASHBOARD!$Q$7)</f>
        <v>0.104</v>
      </c>
      <c r="AH246">
        <f>(100%+DASHBOARD!$Q$8)*'staging data'!T246</f>
        <v>368.13799999999998</v>
      </c>
      <c r="AI246">
        <f>(100%+DASHBOARD!$Q$9)*'staging data'!Y246</f>
        <v>21.599999999999998</v>
      </c>
    </row>
    <row r="247" spans="1:35" x14ac:dyDescent="0.3">
      <c r="A247" s="3" t="s">
        <v>401</v>
      </c>
      <c r="B247" s="28">
        <v>45316</v>
      </c>
      <c r="C247" s="28" t="str">
        <f t="shared" si="59"/>
        <v>Q1</v>
      </c>
      <c r="D247" s="28" t="str">
        <f t="shared" si="60"/>
        <v>2024</v>
      </c>
      <c r="E247" s="28" t="str">
        <f t="shared" si="61"/>
        <v>May</v>
      </c>
      <c r="F247" s="5">
        <v>45419</v>
      </c>
      <c r="G247" s="5">
        <f t="shared" si="49"/>
        <v>45424</v>
      </c>
      <c r="H247" s="5">
        <v>45424</v>
      </c>
      <c r="I247" s="5" t="str">
        <f t="shared" si="62"/>
        <v>Not achieved</v>
      </c>
      <c r="J247" s="14">
        <f t="shared" si="63"/>
        <v>5</v>
      </c>
      <c r="K247" s="14">
        <f t="shared" si="50"/>
        <v>5</v>
      </c>
      <c r="L247" s="3" t="s">
        <v>645</v>
      </c>
      <c r="M247" s="3" t="s">
        <v>650</v>
      </c>
      <c r="N247" s="3" t="s">
        <v>668</v>
      </c>
      <c r="O247" s="3" t="s">
        <v>702</v>
      </c>
      <c r="P247" s="3" t="s">
        <v>709</v>
      </c>
      <c r="Q247" s="3" t="s">
        <v>715</v>
      </c>
      <c r="R247" s="3" t="s">
        <v>730</v>
      </c>
      <c r="S247" s="3" t="s">
        <v>1119</v>
      </c>
      <c r="T247" s="21">
        <v>1163.99</v>
      </c>
      <c r="U247" s="21" t="str">
        <f t="shared" si="64"/>
        <v>Medium</v>
      </c>
      <c r="V247">
        <f t="shared" si="51"/>
        <v>1617.85</v>
      </c>
      <c r="W247" s="7">
        <v>1617.85</v>
      </c>
      <c r="X247" s="8">
        <v>0.127</v>
      </c>
      <c r="Y247" s="14">
        <v>14</v>
      </c>
      <c r="Z247" s="7">
        <f t="shared" si="52"/>
        <v>205.46695</v>
      </c>
      <c r="AA247" s="7">
        <f t="shared" si="53"/>
        <v>19773.362699999998</v>
      </c>
      <c r="AB247" s="7">
        <f t="shared" si="54"/>
        <v>19567.895749999996</v>
      </c>
      <c r="AC247" s="7">
        <f t="shared" si="55"/>
        <v>16295.86</v>
      </c>
      <c r="AD247" s="7">
        <f t="shared" si="56"/>
        <v>3477.5026999999973</v>
      </c>
      <c r="AE247" s="7">
        <f t="shared" si="57"/>
        <v>3272.0357499999955</v>
      </c>
      <c r="AF247" s="26">
        <f t="shared" si="58"/>
        <v>1.2133979243807935</v>
      </c>
      <c r="AG247" s="8">
        <f>IF(DASHBOARD!$Q$7&gt;'staging data'!X247,'staging data'!X247,DASHBOARD!$Q$7)</f>
        <v>0.127</v>
      </c>
      <c r="AH247">
        <f>(100%+DASHBOARD!$Q$8)*'staging data'!T247</f>
        <v>1338.5884999999998</v>
      </c>
      <c r="AI247">
        <f>(100%+DASHBOARD!$Q$9)*'staging data'!Y247</f>
        <v>16.8</v>
      </c>
    </row>
    <row r="248" spans="1:35" x14ac:dyDescent="0.3">
      <c r="A248" s="3" t="s">
        <v>397</v>
      </c>
      <c r="B248" s="28">
        <v>45319</v>
      </c>
      <c r="C248" s="28" t="str">
        <f t="shared" si="59"/>
        <v>Q1</v>
      </c>
      <c r="D248" s="28" t="str">
        <f t="shared" si="60"/>
        <v>2023</v>
      </c>
      <c r="E248" s="28" t="str">
        <f t="shared" si="61"/>
        <v>Jun</v>
      </c>
      <c r="F248" s="5">
        <v>45097</v>
      </c>
      <c r="G248" s="5">
        <f t="shared" si="49"/>
        <v>45115</v>
      </c>
      <c r="H248" s="5">
        <v>45115</v>
      </c>
      <c r="I248" s="5" t="str">
        <f t="shared" si="62"/>
        <v>Achieved</v>
      </c>
      <c r="J248" s="14">
        <f t="shared" si="63"/>
        <v>18</v>
      </c>
      <c r="K248" s="14">
        <f t="shared" si="50"/>
        <v>18</v>
      </c>
      <c r="L248" s="3" t="s">
        <v>647</v>
      </c>
      <c r="M248" s="3" t="s">
        <v>659</v>
      </c>
      <c r="N248" s="3" t="s">
        <v>699</v>
      </c>
      <c r="O248" s="3" t="s">
        <v>703</v>
      </c>
      <c r="P248" s="3" t="s">
        <v>708</v>
      </c>
      <c r="Q248" s="3" t="s">
        <v>718</v>
      </c>
      <c r="R248" s="3" t="s">
        <v>728</v>
      </c>
      <c r="S248" s="3" t="s">
        <v>1115</v>
      </c>
      <c r="T248" s="21">
        <v>1145.53</v>
      </c>
      <c r="U248" s="21" t="str">
        <f t="shared" si="64"/>
        <v>Medium</v>
      </c>
      <c r="V248">
        <f t="shared" si="51"/>
        <v>1278.3</v>
      </c>
      <c r="W248" s="7">
        <v>1278.3</v>
      </c>
      <c r="X248" s="8">
        <v>0.09</v>
      </c>
      <c r="Y248" s="14">
        <v>41</v>
      </c>
      <c r="Z248" s="7">
        <f t="shared" si="52"/>
        <v>115.047</v>
      </c>
      <c r="AA248" s="7">
        <f t="shared" si="53"/>
        <v>47693.373</v>
      </c>
      <c r="AB248" s="7">
        <f t="shared" si="54"/>
        <v>47578.326000000001</v>
      </c>
      <c r="AC248" s="7">
        <f t="shared" si="55"/>
        <v>46966.729999999996</v>
      </c>
      <c r="AD248" s="7">
        <f t="shared" si="56"/>
        <v>726.64300000000367</v>
      </c>
      <c r="AE248" s="7">
        <f t="shared" si="57"/>
        <v>611.59600000000501</v>
      </c>
      <c r="AF248" s="26">
        <f t="shared" si="58"/>
        <v>1.0154714411669707</v>
      </c>
      <c r="AG248" s="8">
        <f>IF(DASHBOARD!$Q$7&gt;'staging data'!X248,'staging data'!X248,DASHBOARD!$Q$7)</f>
        <v>0.09</v>
      </c>
      <c r="AH248">
        <f>(100%+DASHBOARD!$Q$8)*'staging data'!T248</f>
        <v>1317.3594999999998</v>
      </c>
      <c r="AI248">
        <f>(100%+DASHBOARD!$Q$9)*'staging data'!Y248</f>
        <v>49.199999999999996</v>
      </c>
    </row>
    <row r="249" spans="1:35" x14ac:dyDescent="0.3">
      <c r="A249" s="3" t="s">
        <v>398</v>
      </c>
      <c r="B249" s="28">
        <v>45319</v>
      </c>
      <c r="C249" s="28" t="str">
        <f t="shared" si="59"/>
        <v>Q1</v>
      </c>
      <c r="D249" s="28" t="str">
        <f t="shared" si="60"/>
        <v>2024</v>
      </c>
      <c r="E249" s="28" t="str">
        <f t="shared" si="61"/>
        <v>Jul</v>
      </c>
      <c r="F249" s="5">
        <v>45491</v>
      </c>
      <c r="G249" s="5">
        <f t="shared" si="49"/>
        <v>45511</v>
      </c>
      <c r="H249" s="5">
        <v>45511</v>
      </c>
      <c r="I249" s="5" t="str">
        <f t="shared" si="62"/>
        <v>Achieved</v>
      </c>
      <c r="J249" s="14">
        <f t="shared" si="63"/>
        <v>20</v>
      </c>
      <c r="K249" s="14">
        <f t="shared" si="50"/>
        <v>20</v>
      </c>
      <c r="L249" s="3" t="s">
        <v>648</v>
      </c>
      <c r="M249" s="3" t="s">
        <v>656</v>
      </c>
      <c r="N249" s="3" t="s">
        <v>672</v>
      </c>
      <c r="O249" s="3" t="s">
        <v>700</v>
      </c>
      <c r="P249" s="3" t="s">
        <v>706</v>
      </c>
      <c r="Q249" s="3" t="s">
        <v>720</v>
      </c>
      <c r="R249" s="3" t="s">
        <v>731</v>
      </c>
      <c r="S249" s="3" t="s">
        <v>1116</v>
      </c>
      <c r="T249" s="21">
        <v>941.35</v>
      </c>
      <c r="U249" s="21" t="str">
        <f t="shared" si="64"/>
        <v>Medium</v>
      </c>
      <c r="V249">
        <f t="shared" si="51"/>
        <v>899.83</v>
      </c>
      <c r="W249" s="7">
        <v>899.83</v>
      </c>
      <c r="X249" s="8">
        <v>5.8000000000000003E-2</v>
      </c>
      <c r="Y249" s="14">
        <v>18</v>
      </c>
      <c r="Z249" s="7">
        <f t="shared" si="52"/>
        <v>52.190140000000007</v>
      </c>
      <c r="AA249" s="7">
        <f t="shared" si="53"/>
        <v>15257.51748</v>
      </c>
      <c r="AB249" s="7">
        <f t="shared" si="54"/>
        <v>15205.32734</v>
      </c>
      <c r="AC249" s="7">
        <f t="shared" si="55"/>
        <v>16944.3</v>
      </c>
      <c r="AD249" s="7">
        <f t="shared" si="56"/>
        <v>-1686.7825199999988</v>
      </c>
      <c r="AE249" s="7">
        <f t="shared" si="57"/>
        <v>-1738.9726599999995</v>
      </c>
      <c r="AF249" s="26">
        <f t="shared" si="58"/>
        <v>0.90045133053593251</v>
      </c>
      <c r="AG249" s="8">
        <f>IF(DASHBOARD!$Q$7&gt;'staging data'!X249,'staging data'!X249,DASHBOARD!$Q$7)</f>
        <v>5.8000000000000003E-2</v>
      </c>
      <c r="AH249">
        <f>(100%+DASHBOARD!$Q$8)*'staging data'!T249</f>
        <v>1082.5525</v>
      </c>
      <c r="AI249">
        <f>(100%+DASHBOARD!$Q$9)*'staging data'!Y249</f>
        <v>21.599999999999998</v>
      </c>
    </row>
    <row r="250" spans="1:35" x14ac:dyDescent="0.3">
      <c r="A250" s="3" t="s">
        <v>399</v>
      </c>
      <c r="B250" s="28">
        <v>45319</v>
      </c>
      <c r="C250" s="28" t="str">
        <f t="shared" si="59"/>
        <v>Q1</v>
      </c>
      <c r="D250" s="28" t="str">
        <f t="shared" si="60"/>
        <v>2023</v>
      </c>
      <c r="E250" s="28" t="str">
        <f t="shared" si="61"/>
        <v>May</v>
      </c>
      <c r="F250" s="5">
        <v>45066</v>
      </c>
      <c r="G250" s="5">
        <f t="shared" si="49"/>
        <v>45096</v>
      </c>
      <c r="H250" s="5">
        <v>45096</v>
      </c>
      <c r="I250" s="5" t="str">
        <f t="shared" si="62"/>
        <v>Achieved</v>
      </c>
      <c r="J250" s="14">
        <f t="shared" si="63"/>
        <v>30</v>
      </c>
      <c r="K250" s="14">
        <f t="shared" si="50"/>
        <v>30</v>
      </c>
      <c r="L250" s="3" t="s">
        <v>646</v>
      </c>
      <c r="M250" s="3" t="s">
        <v>653</v>
      </c>
      <c r="N250" s="3" t="s">
        <v>679</v>
      </c>
      <c r="O250" s="3" t="s">
        <v>702</v>
      </c>
      <c r="P250" s="3" t="s">
        <v>708</v>
      </c>
      <c r="Q250" s="3" t="s">
        <v>721</v>
      </c>
      <c r="R250" s="3" t="s">
        <v>730</v>
      </c>
      <c r="S250" s="3" t="s">
        <v>1117</v>
      </c>
      <c r="T250" s="21">
        <v>1161.2</v>
      </c>
      <c r="U250" s="21" t="str">
        <f t="shared" si="64"/>
        <v>Medium</v>
      </c>
      <c r="V250">
        <f t="shared" si="51"/>
        <v>878.73</v>
      </c>
      <c r="W250" s="7">
        <v>878.73</v>
      </c>
      <c r="X250" s="8">
        <v>0.19</v>
      </c>
      <c r="Y250" s="14">
        <v>31</v>
      </c>
      <c r="Z250" s="7">
        <f t="shared" si="52"/>
        <v>166.95869999999999</v>
      </c>
      <c r="AA250" s="7">
        <f t="shared" si="53"/>
        <v>22064.910300000003</v>
      </c>
      <c r="AB250" s="7">
        <f t="shared" si="54"/>
        <v>21897.951600000004</v>
      </c>
      <c r="AC250" s="7">
        <f t="shared" si="55"/>
        <v>35997.200000000004</v>
      </c>
      <c r="AD250" s="7">
        <f t="shared" si="56"/>
        <v>-13932.289700000001</v>
      </c>
      <c r="AE250" s="7">
        <f t="shared" si="57"/>
        <v>-14099.2484</v>
      </c>
      <c r="AF250" s="26">
        <f t="shared" si="58"/>
        <v>0.6129618498105408</v>
      </c>
      <c r="AG250" s="8">
        <f>IF(DASHBOARD!$Q$7&gt;'staging data'!X250,'staging data'!X250,DASHBOARD!$Q$7)</f>
        <v>0.19</v>
      </c>
      <c r="AH250">
        <f>(100%+DASHBOARD!$Q$8)*'staging data'!T250</f>
        <v>1335.3799999999999</v>
      </c>
      <c r="AI250">
        <f>(100%+DASHBOARD!$Q$9)*'staging data'!Y250</f>
        <v>37.199999999999996</v>
      </c>
    </row>
    <row r="251" spans="1:35" x14ac:dyDescent="0.3">
      <c r="A251" s="3" t="s">
        <v>395</v>
      </c>
      <c r="B251" s="28">
        <v>45323</v>
      </c>
      <c r="C251" s="28" t="str">
        <f t="shared" si="59"/>
        <v>Q1</v>
      </c>
      <c r="D251" s="28" t="str">
        <f t="shared" si="60"/>
        <v>2025</v>
      </c>
      <c r="E251" s="28" t="str">
        <f t="shared" si="61"/>
        <v>Aug</v>
      </c>
      <c r="F251" s="5">
        <v>45876</v>
      </c>
      <c r="G251" s="5">
        <f t="shared" si="49"/>
        <v>45906</v>
      </c>
      <c r="H251" s="5">
        <v>45906</v>
      </c>
      <c r="I251" s="5" t="str">
        <f t="shared" si="62"/>
        <v>Achieved</v>
      </c>
      <c r="J251" s="14">
        <f t="shared" si="63"/>
        <v>30</v>
      </c>
      <c r="K251" s="14">
        <f t="shared" si="50"/>
        <v>30</v>
      </c>
      <c r="L251" s="3" t="s">
        <v>647</v>
      </c>
      <c r="M251" s="3" t="s">
        <v>652</v>
      </c>
      <c r="N251" s="3" t="s">
        <v>680</v>
      </c>
      <c r="O251" s="3" t="s">
        <v>701</v>
      </c>
      <c r="P251" s="3" t="s">
        <v>710</v>
      </c>
      <c r="Q251" s="3" t="s">
        <v>723</v>
      </c>
      <c r="R251" s="3" t="s">
        <v>728</v>
      </c>
      <c r="S251" s="3" t="s">
        <v>1113</v>
      </c>
      <c r="T251" s="21">
        <v>833.73</v>
      </c>
      <c r="U251" s="21" t="str">
        <f t="shared" si="64"/>
        <v>Medium</v>
      </c>
      <c r="V251">
        <f t="shared" si="51"/>
        <v>1116.5999999999999</v>
      </c>
      <c r="W251" s="7">
        <v>1116.5999999999999</v>
      </c>
      <c r="X251" s="8">
        <v>0.17599999999999999</v>
      </c>
      <c r="Y251" s="14">
        <v>14</v>
      </c>
      <c r="Z251" s="7">
        <f t="shared" si="52"/>
        <v>196.52159999999998</v>
      </c>
      <c r="AA251" s="7">
        <f t="shared" si="53"/>
        <v>12881.097599999999</v>
      </c>
      <c r="AB251" s="7">
        <f t="shared" si="54"/>
        <v>12684.575999999999</v>
      </c>
      <c r="AC251" s="7">
        <f t="shared" si="55"/>
        <v>11672.220000000001</v>
      </c>
      <c r="AD251" s="7">
        <f t="shared" si="56"/>
        <v>1208.877599999998</v>
      </c>
      <c r="AE251" s="7">
        <f t="shared" si="57"/>
        <v>1012.3559999999979</v>
      </c>
      <c r="AF251" s="26">
        <f t="shared" si="58"/>
        <v>1.10356878126012</v>
      </c>
      <c r="AG251" s="8">
        <f>IF(DASHBOARD!$Q$7&gt;'staging data'!X251,'staging data'!X251,DASHBOARD!$Q$7)</f>
        <v>0.17599999999999999</v>
      </c>
      <c r="AH251">
        <f>(100%+DASHBOARD!$Q$8)*'staging data'!T251</f>
        <v>958.78949999999998</v>
      </c>
      <c r="AI251">
        <f>(100%+DASHBOARD!$Q$9)*'staging data'!Y251</f>
        <v>16.8</v>
      </c>
    </row>
    <row r="252" spans="1:35" x14ac:dyDescent="0.3">
      <c r="A252" s="3" t="s">
        <v>396</v>
      </c>
      <c r="B252" s="28">
        <v>45323</v>
      </c>
      <c r="C252" s="28" t="str">
        <f t="shared" si="59"/>
        <v>Q1</v>
      </c>
      <c r="D252" s="28" t="str">
        <f t="shared" si="60"/>
        <v>2025</v>
      </c>
      <c r="E252" s="28" t="str">
        <f t="shared" si="61"/>
        <v>Jul</v>
      </c>
      <c r="F252" s="5">
        <v>45861</v>
      </c>
      <c r="G252" s="5">
        <f t="shared" si="49"/>
        <v>45886</v>
      </c>
      <c r="H252" s="5">
        <v>45886</v>
      </c>
      <c r="I252" s="5" t="str">
        <f t="shared" si="62"/>
        <v>Achieved</v>
      </c>
      <c r="J252" s="14">
        <f t="shared" si="63"/>
        <v>25</v>
      </c>
      <c r="K252" s="14">
        <f t="shared" si="50"/>
        <v>25</v>
      </c>
      <c r="L252" s="3" t="s">
        <v>648</v>
      </c>
      <c r="M252" s="3" t="s">
        <v>657</v>
      </c>
      <c r="N252" s="3" t="s">
        <v>673</v>
      </c>
      <c r="O252" s="3" t="s">
        <v>701</v>
      </c>
      <c r="P252" s="3" t="s">
        <v>707</v>
      </c>
      <c r="Q252" s="3" t="s">
        <v>713</v>
      </c>
      <c r="R252" s="3" t="s">
        <v>727</v>
      </c>
      <c r="S252" s="3" t="s">
        <v>1114</v>
      </c>
      <c r="T252" s="21">
        <v>1142.06</v>
      </c>
      <c r="U252" s="21" t="str">
        <f t="shared" si="64"/>
        <v>Medium</v>
      </c>
      <c r="V252">
        <f t="shared" si="51"/>
        <v>1455</v>
      </c>
      <c r="W252" s="7">
        <v>1455</v>
      </c>
      <c r="X252" s="8">
        <v>7.8E-2</v>
      </c>
      <c r="Y252" s="14">
        <v>28</v>
      </c>
      <c r="Z252" s="7">
        <f t="shared" si="52"/>
        <v>113.49</v>
      </c>
      <c r="AA252" s="7">
        <f t="shared" si="53"/>
        <v>37562.28</v>
      </c>
      <c r="AB252" s="7">
        <f t="shared" si="54"/>
        <v>37448.79</v>
      </c>
      <c r="AC252" s="7">
        <f t="shared" si="55"/>
        <v>31977.68</v>
      </c>
      <c r="AD252" s="7">
        <f t="shared" si="56"/>
        <v>5584.5999999999985</v>
      </c>
      <c r="AE252" s="7">
        <f t="shared" si="57"/>
        <v>5471.1100000000006</v>
      </c>
      <c r="AF252" s="26">
        <f t="shared" si="58"/>
        <v>1.1746405617918498</v>
      </c>
      <c r="AG252" s="8">
        <f>IF(DASHBOARD!$Q$7&gt;'staging data'!X252,'staging data'!X252,DASHBOARD!$Q$7)</f>
        <v>7.8E-2</v>
      </c>
      <c r="AH252">
        <f>(100%+DASHBOARD!$Q$8)*'staging data'!T252</f>
        <v>1313.3689999999999</v>
      </c>
      <c r="AI252">
        <f>(100%+DASHBOARD!$Q$9)*'staging data'!Y252</f>
        <v>33.6</v>
      </c>
    </row>
    <row r="253" spans="1:35" x14ac:dyDescent="0.3">
      <c r="A253" s="3" t="s">
        <v>393</v>
      </c>
      <c r="B253" s="28">
        <v>45325</v>
      </c>
      <c r="C253" s="28" t="str">
        <f t="shared" si="59"/>
        <v>Q1</v>
      </c>
      <c r="D253" s="28" t="str">
        <f t="shared" si="60"/>
        <v>2025</v>
      </c>
      <c r="E253" s="28" t="str">
        <f t="shared" si="61"/>
        <v>Feb</v>
      </c>
      <c r="F253" s="5">
        <v>45694</v>
      </c>
      <c r="G253" s="5">
        <f t="shared" si="49"/>
        <v>45703</v>
      </c>
      <c r="H253" s="5">
        <v>45703</v>
      </c>
      <c r="I253" s="5" t="str">
        <f t="shared" si="62"/>
        <v>Achieved</v>
      </c>
      <c r="J253" s="14">
        <f t="shared" si="63"/>
        <v>9</v>
      </c>
      <c r="K253" s="14">
        <f t="shared" si="50"/>
        <v>9</v>
      </c>
      <c r="L253" s="3" t="s">
        <v>647</v>
      </c>
      <c r="M253" s="3" t="s">
        <v>654</v>
      </c>
      <c r="N253" s="3" t="s">
        <v>669</v>
      </c>
      <c r="O253" s="3" t="s">
        <v>702</v>
      </c>
      <c r="P253" s="3" t="s">
        <v>709</v>
      </c>
      <c r="Q253" s="3" t="s">
        <v>720</v>
      </c>
      <c r="R253" s="3" t="s">
        <v>728</v>
      </c>
      <c r="S253" s="3" t="s">
        <v>1112</v>
      </c>
      <c r="T253" s="21">
        <v>837.39</v>
      </c>
      <c r="U253" s="21" t="str">
        <f t="shared" si="64"/>
        <v>Medium</v>
      </c>
      <c r="V253">
        <f t="shared" si="51"/>
        <v>1905.42</v>
      </c>
      <c r="W253" s="7">
        <v>1905.42</v>
      </c>
      <c r="X253" s="8">
        <v>3.2000000000000001E-2</v>
      </c>
      <c r="Y253" s="14">
        <v>18</v>
      </c>
      <c r="Z253" s="7">
        <f t="shared" si="52"/>
        <v>60.973440000000004</v>
      </c>
      <c r="AA253" s="7">
        <f t="shared" si="53"/>
        <v>33200.038079999998</v>
      </c>
      <c r="AB253" s="7">
        <f t="shared" si="54"/>
        <v>33139.064639999997</v>
      </c>
      <c r="AC253" s="7">
        <f t="shared" si="55"/>
        <v>15073.02</v>
      </c>
      <c r="AD253" s="7">
        <f t="shared" si="56"/>
        <v>18127.018079999998</v>
      </c>
      <c r="AE253" s="7">
        <f t="shared" si="57"/>
        <v>18066.044639999996</v>
      </c>
      <c r="AF253" s="26">
        <f t="shared" si="58"/>
        <v>2.2026135492422885</v>
      </c>
      <c r="AG253" s="8">
        <f>IF(DASHBOARD!$Q$7&gt;'staging data'!X253,'staging data'!X253,DASHBOARD!$Q$7)</f>
        <v>3.2000000000000001E-2</v>
      </c>
      <c r="AH253">
        <f>(100%+DASHBOARD!$Q$8)*'staging data'!T253</f>
        <v>962.99849999999992</v>
      </c>
      <c r="AI253">
        <f>(100%+DASHBOARD!$Q$9)*'staging data'!Y253</f>
        <v>21.599999999999998</v>
      </c>
    </row>
    <row r="254" spans="1:35" x14ac:dyDescent="0.3">
      <c r="A254" s="3" t="s">
        <v>394</v>
      </c>
      <c r="B254" s="28">
        <v>45325</v>
      </c>
      <c r="C254" s="28" t="str">
        <f t="shared" si="59"/>
        <v>Q1</v>
      </c>
      <c r="D254" s="28" t="str">
        <f t="shared" si="60"/>
        <v>2025</v>
      </c>
      <c r="E254" s="28" t="str">
        <f t="shared" si="61"/>
        <v>Jan</v>
      </c>
      <c r="F254" s="5">
        <v>45688</v>
      </c>
      <c r="G254" s="5">
        <f t="shared" si="49"/>
        <v>45705</v>
      </c>
      <c r="H254" s="5">
        <v>45705</v>
      </c>
      <c r="I254" s="5" t="str">
        <f t="shared" si="62"/>
        <v>Achieved</v>
      </c>
      <c r="J254" s="14">
        <f t="shared" si="63"/>
        <v>17</v>
      </c>
      <c r="K254" s="14">
        <f t="shared" si="50"/>
        <v>17</v>
      </c>
      <c r="L254" s="3" t="s">
        <v>648</v>
      </c>
      <c r="M254" s="3" t="s">
        <v>657</v>
      </c>
      <c r="N254" s="3" t="s">
        <v>682</v>
      </c>
      <c r="O254" s="3" t="s">
        <v>705</v>
      </c>
      <c r="P254" s="3" t="s">
        <v>706</v>
      </c>
      <c r="Q254" s="3" t="s">
        <v>721</v>
      </c>
      <c r="R254" s="3" t="s">
        <v>726</v>
      </c>
      <c r="S254" s="3" t="s">
        <v>811</v>
      </c>
      <c r="T254" s="21">
        <v>378.26</v>
      </c>
      <c r="U254" s="21" t="str">
        <f t="shared" si="64"/>
        <v>Low</v>
      </c>
      <c r="V254">
        <f t="shared" si="51"/>
        <v>541.55999999999995</v>
      </c>
      <c r="W254" s="7">
        <v>541.55999999999995</v>
      </c>
      <c r="X254" s="8">
        <v>0.16300000000000001</v>
      </c>
      <c r="Y254" s="14">
        <v>25</v>
      </c>
      <c r="Z254" s="7">
        <f t="shared" si="52"/>
        <v>88.27427999999999</v>
      </c>
      <c r="AA254" s="7">
        <f t="shared" si="53"/>
        <v>11332.142999999998</v>
      </c>
      <c r="AB254" s="7">
        <f t="shared" si="54"/>
        <v>11243.868719999999</v>
      </c>
      <c r="AC254" s="7">
        <f t="shared" si="55"/>
        <v>9456.5</v>
      </c>
      <c r="AD254" s="7">
        <f t="shared" si="56"/>
        <v>1875.6429999999982</v>
      </c>
      <c r="AE254" s="7">
        <f t="shared" si="57"/>
        <v>1787.3687199999986</v>
      </c>
      <c r="AF254" s="26">
        <f t="shared" si="58"/>
        <v>1.1983443134352032</v>
      </c>
      <c r="AG254" s="8">
        <f>IF(DASHBOARD!$Q$7&gt;'staging data'!X254,'staging data'!X254,DASHBOARD!$Q$7)</f>
        <v>0.16300000000000001</v>
      </c>
      <c r="AH254">
        <f>(100%+DASHBOARD!$Q$8)*'staging data'!T254</f>
        <v>434.99899999999997</v>
      </c>
      <c r="AI254">
        <f>(100%+DASHBOARD!$Q$9)*'staging data'!Y254</f>
        <v>30</v>
      </c>
    </row>
    <row r="255" spans="1:35" x14ac:dyDescent="0.3">
      <c r="A255" s="3" t="s">
        <v>392</v>
      </c>
      <c r="B255" s="28">
        <v>45328</v>
      </c>
      <c r="C255" s="28" t="str">
        <f t="shared" si="59"/>
        <v>Q1</v>
      </c>
      <c r="D255" s="28" t="str">
        <f t="shared" si="60"/>
        <v>2025</v>
      </c>
      <c r="E255" s="28" t="str">
        <f t="shared" si="61"/>
        <v>Jan</v>
      </c>
      <c r="F255" s="5">
        <v>45664</v>
      </c>
      <c r="G255" s="5">
        <f t="shared" si="49"/>
        <v>45677</v>
      </c>
      <c r="H255" s="5">
        <v>45677</v>
      </c>
      <c r="I255" s="5" t="str">
        <f t="shared" si="62"/>
        <v>Achieved</v>
      </c>
      <c r="J255" s="14">
        <f t="shared" si="63"/>
        <v>13</v>
      </c>
      <c r="K255" s="14">
        <f t="shared" si="50"/>
        <v>13</v>
      </c>
      <c r="L255" s="3" t="s">
        <v>645</v>
      </c>
      <c r="M255" s="3" t="s">
        <v>660</v>
      </c>
      <c r="N255" s="3" t="s">
        <v>694</v>
      </c>
      <c r="O255" s="3" t="s">
        <v>700</v>
      </c>
      <c r="P255" s="3" t="s">
        <v>710</v>
      </c>
      <c r="Q255" s="3" t="s">
        <v>722</v>
      </c>
      <c r="R255" s="3" t="s">
        <v>728</v>
      </c>
      <c r="S255" s="3" t="s">
        <v>1111</v>
      </c>
      <c r="T255" s="21">
        <v>432.13</v>
      </c>
      <c r="U255" s="21" t="str">
        <f t="shared" si="64"/>
        <v>Medium</v>
      </c>
      <c r="V255">
        <f t="shared" si="51"/>
        <v>1034.6600000000001</v>
      </c>
      <c r="W255" s="7">
        <v>1034.6600000000001</v>
      </c>
      <c r="X255" s="8">
        <v>9.1999999999999998E-2</v>
      </c>
      <c r="Y255" s="14">
        <v>7</v>
      </c>
      <c r="Z255" s="7">
        <f t="shared" si="52"/>
        <v>95.188720000000004</v>
      </c>
      <c r="AA255" s="7">
        <f t="shared" si="53"/>
        <v>6576.298960000001</v>
      </c>
      <c r="AB255" s="7">
        <f t="shared" si="54"/>
        <v>6481.1102400000009</v>
      </c>
      <c r="AC255" s="7">
        <f t="shared" si="55"/>
        <v>3024.91</v>
      </c>
      <c r="AD255" s="7">
        <f t="shared" si="56"/>
        <v>3551.3889600000011</v>
      </c>
      <c r="AE255" s="7">
        <f t="shared" si="57"/>
        <v>3456.200240000001</v>
      </c>
      <c r="AF255" s="26">
        <f t="shared" si="58"/>
        <v>2.1740478096869</v>
      </c>
      <c r="AG255" s="8">
        <f>IF(DASHBOARD!$Q$7&gt;'staging data'!X255,'staging data'!X255,DASHBOARD!$Q$7)</f>
        <v>9.1999999999999998E-2</v>
      </c>
      <c r="AH255">
        <f>(100%+DASHBOARD!$Q$8)*'staging data'!T255</f>
        <v>496.94949999999994</v>
      </c>
      <c r="AI255">
        <f>(100%+DASHBOARD!$Q$9)*'staging data'!Y255</f>
        <v>8.4</v>
      </c>
    </row>
    <row r="256" spans="1:35" x14ac:dyDescent="0.3">
      <c r="A256" s="3" t="s">
        <v>391</v>
      </c>
      <c r="B256" s="28">
        <v>45330</v>
      </c>
      <c r="C256" s="28" t="str">
        <f t="shared" si="59"/>
        <v>Q1</v>
      </c>
      <c r="D256" s="28" t="str">
        <f t="shared" si="60"/>
        <v>2023</v>
      </c>
      <c r="E256" s="28" t="str">
        <f t="shared" si="61"/>
        <v>Mar</v>
      </c>
      <c r="F256" s="5">
        <v>44998</v>
      </c>
      <c r="G256" s="5">
        <f t="shared" si="49"/>
        <v>45020</v>
      </c>
      <c r="H256" s="5">
        <v>45020</v>
      </c>
      <c r="I256" s="5" t="str">
        <f t="shared" si="62"/>
        <v>Achieved</v>
      </c>
      <c r="J256" s="14">
        <f t="shared" si="63"/>
        <v>22</v>
      </c>
      <c r="K256" s="14">
        <f t="shared" si="50"/>
        <v>22</v>
      </c>
      <c r="L256" s="3" t="s">
        <v>645</v>
      </c>
      <c r="M256" s="3" t="s">
        <v>660</v>
      </c>
      <c r="N256" s="3" t="s">
        <v>686</v>
      </c>
      <c r="O256" s="3" t="s">
        <v>704</v>
      </c>
      <c r="P256" s="3" t="s">
        <v>706</v>
      </c>
      <c r="Q256" s="3" t="s">
        <v>719</v>
      </c>
      <c r="R256" s="3" t="s">
        <v>726</v>
      </c>
      <c r="S256" s="3" t="s">
        <v>1110</v>
      </c>
      <c r="T256" s="21">
        <v>1113.7</v>
      </c>
      <c r="U256" s="21" t="str">
        <f t="shared" si="64"/>
        <v>Medium</v>
      </c>
      <c r="V256">
        <f t="shared" si="51"/>
        <v>1620.6</v>
      </c>
      <c r="W256" s="7">
        <v>1620.6</v>
      </c>
      <c r="X256" s="8">
        <v>0.13900000000000001</v>
      </c>
      <c r="Y256" s="14">
        <v>11</v>
      </c>
      <c r="Z256" s="7">
        <f t="shared" si="52"/>
        <v>225.26340000000002</v>
      </c>
      <c r="AA256" s="7">
        <f t="shared" si="53"/>
        <v>15348.702599999999</v>
      </c>
      <c r="AB256" s="7">
        <f t="shared" si="54"/>
        <v>15123.439199999999</v>
      </c>
      <c r="AC256" s="7">
        <f t="shared" si="55"/>
        <v>12250.7</v>
      </c>
      <c r="AD256" s="7">
        <f t="shared" si="56"/>
        <v>3098.002599999998</v>
      </c>
      <c r="AE256" s="7">
        <f t="shared" si="57"/>
        <v>2872.7391999999982</v>
      </c>
      <c r="AF256" s="26">
        <f t="shared" si="58"/>
        <v>1.2528837209302324</v>
      </c>
      <c r="AG256" s="8">
        <f>IF(DASHBOARD!$Q$7&gt;'staging data'!X256,'staging data'!X256,DASHBOARD!$Q$7)</f>
        <v>0.13900000000000001</v>
      </c>
      <c r="AH256">
        <f>(100%+DASHBOARD!$Q$8)*'staging data'!T256</f>
        <v>1280.7549999999999</v>
      </c>
      <c r="AI256">
        <f>(100%+DASHBOARD!$Q$9)*'staging data'!Y256</f>
        <v>13.2</v>
      </c>
    </row>
    <row r="257" spans="1:35" x14ac:dyDescent="0.3">
      <c r="A257" s="3" t="s">
        <v>390</v>
      </c>
      <c r="B257" s="28">
        <v>45333</v>
      </c>
      <c r="C257" s="28" t="str">
        <f t="shared" si="59"/>
        <v>Q1</v>
      </c>
      <c r="D257" s="28" t="str">
        <f t="shared" si="60"/>
        <v>2025</v>
      </c>
      <c r="E257" s="28" t="str">
        <f t="shared" si="61"/>
        <v>Jun</v>
      </c>
      <c r="F257" s="5">
        <v>45835</v>
      </c>
      <c r="G257" s="5">
        <f t="shared" si="49"/>
        <v>45849</v>
      </c>
      <c r="H257" s="5">
        <v>45849</v>
      </c>
      <c r="I257" s="5" t="str">
        <f t="shared" si="62"/>
        <v>Achieved</v>
      </c>
      <c r="J257" s="14">
        <f t="shared" si="63"/>
        <v>14</v>
      </c>
      <c r="K257" s="14">
        <f t="shared" si="50"/>
        <v>14</v>
      </c>
      <c r="L257" s="3" t="s">
        <v>646</v>
      </c>
      <c r="M257" s="3" t="s">
        <v>658</v>
      </c>
      <c r="N257" s="3" t="s">
        <v>684</v>
      </c>
      <c r="O257" s="3" t="s">
        <v>704</v>
      </c>
      <c r="P257" s="3" t="s">
        <v>708</v>
      </c>
      <c r="Q257" s="3" t="s">
        <v>715</v>
      </c>
      <c r="R257" s="3" t="s">
        <v>728</v>
      </c>
      <c r="S257" s="3" t="s">
        <v>1109</v>
      </c>
      <c r="T257" s="21">
        <v>1227.7</v>
      </c>
      <c r="U257" s="21" t="str">
        <f t="shared" si="64"/>
        <v>High</v>
      </c>
      <c r="V257">
        <f t="shared" si="51"/>
        <v>2197.23</v>
      </c>
      <c r="W257" s="7">
        <v>2197.23</v>
      </c>
      <c r="X257" s="8">
        <v>9.9000000000000005E-2</v>
      </c>
      <c r="Y257" s="14">
        <v>22</v>
      </c>
      <c r="Z257" s="7">
        <f t="shared" si="52"/>
        <v>217.52577000000002</v>
      </c>
      <c r="AA257" s="7">
        <f t="shared" si="53"/>
        <v>43553.493060000001</v>
      </c>
      <c r="AB257" s="7">
        <f t="shared" si="54"/>
        <v>43335.967290000001</v>
      </c>
      <c r="AC257" s="7">
        <f t="shared" si="55"/>
        <v>27009.4</v>
      </c>
      <c r="AD257" s="7">
        <f t="shared" si="56"/>
        <v>16544.093059999999</v>
      </c>
      <c r="AE257" s="7">
        <f t="shared" si="57"/>
        <v>16326.567289999999</v>
      </c>
      <c r="AF257" s="26">
        <f t="shared" si="58"/>
        <v>1.6125309358963915</v>
      </c>
      <c r="AG257" s="8">
        <f>IF(DASHBOARD!$Q$7&gt;'staging data'!X257,'staging data'!X257,DASHBOARD!$Q$7)</f>
        <v>9.9000000000000005E-2</v>
      </c>
      <c r="AH257">
        <f>(100%+DASHBOARD!$Q$8)*'staging data'!T257</f>
        <v>1411.855</v>
      </c>
      <c r="AI257">
        <f>(100%+DASHBOARD!$Q$9)*'staging data'!Y257</f>
        <v>26.4</v>
      </c>
    </row>
    <row r="258" spans="1:35" x14ac:dyDescent="0.3">
      <c r="A258" s="3" t="s">
        <v>389</v>
      </c>
      <c r="B258" s="28">
        <v>45336</v>
      </c>
      <c r="C258" s="28" t="str">
        <f t="shared" si="59"/>
        <v>Q1</v>
      </c>
      <c r="D258" s="28" t="str">
        <f t="shared" si="60"/>
        <v>2024</v>
      </c>
      <c r="E258" s="28" t="str">
        <f t="shared" si="61"/>
        <v>Mar</v>
      </c>
      <c r="F258" s="5">
        <v>45354</v>
      </c>
      <c r="G258" s="5">
        <f t="shared" ref="G258:G321" si="65">IF(H258&gt;=F258, H258, (H258-K258))</f>
        <v>45370</v>
      </c>
      <c r="H258" s="5">
        <v>45370</v>
      </c>
      <c r="I258" s="5" t="str">
        <f t="shared" si="62"/>
        <v>Achieved</v>
      </c>
      <c r="J258" s="14">
        <f t="shared" si="63"/>
        <v>16</v>
      </c>
      <c r="K258" s="14">
        <f t="shared" ref="K258:K321" si="66">_xlfn.DAYS(H258,F258)</f>
        <v>16</v>
      </c>
      <c r="L258" s="3" t="s">
        <v>646</v>
      </c>
      <c r="M258" s="3" t="s">
        <v>658</v>
      </c>
      <c r="N258" s="3" t="s">
        <v>698</v>
      </c>
      <c r="O258" s="3" t="s">
        <v>703</v>
      </c>
      <c r="P258" s="3" t="s">
        <v>709</v>
      </c>
      <c r="Q258" s="3" t="s">
        <v>714</v>
      </c>
      <c r="R258" s="3" t="s">
        <v>729</v>
      </c>
      <c r="S258" s="3" t="s">
        <v>1108</v>
      </c>
      <c r="T258" s="21">
        <v>988.83</v>
      </c>
      <c r="U258" s="21" t="str">
        <f t="shared" si="64"/>
        <v>Medium</v>
      </c>
      <c r="V258">
        <f t="shared" ref="V258:V321" si="67">ABS(W258)</f>
        <v>1206.04</v>
      </c>
      <c r="W258" s="7">
        <v>1206.04</v>
      </c>
      <c r="X258" s="8">
        <v>6.3E-2</v>
      </c>
      <c r="Y258" s="14">
        <v>34</v>
      </c>
      <c r="Z258" s="7">
        <f t="shared" ref="Z258:Z321" si="68">X258*V258</f>
        <v>75.980519999999999</v>
      </c>
      <c r="AA258" s="7">
        <f t="shared" ref="AA258:AA321" si="69">(V258*Y258)*(1-X258)</f>
        <v>38422.022320000004</v>
      </c>
      <c r="AB258" s="7">
        <f t="shared" ref="AB258:AB321" si="70">AA258-Z258</f>
        <v>38346.041800000006</v>
      </c>
      <c r="AC258" s="7">
        <f t="shared" ref="AC258:AC321" si="71">T258*Y258</f>
        <v>33620.22</v>
      </c>
      <c r="AD258" s="7">
        <f t="shared" ref="AD258:AD321" si="72">AA258-AC258</f>
        <v>4801.8023200000025</v>
      </c>
      <c r="AE258" s="7">
        <f t="shared" ref="AE258:AE321" si="73">AB258-AC258</f>
        <v>4725.8218000000052</v>
      </c>
      <c r="AF258" s="26">
        <f t="shared" ref="AF258:AF321" si="74">IF(AA258=0,0,AA258/AC258)</f>
        <v>1.1428248333889548</v>
      </c>
      <c r="AG258" s="8">
        <f>IF(DASHBOARD!$Q$7&gt;'staging data'!X258,'staging data'!X258,DASHBOARD!$Q$7)</f>
        <v>6.3E-2</v>
      </c>
      <c r="AH258">
        <f>(100%+DASHBOARD!$Q$8)*'staging data'!T258</f>
        <v>1137.1544999999999</v>
      </c>
      <c r="AI258">
        <f>(100%+DASHBOARD!$Q$9)*'staging data'!Y258</f>
        <v>40.799999999999997</v>
      </c>
    </row>
    <row r="259" spans="1:35" x14ac:dyDescent="0.3">
      <c r="A259" s="3" t="s">
        <v>388</v>
      </c>
      <c r="B259" s="28">
        <v>45338</v>
      </c>
      <c r="C259" s="28" t="str">
        <f t="shared" ref="C259:C322" si="75">"Q" &amp; ROUNDUP(MONTH(B259)/3,0)</f>
        <v>Q1</v>
      </c>
      <c r="D259" s="28" t="str">
        <f t="shared" ref="D259:D322" si="76">TEXT(F259,"YYYY")</f>
        <v>2024</v>
      </c>
      <c r="E259" s="28" t="str">
        <f t="shared" ref="E259:E322" si="77">TEXT(F259,"MMM")</f>
        <v>May</v>
      </c>
      <c r="F259" s="5">
        <v>45429</v>
      </c>
      <c r="G259" s="5">
        <f t="shared" si="65"/>
        <v>45439</v>
      </c>
      <c r="H259" s="5">
        <v>45439</v>
      </c>
      <c r="I259" s="5" t="str">
        <f t="shared" ref="I259:I322" si="78">IF(J259&gt;=7,"Achieved","Not achieved")</f>
        <v>Achieved</v>
      </c>
      <c r="J259" s="14">
        <f t="shared" ref="J259:J322" si="79">_xlfn.DAYS(G259,F259)</f>
        <v>10</v>
      </c>
      <c r="K259" s="14">
        <f t="shared" si="66"/>
        <v>10</v>
      </c>
      <c r="L259" s="3" t="s">
        <v>647</v>
      </c>
      <c r="M259" s="3" t="s">
        <v>659</v>
      </c>
      <c r="N259" s="3" t="s">
        <v>696</v>
      </c>
      <c r="O259" s="3" t="s">
        <v>702</v>
      </c>
      <c r="P259" s="3" t="s">
        <v>707</v>
      </c>
      <c r="Q259" s="3" t="s">
        <v>711</v>
      </c>
      <c r="R259" s="3" t="s">
        <v>729</v>
      </c>
      <c r="S259" s="3" t="s">
        <v>1107</v>
      </c>
      <c r="T259" s="21">
        <v>1484.23</v>
      </c>
      <c r="U259" s="21" t="str">
        <f t="shared" si="64"/>
        <v>High</v>
      </c>
      <c r="V259">
        <f t="shared" si="67"/>
        <v>3472.81</v>
      </c>
      <c r="W259" s="7">
        <v>3472.81</v>
      </c>
      <c r="X259" s="8">
        <v>0.25600000000000001</v>
      </c>
      <c r="Y259" s="14">
        <v>12</v>
      </c>
      <c r="Z259" s="7">
        <f t="shared" si="68"/>
        <v>889.03935999999999</v>
      </c>
      <c r="AA259" s="7">
        <f t="shared" si="69"/>
        <v>31005.24768</v>
      </c>
      <c r="AB259" s="7">
        <f t="shared" si="70"/>
        <v>30116.208320000002</v>
      </c>
      <c r="AC259" s="7">
        <f t="shared" si="71"/>
        <v>17810.760000000002</v>
      </c>
      <c r="AD259" s="7">
        <f t="shared" si="72"/>
        <v>13194.487679999998</v>
      </c>
      <c r="AE259" s="7">
        <f t="shared" si="73"/>
        <v>12305.44832</v>
      </c>
      <c r="AF259" s="26">
        <f t="shared" si="74"/>
        <v>1.7408155339805824</v>
      </c>
      <c r="AG259" s="8">
        <f>IF(DASHBOARD!$Q$7&gt;'staging data'!X259,'staging data'!X259,DASHBOARD!$Q$7)</f>
        <v>0.2</v>
      </c>
      <c r="AH259">
        <f>(100%+DASHBOARD!$Q$8)*'staging data'!T259</f>
        <v>1706.8644999999999</v>
      </c>
      <c r="AI259">
        <f>(100%+DASHBOARD!$Q$9)*'staging data'!Y259</f>
        <v>14.399999999999999</v>
      </c>
    </row>
    <row r="260" spans="1:35" x14ac:dyDescent="0.3">
      <c r="A260" s="3" t="s">
        <v>387</v>
      </c>
      <c r="B260" s="28">
        <v>45339</v>
      </c>
      <c r="C260" s="28" t="str">
        <f t="shared" si="75"/>
        <v>Q1</v>
      </c>
      <c r="D260" s="28" t="str">
        <f t="shared" si="76"/>
        <v>2025</v>
      </c>
      <c r="E260" s="28" t="str">
        <f t="shared" si="77"/>
        <v>Apr</v>
      </c>
      <c r="F260" s="5">
        <v>45751</v>
      </c>
      <c r="G260" s="5">
        <f t="shared" si="65"/>
        <v>45757</v>
      </c>
      <c r="H260" s="5">
        <v>45757</v>
      </c>
      <c r="I260" s="5" t="str">
        <f t="shared" si="78"/>
        <v>Not achieved</v>
      </c>
      <c r="J260" s="14">
        <f t="shared" si="79"/>
        <v>6</v>
      </c>
      <c r="K260" s="14">
        <f t="shared" si="66"/>
        <v>6</v>
      </c>
      <c r="L260" s="3" t="s">
        <v>648</v>
      </c>
      <c r="M260" s="3" t="s">
        <v>657</v>
      </c>
      <c r="N260" s="3" t="s">
        <v>673</v>
      </c>
      <c r="O260" s="3" t="s">
        <v>702</v>
      </c>
      <c r="P260" s="3" t="s">
        <v>710</v>
      </c>
      <c r="Q260" s="3" t="s">
        <v>724</v>
      </c>
      <c r="R260" s="3" t="s">
        <v>727</v>
      </c>
      <c r="S260" s="3" t="s">
        <v>1106</v>
      </c>
      <c r="T260" s="21">
        <v>290.14</v>
      </c>
      <c r="U260" s="21" t="str">
        <f t="shared" ref="U260:U323" si="80">IF(V260&lt;=QUARTILE(V260:V889,1),"Low",IF(V260&gt;=QUARTILE(V260:V889,3),"High","Medium"))</f>
        <v>Low</v>
      </c>
      <c r="V260">
        <f t="shared" si="67"/>
        <v>250.73</v>
      </c>
      <c r="W260" s="7">
        <v>250.73</v>
      </c>
      <c r="X260" s="8">
        <v>3.4000000000000002E-2</v>
      </c>
      <c r="Y260" s="14">
        <v>17</v>
      </c>
      <c r="Z260" s="7">
        <f t="shared" si="68"/>
        <v>8.5248200000000001</v>
      </c>
      <c r="AA260" s="7">
        <f t="shared" si="69"/>
        <v>4117.4880599999997</v>
      </c>
      <c r="AB260" s="7">
        <f t="shared" si="70"/>
        <v>4108.96324</v>
      </c>
      <c r="AC260" s="7">
        <f t="shared" si="71"/>
        <v>4932.38</v>
      </c>
      <c r="AD260" s="7">
        <f t="shared" si="72"/>
        <v>-814.89194000000043</v>
      </c>
      <c r="AE260" s="7">
        <f t="shared" si="73"/>
        <v>-823.41676000000007</v>
      </c>
      <c r="AF260" s="26">
        <f t="shared" si="74"/>
        <v>0.83478727510856821</v>
      </c>
      <c r="AG260" s="8">
        <f>IF(DASHBOARD!$Q$7&gt;'staging data'!X260,'staging data'!X260,DASHBOARD!$Q$7)</f>
        <v>3.4000000000000002E-2</v>
      </c>
      <c r="AH260">
        <f>(100%+DASHBOARD!$Q$8)*'staging data'!T260</f>
        <v>333.66099999999994</v>
      </c>
      <c r="AI260">
        <f>(100%+DASHBOARD!$Q$9)*'staging data'!Y260</f>
        <v>20.399999999999999</v>
      </c>
    </row>
    <row r="261" spans="1:35" x14ac:dyDescent="0.3">
      <c r="A261" s="3" t="s">
        <v>384</v>
      </c>
      <c r="B261" s="28">
        <v>45340</v>
      </c>
      <c r="C261" s="28" t="str">
        <f t="shared" si="75"/>
        <v>Q1</v>
      </c>
      <c r="D261" s="28" t="str">
        <f t="shared" si="76"/>
        <v>2023</v>
      </c>
      <c r="E261" s="28" t="str">
        <f t="shared" si="77"/>
        <v>Dec</v>
      </c>
      <c r="F261" s="5">
        <v>45286</v>
      </c>
      <c r="G261" s="5">
        <f t="shared" si="65"/>
        <v>45294</v>
      </c>
      <c r="H261" s="5">
        <v>45294</v>
      </c>
      <c r="I261" s="5" t="str">
        <f t="shared" si="78"/>
        <v>Achieved</v>
      </c>
      <c r="J261" s="14">
        <f t="shared" si="79"/>
        <v>8</v>
      </c>
      <c r="K261" s="14">
        <f t="shared" si="66"/>
        <v>8</v>
      </c>
      <c r="L261" s="3" t="s">
        <v>648</v>
      </c>
      <c r="M261" s="3" t="s">
        <v>656</v>
      </c>
      <c r="N261" s="3" t="s">
        <v>678</v>
      </c>
      <c r="O261" s="3" t="s">
        <v>704</v>
      </c>
      <c r="P261" s="3" t="s">
        <v>706</v>
      </c>
      <c r="Q261" s="3" t="s">
        <v>723</v>
      </c>
      <c r="R261" s="3" t="s">
        <v>730</v>
      </c>
      <c r="S261" s="3" t="s">
        <v>1103</v>
      </c>
      <c r="T261" s="21">
        <v>492.75</v>
      </c>
      <c r="U261" s="21" t="str">
        <f t="shared" si="80"/>
        <v>Medium</v>
      </c>
      <c r="V261">
        <f t="shared" si="67"/>
        <v>731.29</v>
      </c>
      <c r="W261" s="7">
        <v>731.29</v>
      </c>
      <c r="X261" s="8">
        <v>5.8000000000000003E-2</v>
      </c>
      <c r="Y261" s="14">
        <v>6</v>
      </c>
      <c r="Z261" s="7">
        <f t="shared" si="68"/>
        <v>42.414819999999999</v>
      </c>
      <c r="AA261" s="7">
        <f t="shared" si="69"/>
        <v>4133.25108</v>
      </c>
      <c r="AB261" s="7">
        <f t="shared" si="70"/>
        <v>4090.83626</v>
      </c>
      <c r="AC261" s="7">
        <f t="shared" si="71"/>
        <v>2956.5</v>
      </c>
      <c r="AD261" s="7">
        <f t="shared" si="72"/>
        <v>1176.75108</v>
      </c>
      <c r="AE261" s="7">
        <f t="shared" si="73"/>
        <v>1134.33626</v>
      </c>
      <c r="AF261" s="26">
        <f t="shared" si="74"/>
        <v>1.3980216742770168</v>
      </c>
      <c r="AG261" s="8">
        <f>IF(DASHBOARD!$Q$7&gt;'staging data'!X261,'staging data'!X261,DASHBOARD!$Q$7)</f>
        <v>5.8000000000000003E-2</v>
      </c>
      <c r="AH261">
        <f>(100%+DASHBOARD!$Q$8)*'staging data'!T261</f>
        <v>566.66249999999991</v>
      </c>
      <c r="AI261">
        <f>(100%+DASHBOARD!$Q$9)*'staging data'!Y261</f>
        <v>7.1999999999999993</v>
      </c>
    </row>
    <row r="262" spans="1:35" x14ac:dyDescent="0.3">
      <c r="A262" s="3" t="s">
        <v>385</v>
      </c>
      <c r="B262" s="28">
        <v>45340</v>
      </c>
      <c r="C262" s="28" t="str">
        <f t="shared" si="75"/>
        <v>Q1</v>
      </c>
      <c r="D262" s="28" t="str">
        <f t="shared" si="76"/>
        <v>2023</v>
      </c>
      <c r="E262" s="28" t="str">
        <f t="shared" si="77"/>
        <v>Feb</v>
      </c>
      <c r="F262" s="5">
        <v>44962</v>
      </c>
      <c r="G262" s="5">
        <f t="shared" si="65"/>
        <v>44985</v>
      </c>
      <c r="H262" s="5">
        <v>44985</v>
      </c>
      <c r="I262" s="5" t="str">
        <f t="shared" si="78"/>
        <v>Achieved</v>
      </c>
      <c r="J262" s="14">
        <f t="shared" si="79"/>
        <v>23</v>
      </c>
      <c r="K262" s="14">
        <f t="shared" si="66"/>
        <v>23</v>
      </c>
      <c r="L262" s="3" t="s">
        <v>647</v>
      </c>
      <c r="M262" s="3" t="s">
        <v>659</v>
      </c>
      <c r="N262" s="3" t="s">
        <v>696</v>
      </c>
      <c r="O262" s="3" t="s">
        <v>702</v>
      </c>
      <c r="P262" s="3" t="s">
        <v>709</v>
      </c>
      <c r="Q262" s="3" t="s">
        <v>715</v>
      </c>
      <c r="R262" s="3" t="s">
        <v>729</v>
      </c>
      <c r="S262" s="3" t="s">
        <v>1104</v>
      </c>
      <c r="T262" s="21">
        <v>1214.49</v>
      </c>
      <c r="U262" s="21" t="str">
        <f t="shared" si="80"/>
        <v>Medium</v>
      </c>
      <c r="V262">
        <f t="shared" si="67"/>
        <v>1533.95</v>
      </c>
      <c r="W262" s="7">
        <v>1533.95</v>
      </c>
      <c r="X262" s="8">
        <v>0</v>
      </c>
      <c r="Y262" s="14">
        <v>11</v>
      </c>
      <c r="Z262" s="7">
        <f t="shared" si="68"/>
        <v>0</v>
      </c>
      <c r="AA262" s="7">
        <f t="shared" si="69"/>
        <v>16873.45</v>
      </c>
      <c r="AB262" s="7">
        <f t="shared" si="70"/>
        <v>16873.45</v>
      </c>
      <c r="AC262" s="7">
        <f t="shared" si="71"/>
        <v>13359.39</v>
      </c>
      <c r="AD262" s="7">
        <f t="shared" si="72"/>
        <v>3514.0600000000013</v>
      </c>
      <c r="AE262" s="7">
        <f t="shared" si="73"/>
        <v>3514.0600000000013</v>
      </c>
      <c r="AF262" s="26">
        <f t="shared" si="74"/>
        <v>1.2630404531943451</v>
      </c>
      <c r="AG262" s="8">
        <f>IF(DASHBOARD!$Q$7&gt;'staging data'!X262,'staging data'!X262,DASHBOARD!$Q$7)</f>
        <v>0</v>
      </c>
      <c r="AH262">
        <f>(100%+DASHBOARD!$Q$8)*'staging data'!T262</f>
        <v>1396.6634999999999</v>
      </c>
      <c r="AI262">
        <f>(100%+DASHBOARD!$Q$9)*'staging data'!Y262</f>
        <v>13.2</v>
      </c>
    </row>
    <row r="263" spans="1:35" x14ac:dyDescent="0.3">
      <c r="A263" s="3" t="s">
        <v>386</v>
      </c>
      <c r="B263" s="28">
        <v>45340</v>
      </c>
      <c r="C263" s="28" t="str">
        <f t="shared" si="75"/>
        <v>Q1</v>
      </c>
      <c r="D263" s="28" t="str">
        <f t="shared" si="76"/>
        <v>2023</v>
      </c>
      <c r="E263" s="28" t="str">
        <f t="shared" si="77"/>
        <v>Apr</v>
      </c>
      <c r="F263" s="5">
        <v>45022</v>
      </c>
      <c r="G263" s="5">
        <f t="shared" si="65"/>
        <v>45024</v>
      </c>
      <c r="H263" s="5">
        <v>45024</v>
      </c>
      <c r="I263" s="5" t="str">
        <f t="shared" si="78"/>
        <v>Not achieved</v>
      </c>
      <c r="J263" s="14">
        <f t="shared" si="79"/>
        <v>2</v>
      </c>
      <c r="K263" s="14">
        <f t="shared" si="66"/>
        <v>2</v>
      </c>
      <c r="L263" s="3" t="s">
        <v>645</v>
      </c>
      <c r="M263" s="3" t="s">
        <v>650</v>
      </c>
      <c r="N263" s="3" t="s">
        <v>668</v>
      </c>
      <c r="O263" s="3" t="s">
        <v>704</v>
      </c>
      <c r="P263" s="3" t="s">
        <v>708</v>
      </c>
      <c r="Q263" s="3" t="s">
        <v>722</v>
      </c>
      <c r="R263" s="3" t="s">
        <v>731</v>
      </c>
      <c r="S263" s="3" t="s">
        <v>1105</v>
      </c>
      <c r="T263" s="21">
        <v>720.35</v>
      </c>
      <c r="U263" s="21" t="str">
        <f t="shared" si="80"/>
        <v>Medium</v>
      </c>
      <c r="V263">
        <f t="shared" si="67"/>
        <v>1571.66</v>
      </c>
      <c r="W263" s="7">
        <v>1571.66</v>
      </c>
      <c r="X263" s="8">
        <v>0.107</v>
      </c>
      <c r="Y263" s="14">
        <v>23</v>
      </c>
      <c r="Z263" s="7">
        <f t="shared" si="68"/>
        <v>168.16762</v>
      </c>
      <c r="AA263" s="7">
        <f t="shared" si="69"/>
        <v>32280.32474</v>
      </c>
      <c r="AB263" s="7">
        <f t="shared" si="70"/>
        <v>32112.15712</v>
      </c>
      <c r="AC263" s="7">
        <f t="shared" si="71"/>
        <v>16568.05</v>
      </c>
      <c r="AD263" s="7">
        <f t="shared" si="72"/>
        <v>15712.274740000001</v>
      </c>
      <c r="AE263" s="7">
        <f t="shared" si="73"/>
        <v>15544.107120000001</v>
      </c>
      <c r="AF263" s="26">
        <f t="shared" si="74"/>
        <v>1.9483478586798084</v>
      </c>
      <c r="AG263" s="8">
        <f>IF(DASHBOARD!$Q$7&gt;'staging data'!X263,'staging data'!X263,DASHBOARD!$Q$7)</f>
        <v>0.107</v>
      </c>
      <c r="AH263">
        <f>(100%+DASHBOARD!$Q$8)*'staging data'!T263</f>
        <v>828.40249999999992</v>
      </c>
      <c r="AI263">
        <f>(100%+DASHBOARD!$Q$9)*'staging data'!Y263</f>
        <v>27.599999999999998</v>
      </c>
    </row>
    <row r="264" spans="1:35" x14ac:dyDescent="0.3">
      <c r="A264" s="3" t="s">
        <v>383</v>
      </c>
      <c r="B264" s="28">
        <v>45341</v>
      </c>
      <c r="C264" s="28" t="str">
        <f t="shared" si="75"/>
        <v>Q1</v>
      </c>
      <c r="D264" s="28" t="str">
        <f t="shared" si="76"/>
        <v>2025</v>
      </c>
      <c r="E264" s="28" t="str">
        <f t="shared" si="77"/>
        <v>Jun</v>
      </c>
      <c r="F264" s="5">
        <v>45832</v>
      </c>
      <c r="G264" s="5">
        <f t="shared" si="65"/>
        <v>45861</v>
      </c>
      <c r="H264" s="5">
        <v>45861</v>
      </c>
      <c r="I264" s="5" t="str">
        <f t="shared" si="78"/>
        <v>Achieved</v>
      </c>
      <c r="J264" s="14">
        <f t="shared" si="79"/>
        <v>29</v>
      </c>
      <c r="K264" s="14">
        <f t="shared" si="66"/>
        <v>29</v>
      </c>
      <c r="L264" s="3" t="s">
        <v>647</v>
      </c>
      <c r="M264" s="3" t="s">
        <v>652</v>
      </c>
      <c r="N264" s="3" t="s">
        <v>687</v>
      </c>
      <c r="O264" s="3" t="s">
        <v>702</v>
      </c>
      <c r="P264" s="3" t="s">
        <v>708</v>
      </c>
      <c r="Q264" s="3" t="s">
        <v>713</v>
      </c>
      <c r="R264" s="3" t="s">
        <v>727</v>
      </c>
      <c r="S264" s="3" t="s">
        <v>1102</v>
      </c>
      <c r="T264" s="21">
        <v>255.4</v>
      </c>
      <c r="U264" s="21" t="str">
        <f t="shared" si="80"/>
        <v>Low</v>
      </c>
      <c r="V264">
        <f t="shared" si="67"/>
        <v>322.70999999999998</v>
      </c>
      <c r="W264" s="7">
        <v>322.70999999999998</v>
      </c>
      <c r="X264" s="8">
        <v>0.115</v>
      </c>
      <c r="Y264" s="14">
        <v>16</v>
      </c>
      <c r="Z264" s="7">
        <f t="shared" si="68"/>
        <v>37.111649999999997</v>
      </c>
      <c r="AA264" s="7">
        <f t="shared" si="69"/>
        <v>4569.5735999999997</v>
      </c>
      <c r="AB264" s="7">
        <f t="shared" si="70"/>
        <v>4532.4619499999999</v>
      </c>
      <c r="AC264" s="7">
        <f t="shared" si="71"/>
        <v>4086.4</v>
      </c>
      <c r="AD264" s="7">
        <f t="shared" si="72"/>
        <v>483.17359999999962</v>
      </c>
      <c r="AE264" s="7">
        <f t="shared" si="73"/>
        <v>446.0619499999998</v>
      </c>
      <c r="AF264" s="26">
        <f t="shared" si="74"/>
        <v>1.1182394283476897</v>
      </c>
      <c r="AG264" s="8">
        <f>IF(DASHBOARD!$Q$7&gt;'staging data'!X264,'staging data'!X264,DASHBOARD!$Q$7)</f>
        <v>0.115</v>
      </c>
      <c r="AH264">
        <f>(100%+DASHBOARD!$Q$8)*'staging data'!T264</f>
        <v>293.70999999999998</v>
      </c>
      <c r="AI264">
        <f>(100%+DASHBOARD!$Q$9)*'staging data'!Y264</f>
        <v>19.2</v>
      </c>
    </row>
    <row r="265" spans="1:35" x14ac:dyDescent="0.3">
      <c r="A265" s="3" t="s">
        <v>382</v>
      </c>
      <c r="B265" s="28">
        <v>45342</v>
      </c>
      <c r="C265" s="28" t="str">
        <f t="shared" si="75"/>
        <v>Q1</v>
      </c>
      <c r="D265" s="28" t="str">
        <f t="shared" si="76"/>
        <v>2023</v>
      </c>
      <c r="E265" s="28" t="str">
        <f t="shared" si="77"/>
        <v>Sept</v>
      </c>
      <c r="F265" s="5">
        <v>45194</v>
      </c>
      <c r="G265" s="5">
        <f t="shared" si="65"/>
        <v>45208</v>
      </c>
      <c r="H265" s="5">
        <v>45208</v>
      </c>
      <c r="I265" s="5" t="str">
        <f t="shared" si="78"/>
        <v>Achieved</v>
      </c>
      <c r="J265" s="14">
        <f t="shared" si="79"/>
        <v>14</v>
      </c>
      <c r="K265" s="14">
        <f t="shared" si="66"/>
        <v>14</v>
      </c>
      <c r="L265" s="3" t="s">
        <v>647</v>
      </c>
      <c r="M265" s="3" t="s">
        <v>659</v>
      </c>
      <c r="N265" s="3" t="s">
        <v>699</v>
      </c>
      <c r="O265" s="3" t="s">
        <v>704</v>
      </c>
      <c r="P265" s="3" t="s">
        <v>708</v>
      </c>
      <c r="Q265" s="3" t="s">
        <v>712</v>
      </c>
      <c r="R265" s="3" t="s">
        <v>730</v>
      </c>
      <c r="S265" s="3" t="s">
        <v>1101</v>
      </c>
      <c r="T265" s="21">
        <v>1279.56</v>
      </c>
      <c r="U265" s="21" t="str">
        <f t="shared" si="80"/>
        <v>High</v>
      </c>
      <c r="V265">
        <f t="shared" si="67"/>
        <v>3083.8</v>
      </c>
      <c r="W265" s="7">
        <v>3083.8</v>
      </c>
      <c r="X265" s="8">
        <v>0.106</v>
      </c>
      <c r="Y265" s="14">
        <v>5</v>
      </c>
      <c r="Z265" s="7">
        <f t="shared" si="68"/>
        <v>326.88280000000003</v>
      </c>
      <c r="AA265" s="7">
        <f t="shared" si="69"/>
        <v>13784.586000000001</v>
      </c>
      <c r="AB265" s="7">
        <f t="shared" si="70"/>
        <v>13457.703200000002</v>
      </c>
      <c r="AC265" s="7">
        <f t="shared" si="71"/>
        <v>6397.7999999999993</v>
      </c>
      <c r="AD265" s="7">
        <f t="shared" si="72"/>
        <v>7386.7860000000019</v>
      </c>
      <c r="AE265" s="7">
        <f t="shared" si="73"/>
        <v>7059.9032000000025</v>
      </c>
      <c r="AF265" s="26">
        <f t="shared" si="74"/>
        <v>2.1545822001312955</v>
      </c>
      <c r="AG265" s="8">
        <f>IF(DASHBOARD!$Q$7&gt;'staging data'!X265,'staging data'!X265,DASHBOARD!$Q$7)</f>
        <v>0.106</v>
      </c>
      <c r="AH265">
        <f>(100%+DASHBOARD!$Q$8)*'staging data'!T265</f>
        <v>1471.4939999999999</v>
      </c>
      <c r="AI265">
        <f>(100%+DASHBOARD!$Q$9)*'staging data'!Y265</f>
        <v>6</v>
      </c>
    </row>
    <row r="266" spans="1:35" x14ac:dyDescent="0.3">
      <c r="A266" s="3" t="s">
        <v>381</v>
      </c>
      <c r="B266" s="28">
        <v>45347</v>
      </c>
      <c r="C266" s="28" t="str">
        <f t="shared" si="75"/>
        <v>Q1</v>
      </c>
      <c r="D266" s="28" t="str">
        <f t="shared" si="76"/>
        <v>2025</v>
      </c>
      <c r="E266" s="28" t="str">
        <f t="shared" si="77"/>
        <v>Mar</v>
      </c>
      <c r="F266" s="5">
        <v>45731</v>
      </c>
      <c r="G266" s="5">
        <f t="shared" si="65"/>
        <v>45745</v>
      </c>
      <c r="H266" s="5">
        <v>45745</v>
      </c>
      <c r="I266" s="5" t="str">
        <f t="shared" si="78"/>
        <v>Achieved</v>
      </c>
      <c r="J266" s="14">
        <f t="shared" si="79"/>
        <v>14</v>
      </c>
      <c r="K266" s="14">
        <f t="shared" si="66"/>
        <v>14</v>
      </c>
      <c r="L266" s="3" t="s">
        <v>646</v>
      </c>
      <c r="M266" s="3" t="s">
        <v>653</v>
      </c>
      <c r="N266" s="3" t="s">
        <v>690</v>
      </c>
      <c r="O266" s="3" t="s">
        <v>705</v>
      </c>
      <c r="P266" s="3" t="s">
        <v>710</v>
      </c>
      <c r="Q266" s="3" t="s">
        <v>711</v>
      </c>
      <c r="R266" s="3" t="s">
        <v>726</v>
      </c>
      <c r="S266" s="3" t="s">
        <v>1100</v>
      </c>
      <c r="T266" s="21">
        <v>935.83</v>
      </c>
      <c r="U266" s="21" t="str">
        <f t="shared" si="80"/>
        <v>High</v>
      </c>
      <c r="V266">
        <f t="shared" si="67"/>
        <v>2303.46</v>
      </c>
      <c r="W266" s="7">
        <v>2303.46</v>
      </c>
      <c r="X266" s="8">
        <v>0.105</v>
      </c>
      <c r="Y266" s="14">
        <v>9</v>
      </c>
      <c r="Z266" s="7">
        <f t="shared" si="68"/>
        <v>241.86329999999998</v>
      </c>
      <c r="AA266" s="7">
        <f t="shared" si="69"/>
        <v>18554.370299999999</v>
      </c>
      <c r="AB266" s="7">
        <f t="shared" si="70"/>
        <v>18312.506999999998</v>
      </c>
      <c r="AC266" s="7">
        <f t="shared" si="71"/>
        <v>8422.4700000000012</v>
      </c>
      <c r="AD266" s="7">
        <f t="shared" si="72"/>
        <v>10131.900299999998</v>
      </c>
      <c r="AE266" s="7">
        <f t="shared" si="73"/>
        <v>9890.0369999999966</v>
      </c>
      <c r="AF266" s="26">
        <f t="shared" si="74"/>
        <v>2.2029606873043175</v>
      </c>
      <c r="AG266" s="8">
        <f>IF(DASHBOARD!$Q$7&gt;'staging data'!X266,'staging data'!X266,DASHBOARD!$Q$7)</f>
        <v>0.105</v>
      </c>
      <c r="AH266">
        <f>(100%+DASHBOARD!$Q$8)*'staging data'!T266</f>
        <v>1076.2045000000001</v>
      </c>
      <c r="AI266">
        <f>(100%+DASHBOARD!$Q$9)*'staging data'!Y266</f>
        <v>10.799999999999999</v>
      </c>
    </row>
    <row r="267" spans="1:35" x14ac:dyDescent="0.3">
      <c r="A267" s="3" t="s">
        <v>380</v>
      </c>
      <c r="B267" s="28">
        <v>45349</v>
      </c>
      <c r="C267" s="28" t="str">
        <f t="shared" si="75"/>
        <v>Q1</v>
      </c>
      <c r="D267" s="28" t="str">
        <f t="shared" si="76"/>
        <v>2024</v>
      </c>
      <c r="E267" s="28" t="str">
        <f t="shared" si="77"/>
        <v>Jun</v>
      </c>
      <c r="F267" s="5">
        <v>45445</v>
      </c>
      <c r="G267" s="5">
        <f t="shared" si="65"/>
        <v>45458</v>
      </c>
      <c r="H267" s="5">
        <v>45458</v>
      </c>
      <c r="I267" s="5" t="str">
        <f t="shared" si="78"/>
        <v>Achieved</v>
      </c>
      <c r="J267" s="14">
        <f t="shared" si="79"/>
        <v>13</v>
      </c>
      <c r="K267" s="14">
        <f t="shared" si="66"/>
        <v>13</v>
      </c>
      <c r="L267" s="3" t="s">
        <v>645</v>
      </c>
      <c r="M267" s="3" t="s">
        <v>649</v>
      </c>
      <c r="N267" s="3" t="s">
        <v>674</v>
      </c>
      <c r="O267" s="3" t="s">
        <v>701</v>
      </c>
      <c r="P267" s="3" t="s">
        <v>707</v>
      </c>
      <c r="Q267" s="3" t="s">
        <v>718</v>
      </c>
      <c r="R267" s="3" t="s">
        <v>729</v>
      </c>
      <c r="S267" s="3" t="s">
        <v>1099</v>
      </c>
      <c r="T267" s="21">
        <v>1295.18</v>
      </c>
      <c r="U267" s="21" t="str">
        <f t="shared" si="80"/>
        <v>High</v>
      </c>
      <c r="V267">
        <f t="shared" si="67"/>
        <v>3024.03</v>
      </c>
      <c r="W267" s="7">
        <v>3024.03</v>
      </c>
      <c r="X267" s="8">
        <v>0.192</v>
      </c>
      <c r="Y267" s="14">
        <v>8</v>
      </c>
      <c r="Z267" s="7">
        <f t="shared" si="68"/>
        <v>580.61376000000007</v>
      </c>
      <c r="AA267" s="7">
        <f t="shared" si="69"/>
        <v>19547.329920000004</v>
      </c>
      <c r="AB267" s="7">
        <f t="shared" si="70"/>
        <v>18966.716160000004</v>
      </c>
      <c r="AC267" s="7">
        <f t="shared" si="71"/>
        <v>10361.44</v>
      </c>
      <c r="AD267" s="7">
        <f t="shared" si="72"/>
        <v>9185.8899200000033</v>
      </c>
      <c r="AE267" s="7">
        <f t="shared" si="73"/>
        <v>8605.2761600000031</v>
      </c>
      <c r="AF267" s="26">
        <f t="shared" si="74"/>
        <v>1.8865456847696849</v>
      </c>
      <c r="AG267" s="8">
        <f>IF(DASHBOARD!$Q$7&gt;'staging data'!X267,'staging data'!X267,DASHBOARD!$Q$7)</f>
        <v>0.192</v>
      </c>
      <c r="AH267">
        <f>(100%+DASHBOARD!$Q$8)*'staging data'!T267</f>
        <v>1489.4569999999999</v>
      </c>
      <c r="AI267">
        <f>(100%+DASHBOARD!$Q$9)*'staging data'!Y267</f>
        <v>9.6</v>
      </c>
    </row>
    <row r="268" spans="1:35" x14ac:dyDescent="0.3">
      <c r="A268" s="3" t="s">
        <v>379</v>
      </c>
      <c r="B268" s="28">
        <v>45351</v>
      </c>
      <c r="C268" s="28" t="str">
        <f t="shared" si="75"/>
        <v>Q1</v>
      </c>
      <c r="D268" s="28" t="str">
        <f t="shared" si="76"/>
        <v>2025</v>
      </c>
      <c r="E268" s="28" t="str">
        <f t="shared" si="77"/>
        <v>Mar</v>
      </c>
      <c r="F268" s="5">
        <v>45737</v>
      </c>
      <c r="G268" s="5">
        <f t="shared" si="65"/>
        <v>45756</v>
      </c>
      <c r="H268" s="5">
        <v>45756</v>
      </c>
      <c r="I268" s="5" t="str">
        <f t="shared" si="78"/>
        <v>Achieved</v>
      </c>
      <c r="J268" s="14">
        <f t="shared" si="79"/>
        <v>19</v>
      </c>
      <c r="K268" s="14">
        <f t="shared" si="66"/>
        <v>19</v>
      </c>
      <c r="L268" s="3" t="s">
        <v>646</v>
      </c>
      <c r="M268" s="3" t="s">
        <v>651</v>
      </c>
      <c r="N268" s="3" t="s">
        <v>688</v>
      </c>
      <c r="O268" s="3" t="s">
        <v>704</v>
      </c>
      <c r="P268" s="3" t="s">
        <v>709</v>
      </c>
      <c r="Q268" s="3" t="s">
        <v>717</v>
      </c>
      <c r="R268" s="3" t="s">
        <v>726</v>
      </c>
      <c r="S268" s="3" t="s">
        <v>1098</v>
      </c>
      <c r="T268" s="21">
        <v>1055.45</v>
      </c>
      <c r="U268" s="21" t="str">
        <f t="shared" si="80"/>
        <v>Medium</v>
      </c>
      <c r="V268">
        <f t="shared" si="67"/>
        <v>1210.04</v>
      </c>
      <c r="W268" s="7">
        <v>1210.04</v>
      </c>
      <c r="X268" s="8">
        <v>8.9999999999999993E-3</v>
      </c>
      <c r="Y268" s="14">
        <v>18</v>
      </c>
      <c r="Z268" s="7">
        <f t="shared" si="68"/>
        <v>10.890359999999999</v>
      </c>
      <c r="AA268" s="7">
        <f t="shared" si="69"/>
        <v>21584.693520000001</v>
      </c>
      <c r="AB268" s="7">
        <f t="shared" si="70"/>
        <v>21573.803159999999</v>
      </c>
      <c r="AC268" s="7">
        <f t="shared" si="71"/>
        <v>18998.100000000002</v>
      </c>
      <c r="AD268" s="7">
        <f t="shared" si="72"/>
        <v>2586.5935199999985</v>
      </c>
      <c r="AE268" s="7">
        <f t="shared" si="73"/>
        <v>2575.7031599999973</v>
      </c>
      <c r="AF268" s="26">
        <f t="shared" si="74"/>
        <v>1.136150116064238</v>
      </c>
      <c r="AG268" s="8">
        <f>IF(DASHBOARD!$Q$7&gt;'staging data'!X268,'staging data'!X268,DASHBOARD!$Q$7)</f>
        <v>8.9999999999999993E-3</v>
      </c>
      <c r="AH268">
        <f>(100%+DASHBOARD!$Q$8)*'staging data'!T268</f>
        <v>1213.7674999999999</v>
      </c>
      <c r="AI268">
        <f>(100%+DASHBOARD!$Q$9)*'staging data'!Y268</f>
        <v>21.599999999999998</v>
      </c>
    </row>
    <row r="269" spans="1:35" x14ac:dyDescent="0.3">
      <c r="A269" s="3" t="s">
        <v>378</v>
      </c>
      <c r="B269" s="28">
        <v>45352</v>
      </c>
      <c r="C269" s="28" t="str">
        <f t="shared" si="75"/>
        <v>Q1</v>
      </c>
      <c r="D269" s="28" t="str">
        <f t="shared" si="76"/>
        <v>2023</v>
      </c>
      <c r="E269" s="28" t="str">
        <f t="shared" si="77"/>
        <v>Jun</v>
      </c>
      <c r="F269" s="5">
        <v>45082</v>
      </c>
      <c r="G269" s="5">
        <f t="shared" si="65"/>
        <v>45105</v>
      </c>
      <c r="H269" s="5">
        <v>45105</v>
      </c>
      <c r="I269" s="5" t="str">
        <f t="shared" si="78"/>
        <v>Achieved</v>
      </c>
      <c r="J269" s="14">
        <f t="shared" si="79"/>
        <v>23</v>
      </c>
      <c r="K269" s="14">
        <f t="shared" si="66"/>
        <v>23</v>
      </c>
      <c r="L269" s="3" t="s">
        <v>648</v>
      </c>
      <c r="M269" s="3" t="s">
        <v>657</v>
      </c>
      <c r="N269" s="3" t="s">
        <v>673</v>
      </c>
      <c r="O269" s="3" t="s">
        <v>700</v>
      </c>
      <c r="P269" s="3" t="s">
        <v>710</v>
      </c>
      <c r="Q269" s="3" t="s">
        <v>722</v>
      </c>
      <c r="R269" s="3" t="s">
        <v>727</v>
      </c>
      <c r="S269" s="3" t="s">
        <v>1097</v>
      </c>
      <c r="T269" s="21">
        <v>605.82000000000005</v>
      </c>
      <c r="U269" s="21" t="str">
        <f t="shared" si="80"/>
        <v>Medium</v>
      </c>
      <c r="V269">
        <f t="shared" si="67"/>
        <v>771.12</v>
      </c>
      <c r="W269" s="7">
        <v>771.12</v>
      </c>
      <c r="X269" s="8">
        <v>0.13200000000000001</v>
      </c>
      <c r="Y269" s="14">
        <v>19</v>
      </c>
      <c r="Z269" s="7">
        <f t="shared" si="68"/>
        <v>101.78784</v>
      </c>
      <c r="AA269" s="7">
        <f t="shared" si="69"/>
        <v>12717.311040000001</v>
      </c>
      <c r="AB269" s="7">
        <f t="shared" si="70"/>
        <v>12615.5232</v>
      </c>
      <c r="AC269" s="7">
        <f t="shared" si="71"/>
        <v>11510.580000000002</v>
      </c>
      <c r="AD269" s="7">
        <f t="shared" si="72"/>
        <v>1206.7310399999988</v>
      </c>
      <c r="AE269" s="7">
        <f t="shared" si="73"/>
        <v>1104.9431999999979</v>
      </c>
      <c r="AF269" s="26">
        <f t="shared" si="74"/>
        <v>1.1048366841636128</v>
      </c>
      <c r="AG269" s="8">
        <f>IF(DASHBOARD!$Q$7&gt;'staging data'!X269,'staging data'!X269,DASHBOARD!$Q$7)</f>
        <v>0.13200000000000001</v>
      </c>
      <c r="AH269">
        <f>(100%+DASHBOARD!$Q$8)*'staging data'!T269</f>
        <v>696.69299999999998</v>
      </c>
      <c r="AI269">
        <f>(100%+DASHBOARD!$Q$9)*'staging data'!Y269</f>
        <v>22.8</v>
      </c>
    </row>
    <row r="270" spans="1:35" x14ac:dyDescent="0.3">
      <c r="A270" s="3" t="s">
        <v>376</v>
      </c>
      <c r="B270" s="28">
        <v>45353</v>
      </c>
      <c r="C270" s="28" t="str">
        <f t="shared" si="75"/>
        <v>Q1</v>
      </c>
      <c r="D270" s="28" t="str">
        <f t="shared" si="76"/>
        <v>2023</v>
      </c>
      <c r="E270" s="28" t="str">
        <f t="shared" si="77"/>
        <v>Jul</v>
      </c>
      <c r="F270" s="5">
        <v>45108</v>
      </c>
      <c r="G270" s="5">
        <f t="shared" si="65"/>
        <v>45115</v>
      </c>
      <c r="H270" s="5">
        <v>45115</v>
      </c>
      <c r="I270" s="5" t="str">
        <f t="shared" si="78"/>
        <v>Achieved</v>
      </c>
      <c r="J270" s="14">
        <f t="shared" si="79"/>
        <v>7</v>
      </c>
      <c r="K270" s="14">
        <f t="shared" si="66"/>
        <v>7</v>
      </c>
      <c r="L270" s="3" t="s">
        <v>645</v>
      </c>
      <c r="M270" s="3" t="s">
        <v>650</v>
      </c>
      <c r="N270" s="3" t="s">
        <v>662</v>
      </c>
      <c r="O270" s="3" t="s">
        <v>700</v>
      </c>
      <c r="P270" s="3" t="s">
        <v>706</v>
      </c>
      <c r="Q270" s="3" t="s">
        <v>719</v>
      </c>
      <c r="R270" s="3" t="s">
        <v>730</v>
      </c>
      <c r="S270" s="3" t="s">
        <v>1095</v>
      </c>
      <c r="T270" s="21">
        <v>834.26</v>
      </c>
      <c r="U270" s="21" t="str">
        <f t="shared" si="80"/>
        <v>Medium</v>
      </c>
      <c r="V270">
        <f t="shared" si="67"/>
        <v>1780.56</v>
      </c>
      <c r="W270" s="7">
        <v>1780.56</v>
      </c>
      <c r="X270" s="8">
        <v>1.4E-2</v>
      </c>
      <c r="Y270" s="14">
        <v>47</v>
      </c>
      <c r="Z270" s="7">
        <f t="shared" si="68"/>
        <v>24.92784</v>
      </c>
      <c r="AA270" s="7">
        <f t="shared" si="69"/>
        <v>82514.711519999997</v>
      </c>
      <c r="AB270" s="7">
        <f t="shared" si="70"/>
        <v>82489.783679999993</v>
      </c>
      <c r="AC270" s="7">
        <f t="shared" si="71"/>
        <v>39210.22</v>
      </c>
      <c r="AD270" s="7">
        <f t="shared" si="72"/>
        <v>43304.491519999996</v>
      </c>
      <c r="AE270" s="7">
        <f t="shared" si="73"/>
        <v>43279.563679999992</v>
      </c>
      <c r="AF270" s="26">
        <f t="shared" si="74"/>
        <v>2.104418478651739</v>
      </c>
      <c r="AG270" s="8">
        <f>IF(DASHBOARD!$Q$7&gt;'staging data'!X270,'staging data'!X270,DASHBOARD!$Q$7)</f>
        <v>1.4E-2</v>
      </c>
      <c r="AH270">
        <f>(100%+DASHBOARD!$Q$8)*'staging data'!T270</f>
        <v>959.39899999999989</v>
      </c>
      <c r="AI270">
        <f>(100%+DASHBOARD!$Q$9)*'staging data'!Y270</f>
        <v>56.4</v>
      </c>
    </row>
    <row r="271" spans="1:35" x14ac:dyDescent="0.3">
      <c r="A271" s="3" t="s">
        <v>377</v>
      </c>
      <c r="B271" s="28">
        <v>45353</v>
      </c>
      <c r="C271" s="28" t="str">
        <f t="shared" si="75"/>
        <v>Q1</v>
      </c>
      <c r="D271" s="28" t="str">
        <f t="shared" si="76"/>
        <v>2024</v>
      </c>
      <c r="E271" s="28" t="str">
        <f t="shared" si="77"/>
        <v>Mar</v>
      </c>
      <c r="F271" s="5">
        <v>45360</v>
      </c>
      <c r="G271" s="5">
        <f t="shared" si="65"/>
        <v>45377</v>
      </c>
      <c r="H271" s="5">
        <v>45377</v>
      </c>
      <c r="I271" s="5" t="str">
        <f t="shared" si="78"/>
        <v>Achieved</v>
      </c>
      <c r="J271" s="14">
        <f t="shared" si="79"/>
        <v>17</v>
      </c>
      <c r="K271" s="14">
        <f t="shared" si="66"/>
        <v>17</v>
      </c>
      <c r="L271" s="3" t="s">
        <v>646</v>
      </c>
      <c r="M271" s="3" t="s">
        <v>658</v>
      </c>
      <c r="N271" s="3" t="s">
        <v>675</v>
      </c>
      <c r="O271" s="3" t="s">
        <v>705</v>
      </c>
      <c r="P271" s="3" t="s">
        <v>707</v>
      </c>
      <c r="Q271" s="3" t="s">
        <v>722</v>
      </c>
      <c r="R271" s="3" t="s">
        <v>731</v>
      </c>
      <c r="S271" s="3" t="s">
        <v>1096</v>
      </c>
      <c r="T271" s="21">
        <v>1029.67</v>
      </c>
      <c r="U271" s="21" t="str">
        <f t="shared" si="80"/>
        <v>Medium</v>
      </c>
      <c r="V271">
        <f t="shared" si="67"/>
        <v>1118.43</v>
      </c>
      <c r="W271" s="7">
        <v>1118.43</v>
      </c>
      <c r="X271" s="8">
        <v>0.27200000000000002</v>
      </c>
      <c r="Y271" s="14">
        <v>9</v>
      </c>
      <c r="Z271" s="7">
        <f t="shared" si="68"/>
        <v>304.21296000000007</v>
      </c>
      <c r="AA271" s="7">
        <f t="shared" si="69"/>
        <v>7327.9533600000004</v>
      </c>
      <c r="AB271" s="7">
        <f t="shared" si="70"/>
        <v>7023.7404000000006</v>
      </c>
      <c r="AC271" s="7">
        <f t="shared" si="71"/>
        <v>9267.0300000000007</v>
      </c>
      <c r="AD271" s="7">
        <f t="shared" si="72"/>
        <v>-1939.0766400000002</v>
      </c>
      <c r="AE271" s="7">
        <f t="shared" si="73"/>
        <v>-2243.2896000000001</v>
      </c>
      <c r="AF271" s="26">
        <f t="shared" si="74"/>
        <v>0.79075532937737336</v>
      </c>
      <c r="AG271" s="8">
        <f>IF(DASHBOARD!$Q$7&gt;'staging data'!X271,'staging data'!X271,DASHBOARD!$Q$7)</f>
        <v>0.2</v>
      </c>
      <c r="AH271">
        <f>(100%+DASHBOARD!$Q$8)*'staging data'!T271</f>
        <v>1184.1205</v>
      </c>
      <c r="AI271">
        <f>(100%+DASHBOARD!$Q$9)*'staging data'!Y271</f>
        <v>10.799999999999999</v>
      </c>
    </row>
    <row r="272" spans="1:35" x14ac:dyDescent="0.3">
      <c r="A272" s="3" t="s">
        <v>375</v>
      </c>
      <c r="B272" s="28">
        <v>45354</v>
      </c>
      <c r="C272" s="28" t="str">
        <f t="shared" si="75"/>
        <v>Q1</v>
      </c>
      <c r="D272" s="28" t="str">
        <f t="shared" si="76"/>
        <v>2025</v>
      </c>
      <c r="E272" s="28" t="str">
        <f t="shared" si="77"/>
        <v>Jun</v>
      </c>
      <c r="F272" s="5">
        <v>45833</v>
      </c>
      <c r="G272" s="5">
        <f t="shared" si="65"/>
        <v>45848</v>
      </c>
      <c r="H272" s="5">
        <v>45848</v>
      </c>
      <c r="I272" s="5" t="str">
        <f t="shared" si="78"/>
        <v>Achieved</v>
      </c>
      <c r="J272" s="14">
        <f t="shared" si="79"/>
        <v>15</v>
      </c>
      <c r="K272" s="14">
        <f t="shared" si="66"/>
        <v>15</v>
      </c>
      <c r="L272" s="3" t="s">
        <v>648</v>
      </c>
      <c r="M272" s="3" t="s">
        <v>657</v>
      </c>
      <c r="N272" s="3" t="s">
        <v>673</v>
      </c>
      <c r="O272" s="3" t="s">
        <v>702</v>
      </c>
      <c r="P272" s="3" t="s">
        <v>708</v>
      </c>
      <c r="Q272" s="3" t="s">
        <v>725</v>
      </c>
      <c r="R272" s="3" t="s">
        <v>729</v>
      </c>
      <c r="S272" s="3" t="s">
        <v>1094</v>
      </c>
      <c r="T272" s="21">
        <v>546.83000000000004</v>
      </c>
      <c r="U272" s="21" t="str">
        <f t="shared" si="80"/>
        <v>Low</v>
      </c>
      <c r="V272">
        <f t="shared" si="67"/>
        <v>400.84</v>
      </c>
      <c r="W272" s="7">
        <v>400.84</v>
      </c>
      <c r="X272" s="8">
        <v>7.8E-2</v>
      </c>
      <c r="Y272" s="14">
        <v>13</v>
      </c>
      <c r="Z272" s="7">
        <f t="shared" si="68"/>
        <v>31.265519999999999</v>
      </c>
      <c r="AA272" s="7">
        <f t="shared" si="69"/>
        <v>4804.4682400000002</v>
      </c>
      <c r="AB272" s="7">
        <f t="shared" si="70"/>
        <v>4773.2027200000002</v>
      </c>
      <c r="AC272" s="7">
        <f t="shared" si="71"/>
        <v>7108.7900000000009</v>
      </c>
      <c r="AD272" s="7">
        <f t="shared" si="72"/>
        <v>-2304.3217600000007</v>
      </c>
      <c r="AE272" s="7">
        <f t="shared" si="73"/>
        <v>-2335.5872800000006</v>
      </c>
      <c r="AF272" s="26">
        <f t="shared" si="74"/>
        <v>0.67584894757054292</v>
      </c>
      <c r="AG272" s="8">
        <f>IF(DASHBOARD!$Q$7&gt;'staging data'!X272,'staging data'!X272,DASHBOARD!$Q$7)</f>
        <v>7.8E-2</v>
      </c>
      <c r="AH272">
        <f>(100%+DASHBOARD!$Q$8)*'staging data'!T272</f>
        <v>628.85450000000003</v>
      </c>
      <c r="AI272">
        <f>(100%+DASHBOARD!$Q$9)*'staging data'!Y272</f>
        <v>15.6</v>
      </c>
    </row>
    <row r="273" spans="1:35" x14ac:dyDescent="0.3">
      <c r="A273" s="3" t="s">
        <v>374</v>
      </c>
      <c r="B273" s="28">
        <v>45355</v>
      </c>
      <c r="C273" s="28" t="str">
        <f t="shared" si="75"/>
        <v>Q1</v>
      </c>
      <c r="D273" s="28" t="str">
        <f t="shared" si="76"/>
        <v>2024</v>
      </c>
      <c r="E273" s="28" t="str">
        <f t="shared" si="77"/>
        <v>Jun</v>
      </c>
      <c r="F273" s="5">
        <v>45466</v>
      </c>
      <c r="G273" s="5">
        <f t="shared" si="65"/>
        <v>45468</v>
      </c>
      <c r="H273" s="5">
        <v>45468</v>
      </c>
      <c r="I273" s="5" t="str">
        <f t="shared" si="78"/>
        <v>Not achieved</v>
      </c>
      <c r="J273" s="14">
        <f t="shared" si="79"/>
        <v>2</v>
      </c>
      <c r="K273" s="14">
        <f t="shared" si="66"/>
        <v>2</v>
      </c>
      <c r="L273" s="3" t="s">
        <v>648</v>
      </c>
      <c r="M273" s="3" t="s">
        <v>657</v>
      </c>
      <c r="N273" s="3" t="s">
        <v>673</v>
      </c>
      <c r="O273" s="3" t="s">
        <v>704</v>
      </c>
      <c r="P273" s="3" t="s">
        <v>708</v>
      </c>
      <c r="Q273" s="3" t="s">
        <v>715</v>
      </c>
      <c r="R273" s="3" t="s">
        <v>732</v>
      </c>
      <c r="S273" s="3" t="s">
        <v>1093</v>
      </c>
      <c r="T273" s="21">
        <v>951.44</v>
      </c>
      <c r="U273" s="21" t="str">
        <f t="shared" si="80"/>
        <v>Medium</v>
      </c>
      <c r="V273">
        <f t="shared" si="67"/>
        <v>1646.43</v>
      </c>
      <c r="W273" s="7">
        <v>1646.43</v>
      </c>
      <c r="X273" s="8">
        <v>0.11</v>
      </c>
      <c r="Y273" s="14">
        <v>24</v>
      </c>
      <c r="Z273" s="7">
        <f t="shared" si="68"/>
        <v>181.10730000000001</v>
      </c>
      <c r="AA273" s="7">
        <f t="shared" si="69"/>
        <v>35167.7448</v>
      </c>
      <c r="AB273" s="7">
        <f t="shared" si="70"/>
        <v>34986.637499999997</v>
      </c>
      <c r="AC273" s="7">
        <f t="shared" si="71"/>
        <v>22834.560000000001</v>
      </c>
      <c r="AD273" s="7">
        <f t="shared" si="72"/>
        <v>12333.184799999999</v>
      </c>
      <c r="AE273" s="7">
        <f t="shared" si="73"/>
        <v>12152.077499999996</v>
      </c>
      <c r="AF273" s="26">
        <f t="shared" si="74"/>
        <v>1.5401104641385688</v>
      </c>
      <c r="AG273" s="8">
        <f>IF(DASHBOARD!$Q$7&gt;'staging data'!X273,'staging data'!X273,DASHBOARD!$Q$7)</f>
        <v>0.11</v>
      </c>
      <c r="AH273">
        <f>(100%+DASHBOARD!$Q$8)*'staging data'!T273</f>
        <v>1094.1559999999999</v>
      </c>
      <c r="AI273">
        <f>(100%+DASHBOARD!$Q$9)*'staging data'!Y273</f>
        <v>28.799999999999997</v>
      </c>
    </row>
    <row r="274" spans="1:35" x14ac:dyDescent="0.3">
      <c r="A274" s="3" t="s">
        <v>373</v>
      </c>
      <c r="B274" s="28">
        <v>45357</v>
      </c>
      <c r="C274" s="28" t="str">
        <f t="shared" si="75"/>
        <v>Q1</v>
      </c>
      <c r="D274" s="28" t="str">
        <f t="shared" si="76"/>
        <v>2024</v>
      </c>
      <c r="E274" s="28" t="str">
        <f t="shared" si="77"/>
        <v>Jan</v>
      </c>
      <c r="F274" s="5">
        <v>45309</v>
      </c>
      <c r="G274" s="5">
        <f t="shared" si="65"/>
        <v>45325</v>
      </c>
      <c r="H274" s="5">
        <v>45325</v>
      </c>
      <c r="I274" s="5" t="str">
        <f t="shared" si="78"/>
        <v>Achieved</v>
      </c>
      <c r="J274" s="14">
        <f t="shared" si="79"/>
        <v>16</v>
      </c>
      <c r="K274" s="14">
        <f t="shared" si="66"/>
        <v>16</v>
      </c>
      <c r="L274" s="3" t="s">
        <v>645</v>
      </c>
      <c r="M274" s="3" t="s">
        <v>660</v>
      </c>
      <c r="N274" s="3" t="s">
        <v>694</v>
      </c>
      <c r="O274" s="3" t="s">
        <v>702</v>
      </c>
      <c r="P274" s="3" t="s">
        <v>709</v>
      </c>
      <c r="Q274" s="3" t="s">
        <v>715</v>
      </c>
      <c r="R274" s="3" t="s">
        <v>727</v>
      </c>
      <c r="S274" s="3" t="s">
        <v>1092</v>
      </c>
      <c r="T274" s="21">
        <v>666.23</v>
      </c>
      <c r="U274" s="21" t="str">
        <f t="shared" si="80"/>
        <v>Medium</v>
      </c>
      <c r="V274">
        <f t="shared" si="67"/>
        <v>1382.91</v>
      </c>
      <c r="W274" s="7">
        <v>1382.91</v>
      </c>
      <c r="X274" s="8">
        <v>0.17599999999999999</v>
      </c>
      <c r="Y274" s="14">
        <v>13</v>
      </c>
      <c r="Z274" s="7">
        <f t="shared" si="68"/>
        <v>243.39215999999999</v>
      </c>
      <c r="AA274" s="7">
        <f t="shared" si="69"/>
        <v>14813.731920000002</v>
      </c>
      <c r="AB274" s="7">
        <f t="shared" si="70"/>
        <v>14570.339760000003</v>
      </c>
      <c r="AC274" s="7">
        <f t="shared" si="71"/>
        <v>8660.99</v>
      </c>
      <c r="AD274" s="7">
        <f t="shared" si="72"/>
        <v>6152.7419200000022</v>
      </c>
      <c r="AE274" s="7">
        <f t="shared" si="73"/>
        <v>5909.3497600000028</v>
      </c>
      <c r="AF274" s="26">
        <f t="shared" si="74"/>
        <v>1.7103970700809032</v>
      </c>
      <c r="AG274" s="8">
        <f>IF(DASHBOARD!$Q$7&gt;'staging data'!X274,'staging data'!X274,DASHBOARD!$Q$7)</f>
        <v>0.17599999999999999</v>
      </c>
      <c r="AH274">
        <f>(100%+DASHBOARD!$Q$8)*'staging data'!T274</f>
        <v>766.16449999999998</v>
      </c>
      <c r="AI274">
        <f>(100%+DASHBOARD!$Q$9)*'staging data'!Y274</f>
        <v>15.6</v>
      </c>
    </row>
    <row r="275" spans="1:35" x14ac:dyDescent="0.3">
      <c r="A275" s="3" t="s">
        <v>371</v>
      </c>
      <c r="B275" s="28">
        <v>45358</v>
      </c>
      <c r="C275" s="28" t="str">
        <f t="shared" si="75"/>
        <v>Q1</v>
      </c>
      <c r="D275" s="28" t="str">
        <f t="shared" si="76"/>
        <v>2024</v>
      </c>
      <c r="E275" s="28" t="str">
        <f t="shared" si="77"/>
        <v>Apr</v>
      </c>
      <c r="F275" s="5">
        <v>45385</v>
      </c>
      <c r="G275" s="5">
        <f t="shared" si="65"/>
        <v>45403</v>
      </c>
      <c r="H275" s="5">
        <v>45403</v>
      </c>
      <c r="I275" s="5" t="str">
        <f t="shared" si="78"/>
        <v>Achieved</v>
      </c>
      <c r="J275" s="14">
        <f t="shared" si="79"/>
        <v>18</v>
      </c>
      <c r="K275" s="14">
        <f t="shared" si="66"/>
        <v>18</v>
      </c>
      <c r="L275" s="3" t="s">
        <v>647</v>
      </c>
      <c r="M275" s="3" t="s">
        <v>654</v>
      </c>
      <c r="N275" s="3" t="s">
        <v>671</v>
      </c>
      <c r="O275" s="3" t="s">
        <v>704</v>
      </c>
      <c r="P275" s="3" t="s">
        <v>709</v>
      </c>
      <c r="Q275" s="3" t="s">
        <v>716</v>
      </c>
      <c r="R275" s="3" t="s">
        <v>728</v>
      </c>
      <c r="S275" s="3" t="s">
        <v>1090</v>
      </c>
      <c r="T275" s="21">
        <v>1176.69</v>
      </c>
      <c r="U275" s="21" t="str">
        <f t="shared" si="80"/>
        <v>High</v>
      </c>
      <c r="V275">
        <f t="shared" si="67"/>
        <v>2201.54</v>
      </c>
      <c r="W275" s="7">
        <v>2201.54</v>
      </c>
      <c r="X275" s="8">
        <v>0.17</v>
      </c>
      <c r="Y275" s="14">
        <v>27</v>
      </c>
      <c r="Z275" s="7">
        <f t="shared" si="68"/>
        <v>374.26179999999999</v>
      </c>
      <c r="AA275" s="7">
        <f t="shared" si="69"/>
        <v>49336.511399999996</v>
      </c>
      <c r="AB275" s="7">
        <f t="shared" si="70"/>
        <v>48962.249599999996</v>
      </c>
      <c r="AC275" s="7">
        <f t="shared" si="71"/>
        <v>31770.63</v>
      </c>
      <c r="AD275" s="7">
        <f t="shared" si="72"/>
        <v>17565.881399999995</v>
      </c>
      <c r="AE275" s="7">
        <f t="shared" si="73"/>
        <v>17191.619599999995</v>
      </c>
      <c r="AF275" s="26">
        <f t="shared" si="74"/>
        <v>1.5528968547365913</v>
      </c>
      <c r="AG275" s="8">
        <f>IF(DASHBOARD!$Q$7&gt;'staging data'!X275,'staging data'!X275,DASHBOARD!$Q$7)</f>
        <v>0.17</v>
      </c>
      <c r="AH275">
        <f>(100%+DASHBOARD!$Q$8)*'staging data'!T275</f>
        <v>1353.1934999999999</v>
      </c>
      <c r="AI275">
        <f>(100%+DASHBOARD!$Q$9)*'staging data'!Y275</f>
        <v>32.4</v>
      </c>
    </row>
    <row r="276" spans="1:35" x14ac:dyDescent="0.3">
      <c r="A276" s="3" t="s">
        <v>372</v>
      </c>
      <c r="B276" s="28">
        <v>45358</v>
      </c>
      <c r="C276" s="28" t="str">
        <f t="shared" si="75"/>
        <v>Q1</v>
      </c>
      <c r="D276" s="28" t="str">
        <f t="shared" si="76"/>
        <v>2024</v>
      </c>
      <c r="E276" s="28" t="str">
        <f t="shared" si="77"/>
        <v>Nov</v>
      </c>
      <c r="F276" s="5">
        <v>45621</v>
      </c>
      <c r="G276" s="5">
        <f t="shared" si="65"/>
        <v>45633</v>
      </c>
      <c r="H276" s="5">
        <v>45633</v>
      </c>
      <c r="I276" s="5" t="str">
        <f t="shared" si="78"/>
        <v>Achieved</v>
      </c>
      <c r="J276" s="14">
        <f t="shared" si="79"/>
        <v>12</v>
      </c>
      <c r="K276" s="14">
        <f t="shared" si="66"/>
        <v>12</v>
      </c>
      <c r="L276" s="3" t="s">
        <v>646</v>
      </c>
      <c r="M276" s="3" t="s">
        <v>658</v>
      </c>
      <c r="N276" s="3" t="s">
        <v>684</v>
      </c>
      <c r="O276" s="3" t="s">
        <v>700</v>
      </c>
      <c r="P276" s="3" t="s">
        <v>709</v>
      </c>
      <c r="Q276" s="3" t="s">
        <v>719</v>
      </c>
      <c r="R276" s="3" t="s">
        <v>732</v>
      </c>
      <c r="S276" s="3" t="s">
        <v>1091</v>
      </c>
      <c r="T276" s="21">
        <v>769.9</v>
      </c>
      <c r="U276" s="21" t="str">
        <f t="shared" si="80"/>
        <v>Medium</v>
      </c>
      <c r="V276">
        <f t="shared" si="67"/>
        <v>814.36</v>
      </c>
      <c r="W276" s="7">
        <v>814.36</v>
      </c>
      <c r="X276" s="8">
        <v>0</v>
      </c>
      <c r="Y276" s="14">
        <v>5</v>
      </c>
      <c r="Z276" s="7">
        <f t="shared" si="68"/>
        <v>0</v>
      </c>
      <c r="AA276" s="7">
        <f t="shared" si="69"/>
        <v>4071.8</v>
      </c>
      <c r="AB276" s="7">
        <f t="shared" si="70"/>
        <v>4071.8</v>
      </c>
      <c r="AC276" s="7">
        <f t="shared" si="71"/>
        <v>3849.5</v>
      </c>
      <c r="AD276" s="7">
        <f t="shared" si="72"/>
        <v>222.30000000000018</v>
      </c>
      <c r="AE276" s="7">
        <f t="shared" si="73"/>
        <v>222.30000000000018</v>
      </c>
      <c r="AF276" s="26">
        <f t="shared" si="74"/>
        <v>1.0577477594492792</v>
      </c>
      <c r="AG276" s="8">
        <f>IF(DASHBOARD!$Q$7&gt;'staging data'!X276,'staging data'!X276,DASHBOARD!$Q$7)</f>
        <v>0</v>
      </c>
      <c r="AH276">
        <f>(100%+DASHBOARD!$Q$8)*'staging data'!T276</f>
        <v>885.38499999999988</v>
      </c>
      <c r="AI276">
        <f>(100%+DASHBOARD!$Q$9)*'staging data'!Y276</f>
        <v>6</v>
      </c>
    </row>
    <row r="277" spans="1:35" x14ac:dyDescent="0.3">
      <c r="A277" s="3" t="s">
        <v>368</v>
      </c>
      <c r="B277" s="28">
        <v>45360</v>
      </c>
      <c r="C277" s="28" t="str">
        <f t="shared" si="75"/>
        <v>Q1</v>
      </c>
      <c r="D277" s="28" t="str">
        <f t="shared" si="76"/>
        <v>2024</v>
      </c>
      <c r="E277" s="28" t="str">
        <f t="shared" si="77"/>
        <v>Nov</v>
      </c>
      <c r="F277" s="5">
        <v>45603</v>
      </c>
      <c r="G277" s="5">
        <f t="shared" si="65"/>
        <v>45622</v>
      </c>
      <c r="H277" s="5">
        <v>45622</v>
      </c>
      <c r="I277" s="5" t="str">
        <f t="shared" si="78"/>
        <v>Achieved</v>
      </c>
      <c r="J277" s="14">
        <f t="shared" si="79"/>
        <v>19</v>
      </c>
      <c r="K277" s="14">
        <f t="shared" si="66"/>
        <v>19</v>
      </c>
      <c r="L277" s="3" t="s">
        <v>647</v>
      </c>
      <c r="M277" s="3" t="s">
        <v>654</v>
      </c>
      <c r="N277" s="3" t="s">
        <v>691</v>
      </c>
      <c r="O277" s="3" t="s">
        <v>702</v>
      </c>
      <c r="P277" s="3" t="s">
        <v>709</v>
      </c>
      <c r="Q277" s="3" t="s">
        <v>712</v>
      </c>
      <c r="R277" s="3" t="s">
        <v>727</v>
      </c>
      <c r="S277" s="3" t="s">
        <v>1087</v>
      </c>
      <c r="T277" s="21">
        <v>55.35</v>
      </c>
      <c r="U277" s="21" t="str">
        <f t="shared" si="80"/>
        <v>Low</v>
      </c>
      <c r="V277">
        <f t="shared" si="67"/>
        <v>128.68</v>
      </c>
      <c r="W277" s="7">
        <v>128.68</v>
      </c>
      <c r="X277" s="8">
        <v>0.128</v>
      </c>
      <c r="Y277" s="14">
        <v>10</v>
      </c>
      <c r="Z277" s="7">
        <f t="shared" si="68"/>
        <v>16.471040000000002</v>
      </c>
      <c r="AA277" s="7">
        <f t="shared" si="69"/>
        <v>1122.0896000000002</v>
      </c>
      <c r="AB277" s="7">
        <f t="shared" si="70"/>
        <v>1105.6185600000003</v>
      </c>
      <c r="AC277" s="7">
        <f t="shared" si="71"/>
        <v>553.5</v>
      </c>
      <c r="AD277" s="7">
        <f t="shared" si="72"/>
        <v>568.58960000000025</v>
      </c>
      <c r="AE277" s="7">
        <f t="shared" si="73"/>
        <v>552.11856000000034</v>
      </c>
      <c r="AF277" s="26">
        <f t="shared" si="74"/>
        <v>2.0272621499548333</v>
      </c>
      <c r="AG277" s="8">
        <f>IF(DASHBOARD!$Q$7&gt;'staging data'!X277,'staging data'!X277,DASHBOARD!$Q$7)</f>
        <v>0.128</v>
      </c>
      <c r="AH277">
        <f>(100%+DASHBOARD!$Q$8)*'staging data'!T277</f>
        <v>63.652499999999996</v>
      </c>
      <c r="AI277">
        <f>(100%+DASHBOARD!$Q$9)*'staging data'!Y277</f>
        <v>12</v>
      </c>
    </row>
    <row r="278" spans="1:35" x14ac:dyDescent="0.3">
      <c r="A278" s="3" t="s">
        <v>369</v>
      </c>
      <c r="B278" s="28">
        <v>45360</v>
      </c>
      <c r="C278" s="28" t="str">
        <f t="shared" si="75"/>
        <v>Q1</v>
      </c>
      <c r="D278" s="28" t="str">
        <f t="shared" si="76"/>
        <v>2024</v>
      </c>
      <c r="E278" s="28" t="str">
        <f t="shared" si="77"/>
        <v>Jan</v>
      </c>
      <c r="F278" s="5">
        <v>45292</v>
      </c>
      <c r="G278" s="5">
        <f t="shared" si="65"/>
        <v>45318</v>
      </c>
      <c r="H278" s="5">
        <v>45318</v>
      </c>
      <c r="I278" s="5" t="str">
        <f t="shared" si="78"/>
        <v>Achieved</v>
      </c>
      <c r="J278" s="14">
        <f t="shared" si="79"/>
        <v>26</v>
      </c>
      <c r="K278" s="14">
        <f t="shared" si="66"/>
        <v>26</v>
      </c>
      <c r="L278" s="3" t="s">
        <v>648</v>
      </c>
      <c r="M278" s="3" t="s">
        <v>657</v>
      </c>
      <c r="N278" s="3" t="s">
        <v>692</v>
      </c>
      <c r="O278" s="3" t="s">
        <v>701</v>
      </c>
      <c r="P278" s="3" t="s">
        <v>709</v>
      </c>
      <c r="Q278" s="3" t="s">
        <v>725</v>
      </c>
      <c r="R278" s="3" t="s">
        <v>732</v>
      </c>
      <c r="S278" s="3" t="s">
        <v>1088</v>
      </c>
      <c r="T278" s="21">
        <v>657.45</v>
      </c>
      <c r="U278" s="21" t="str">
        <f t="shared" si="80"/>
        <v>Medium</v>
      </c>
      <c r="V278">
        <f t="shared" si="67"/>
        <v>1325.96</v>
      </c>
      <c r="W278" s="7">
        <v>1325.96</v>
      </c>
      <c r="X278" s="8">
        <v>0.16700000000000001</v>
      </c>
      <c r="Y278" s="14">
        <v>21</v>
      </c>
      <c r="Z278" s="7">
        <f t="shared" si="68"/>
        <v>221.43532000000002</v>
      </c>
      <c r="AA278" s="7">
        <f t="shared" si="69"/>
        <v>23195.01828</v>
      </c>
      <c r="AB278" s="7">
        <f t="shared" si="70"/>
        <v>22973.58296</v>
      </c>
      <c r="AC278" s="7">
        <f t="shared" si="71"/>
        <v>13806.45</v>
      </c>
      <c r="AD278" s="7">
        <f t="shared" si="72"/>
        <v>9388.5682799999995</v>
      </c>
      <c r="AE278" s="7">
        <f t="shared" si="73"/>
        <v>9167.132959999999</v>
      </c>
      <c r="AF278" s="26">
        <f t="shared" si="74"/>
        <v>1.6800132025249068</v>
      </c>
      <c r="AG278" s="8">
        <f>IF(DASHBOARD!$Q$7&gt;'staging data'!X278,'staging data'!X278,DASHBOARD!$Q$7)</f>
        <v>0.16700000000000001</v>
      </c>
      <c r="AH278">
        <f>(100%+DASHBOARD!$Q$8)*'staging data'!T278</f>
        <v>756.0675</v>
      </c>
      <c r="AI278">
        <f>(100%+DASHBOARD!$Q$9)*'staging data'!Y278</f>
        <v>25.2</v>
      </c>
    </row>
    <row r="279" spans="1:35" x14ac:dyDescent="0.3">
      <c r="A279" s="3" t="s">
        <v>370</v>
      </c>
      <c r="B279" s="28">
        <v>45360</v>
      </c>
      <c r="C279" s="28" t="str">
        <f t="shared" si="75"/>
        <v>Q1</v>
      </c>
      <c r="D279" s="28" t="str">
        <f t="shared" si="76"/>
        <v>2025</v>
      </c>
      <c r="E279" s="28" t="str">
        <f t="shared" si="77"/>
        <v>Aug</v>
      </c>
      <c r="F279" s="5">
        <v>45883</v>
      </c>
      <c r="G279" s="5">
        <f t="shared" si="65"/>
        <v>45911</v>
      </c>
      <c r="H279" s="5">
        <v>45911</v>
      </c>
      <c r="I279" s="5" t="str">
        <f t="shared" si="78"/>
        <v>Achieved</v>
      </c>
      <c r="J279" s="14">
        <f t="shared" si="79"/>
        <v>28</v>
      </c>
      <c r="K279" s="14">
        <f t="shared" si="66"/>
        <v>28</v>
      </c>
      <c r="L279" s="3" t="s">
        <v>647</v>
      </c>
      <c r="M279" s="3" t="s">
        <v>654</v>
      </c>
      <c r="N279" s="3" t="s">
        <v>669</v>
      </c>
      <c r="O279" s="3" t="s">
        <v>702</v>
      </c>
      <c r="P279" s="3" t="s">
        <v>710</v>
      </c>
      <c r="Q279" s="3" t="s">
        <v>720</v>
      </c>
      <c r="R279" s="3" t="s">
        <v>727</v>
      </c>
      <c r="S279" s="3" t="s">
        <v>1089</v>
      </c>
      <c r="T279" s="21">
        <v>1203.02</v>
      </c>
      <c r="U279" s="21" t="str">
        <f t="shared" si="80"/>
        <v>High</v>
      </c>
      <c r="V279">
        <f t="shared" si="67"/>
        <v>2439.33</v>
      </c>
      <c r="W279" s="7">
        <v>2439.33</v>
      </c>
      <c r="X279" s="8">
        <v>0</v>
      </c>
      <c r="Y279" s="14">
        <v>18</v>
      </c>
      <c r="Z279" s="7">
        <f t="shared" si="68"/>
        <v>0</v>
      </c>
      <c r="AA279" s="7">
        <f t="shared" si="69"/>
        <v>43907.94</v>
      </c>
      <c r="AB279" s="7">
        <f t="shared" si="70"/>
        <v>43907.94</v>
      </c>
      <c r="AC279" s="7">
        <f t="shared" si="71"/>
        <v>21654.36</v>
      </c>
      <c r="AD279" s="7">
        <f t="shared" si="72"/>
        <v>22253.58</v>
      </c>
      <c r="AE279" s="7">
        <f t="shared" si="73"/>
        <v>22253.58</v>
      </c>
      <c r="AF279" s="26">
        <f t="shared" si="74"/>
        <v>2.0276720254027363</v>
      </c>
      <c r="AG279" s="8">
        <f>IF(DASHBOARD!$Q$7&gt;'staging data'!X279,'staging data'!X279,DASHBOARD!$Q$7)</f>
        <v>0</v>
      </c>
      <c r="AH279">
        <f>(100%+DASHBOARD!$Q$8)*'staging data'!T279</f>
        <v>1383.473</v>
      </c>
      <c r="AI279">
        <f>(100%+DASHBOARD!$Q$9)*'staging data'!Y279</f>
        <v>21.599999999999998</v>
      </c>
    </row>
    <row r="280" spans="1:35" x14ac:dyDescent="0.3">
      <c r="A280" s="3" t="s">
        <v>367</v>
      </c>
      <c r="B280" s="28">
        <v>45361</v>
      </c>
      <c r="C280" s="28" t="str">
        <f t="shared" si="75"/>
        <v>Q1</v>
      </c>
      <c r="D280" s="28" t="str">
        <f t="shared" si="76"/>
        <v>2024</v>
      </c>
      <c r="E280" s="28" t="str">
        <f t="shared" si="77"/>
        <v>Aug</v>
      </c>
      <c r="F280" s="5">
        <v>45512</v>
      </c>
      <c r="G280" s="5">
        <f t="shared" si="65"/>
        <v>45524</v>
      </c>
      <c r="H280" s="5">
        <v>45524</v>
      </c>
      <c r="I280" s="5" t="str">
        <f t="shared" si="78"/>
        <v>Achieved</v>
      </c>
      <c r="J280" s="14">
        <f t="shared" si="79"/>
        <v>12</v>
      </c>
      <c r="K280" s="14">
        <f t="shared" si="66"/>
        <v>12</v>
      </c>
      <c r="L280" s="3" t="s">
        <v>646</v>
      </c>
      <c r="M280" s="3" t="s">
        <v>651</v>
      </c>
      <c r="N280" s="3" t="s">
        <v>665</v>
      </c>
      <c r="O280" s="3" t="s">
        <v>704</v>
      </c>
      <c r="P280" s="3" t="s">
        <v>706</v>
      </c>
      <c r="Q280" s="3" t="s">
        <v>721</v>
      </c>
      <c r="R280" s="3" t="s">
        <v>728</v>
      </c>
      <c r="S280" s="3" t="s">
        <v>1086</v>
      </c>
      <c r="T280" s="21">
        <v>1233.3599999999999</v>
      </c>
      <c r="U280" s="21" t="str">
        <f t="shared" si="80"/>
        <v>High</v>
      </c>
      <c r="V280">
        <f t="shared" si="67"/>
        <v>2120.4</v>
      </c>
      <c r="W280" s="7">
        <v>2120.4</v>
      </c>
      <c r="X280" s="8">
        <v>0.17899999999999999</v>
      </c>
      <c r="Y280" s="14">
        <v>20</v>
      </c>
      <c r="Z280" s="7">
        <f t="shared" si="68"/>
        <v>379.55160000000001</v>
      </c>
      <c r="AA280" s="7">
        <f t="shared" si="69"/>
        <v>34816.968000000001</v>
      </c>
      <c r="AB280" s="7">
        <f t="shared" si="70"/>
        <v>34437.416400000002</v>
      </c>
      <c r="AC280" s="7">
        <f t="shared" si="71"/>
        <v>24667.199999999997</v>
      </c>
      <c r="AD280" s="7">
        <f t="shared" si="72"/>
        <v>10149.768000000004</v>
      </c>
      <c r="AE280" s="7">
        <f t="shared" si="73"/>
        <v>9770.2164000000048</v>
      </c>
      <c r="AF280" s="26">
        <f t="shared" si="74"/>
        <v>1.4114681844716872</v>
      </c>
      <c r="AG280" s="8">
        <f>IF(DASHBOARD!$Q$7&gt;'staging data'!X280,'staging data'!X280,DASHBOARD!$Q$7)</f>
        <v>0.17899999999999999</v>
      </c>
      <c r="AH280">
        <f>(100%+DASHBOARD!$Q$8)*'staging data'!T280</f>
        <v>1418.3639999999998</v>
      </c>
      <c r="AI280">
        <f>(100%+DASHBOARD!$Q$9)*'staging data'!Y280</f>
        <v>24</v>
      </c>
    </row>
    <row r="281" spans="1:35" x14ac:dyDescent="0.3">
      <c r="A281" s="3" t="s">
        <v>365</v>
      </c>
      <c r="B281" s="28">
        <v>45362</v>
      </c>
      <c r="C281" s="28" t="str">
        <f t="shared" si="75"/>
        <v>Q1</v>
      </c>
      <c r="D281" s="28" t="str">
        <f t="shared" si="76"/>
        <v>2023</v>
      </c>
      <c r="E281" s="28" t="str">
        <f t="shared" si="77"/>
        <v>Dec</v>
      </c>
      <c r="F281" s="5">
        <v>45262</v>
      </c>
      <c r="G281" s="5">
        <f t="shared" si="65"/>
        <v>45276</v>
      </c>
      <c r="H281" s="5">
        <v>45276</v>
      </c>
      <c r="I281" s="5" t="str">
        <f t="shared" si="78"/>
        <v>Achieved</v>
      </c>
      <c r="J281" s="14">
        <f t="shared" si="79"/>
        <v>14</v>
      </c>
      <c r="K281" s="14">
        <f t="shared" si="66"/>
        <v>14</v>
      </c>
      <c r="L281" s="3" t="s">
        <v>648</v>
      </c>
      <c r="M281" s="3" t="s">
        <v>655</v>
      </c>
      <c r="N281" s="3" t="s">
        <v>697</v>
      </c>
      <c r="O281" s="3" t="s">
        <v>701</v>
      </c>
      <c r="P281" s="3" t="s">
        <v>710</v>
      </c>
      <c r="Q281" s="3" t="s">
        <v>724</v>
      </c>
      <c r="R281" s="3" t="s">
        <v>731</v>
      </c>
      <c r="S281" s="3" t="s">
        <v>1084</v>
      </c>
      <c r="T281" s="21">
        <v>879.08</v>
      </c>
      <c r="U281" s="21" t="str">
        <f t="shared" si="80"/>
        <v>Medium</v>
      </c>
      <c r="V281">
        <f t="shared" si="67"/>
        <v>1093.3900000000001</v>
      </c>
      <c r="W281" s="7">
        <v>1093.3900000000001</v>
      </c>
      <c r="X281" s="8">
        <v>0.113</v>
      </c>
      <c r="Y281" s="14">
        <v>17</v>
      </c>
      <c r="Z281" s="7">
        <f t="shared" si="68"/>
        <v>123.55307000000002</v>
      </c>
      <c r="AA281" s="7">
        <f t="shared" si="69"/>
        <v>16487.22781</v>
      </c>
      <c r="AB281" s="7">
        <f t="shared" si="70"/>
        <v>16363.67474</v>
      </c>
      <c r="AC281" s="7">
        <f t="shared" si="71"/>
        <v>14944.36</v>
      </c>
      <c r="AD281" s="7">
        <f t="shared" si="72"/>
        <v>1542.8678099999997</v>
      </c>
      <c r="AE281" s="7">
        <f t="shared" si="73"/>
        <v>1419.3147399999998</v>
      </c>
      <c r="AF281" s="26">
        <f t="shared" si="74"/>
        <v>1.1032408085725987</v>
      </c>
      <c r="AG281" s="8">
        <f>IF(DASHBOARD!$Q$7&gt;'staging data'!X281,'staging data'!X281,DASHBOARD!$Q$7)</f>
        <v>0.113</v>
      </c>
      <c r="AH281">
        <f>(100%+DASHBOARD!$Q$8)*'staging data'!T281</f>
        <v>1010.942</v>
      </c>
      <c r="AI281">
        <f>(100%+DASHBOARD!$Q$9)*'staging data'!Y281</f>
        <v>20.399999999999999</v>
      </c>
    </row>
    <row r="282" spans="1:35" x14ac:dyDescent="0.3">
      <c r="A282" s="3" t="s">
        <v>366</v>
      </c>
      <c r="B282" s="28">
        <v>45362</v>
      </c>
      <c r="C282" s="28" t="str">
        <f t="shared" si="75"/>
        <v>Q1</v>
      </c>
      <c r="D282" s="28" t="str">
        <f t="shared" si="76"/>
        <v>2023</v>
      </c>
      <c r="E282" s="28" t="str">
        <f t="shared" si="77"/>
        <v>Jul</v>
      </c>
      <c r="F282" s="5">
        <v>45121</v>
      </c>
      <c r="G282" s="5">
        <f t="shared" si="65"/>
        <v>45121</v>
      </c>
      <c r="H282" s="5">
        <v>45121</v>
      </c>
      <c r="I282" s="5" t="str">
        <f t="shared" si="78"/>
        <v>Not achieved</v>
      </c>
      <c r="J282" s="14">
        <f t="shared" si="79"/>
        <v>0</v>
      </c>
      <c r="K282" s="14">
        <f t="shared" si="66"/>
        <v>0</v>
      </c>
      <c r="L282" s="3" t="s">
        <v>645</v>
      </c>
      <c r="M282" s="3" t="s">
        <v>650</v>
      </c>
      <c r="N282" s="3" t="s">
        <v>664</v>
      </c>
      <c r="O282" s="3" t="s">
        <v>701</v>
      </c>
      <c r="P282" s="3" t="s">
        <v>706</v>
      </c>
      <c r="Q282" s="3" t="s">
        <v>713</v>
      </c>
      <c r="R282" s="3" t="s">
        <v>732</v>
      </c>
      <c r="S282" s="3" t="s">
        <v>1085</v>
      </c>
      <c r="T282" s="21">
        <v>956.38</v>
      </c>
      <c r="U282" s="21" t="str">
        <f t="shared" si="80"/>
        <v>Medium</v>
      </c>
      <c r="V282">
        <f t="shared" si="67"/>
        <v>1454.22</v>
      </c>
      <c r="W282" s="7">
        <v>1454.22</v>
      </c>
      <c r="X282" s="8">
        <v>3.9E-2</v>
      </c>
      <c r="Y282" s="14">
        <v>19</v>
      </c>
      <c r="Z282" s="7">
        <f t="shared" si="68"/>
        <v>56.714579999999998</v>
      </c>
      <c r="AA282" s="7">
        <f t="shared" si="69"/>
        <v>26552.60298</v>
      </c>
      <c r="AB282" s="7">
        <f t="shared" si="70"/>
        <v>26495.8884</v>
      </c>
      <c r="AC282" s="7">
        <f t="shared" si="71"/>
        <v>18171.22</v>
      </c>
      <c r="AD282" s="7">
        <f t="shared" si="72"/>
        <v>8381.3829799999985</v>
      </c>
      <c r="AE282" s="7">
        <f t="shared" si="73"/>
        <v>8324.6683999999987</v>
      </c>
      <c r="AF282" s="26">
        <f t="shared" si="74"/>
        <v>1.4612449235659464</v>
      </c>
      <c r="AG282" s="8">
        <f>IF(DASHBOARD!$Q$7&gt;'staging data'!X282,'staging data'!X282,DASHBOARD!$Q$7)</f>
        <v>3.9E-2</v>
      </c>
      <c r="AH282">
        <f>(100%+DASHBOARD!$Q$8)*'staging data'!T282</f>
        <v>1099.837</v>
      </c>
      <c r="AI282">
        <f>(100%+DASHBOARD!$Q$9)*'staging data'!Y282</f>
        <v>22.8</v>
      </c>
    </row>
    <row r="283" spans="1:35" x14ac:dyDescent="0.3">
      <c r="A283" s="3" t="s">
        <v>364</v>
      </c>
      <c r="B283" s="28">
        <v>45364</v>
      </c>
      <c r="C283" s="28" t="str">
        <f t="shared" si="75"/>
        <v>Q1</v>
      </c>
      <c r="D283" s="28" t="str">
        <f t="shared" si="76"/>
        <v>2023</v>
      </c>
      <c r="E283" s="28" t="str">
        <f t="shared" si="77"/>
        <v>Feb</v>
      </c>
      <c r="F283" s="5">
        <v>44980</v>
      </c>
      <c r="G283" s="5">
        <f t="shared" si="65"/>
        <v>44993</v>
      </c>
      <c r="H283" s="5">
        <v>44993</v>
      </c>
      <c r="I283" s="5" t="str">
        <f t="shared" si="78"/>
        <v>Achieved</v>
      </c>
      <c r="J283" s="14">
        <f t="shared" si="79"/>
        <v>13</v>
      </c>
      <c r="K283" s="14">
        <f t="shared" si="66"/>
        <v>13</v>
      </c>
      <c r="L283" s="3" t="s">
        <v>648</v>
      </c>
      <c r="M283" s="3" t="s">
        <v>657</v>
      </c>
      <c r="N283" s="3" t="s">
        <v>692</v>
      </c>
      <c r="O283" s="3" t="s">
        <v>704</v>
      </c>
      <c r="P283" s="3" t="s">
        <v>710</v>
      </c>
      <c r="Q283" s="3" t="s">
        <v>711</v>
      </c>
      <c r="R283" s="3" t="s">
        <v>727</v>
      </c>
      <c r="S283" s="3" t="s">
        <v>1083</v>
      </c>
      <c r="T283" s="21">
        <v>307.37</v>
      </c>
      <c r="U283" s="21" t="str">
        <f t="shared" si="80"/>
        <v>Low</v>
      </c>
      <c r="V283">
        <f t="shared" si="67"/>
        <v>462.61</v>
      </c>
      <c r="W283" s="7">
        <v>462.61</v>
      </c>
      <c r="X283" s="8">
        <v>0.188</v>
      </c>
      <c r="Y283" s="14">
        <v>11</v>
      </c>
      <c r="Z283" s="7">
        <f t="shared" si="68"/>
        <v>86.970680000000002</v>
      </c>
      <c r="AA283" s="7">
        <f t="shared" si="69"/>
        <v>4132.0325200000007</v>
      </c>
      <c r="AB283" s="7">
        <f t="shared" si="70"/>
        <v>4045.0618400000008</v>
      </c>
      <c r="AC283" s="7">
        <f t="shared" si="71"/>
        <v>3381.07</v>
      </c>
      <c r="AD283" s="7">
        <f t="shared" si="72"/>
        <v>750.9625200000005</v>
      </c>
      <c r="AE283" s="7">
        <f t="shared" si="73"/>
        <v>663.99184000000059</v>
      </c>
      <c r="AF283" s="26">
        <f t="shared" si="74"/>
        <v>1.2221079480756094</v>
      </c>
      <c r="AG283" s="8">
        <f>IF(DASHBOARD!$Q$7&gt;'staging data'!X283,'staging data'!X283,DASHBOARD!$Q$7)</f>
        <v>0.188</v>
      </c>
      <c r="AH283">
        <f>(100%+DASHBOARD!$Q$8)*'staging data'!T283</f>
        <v>353.47549999999995</v>
      </c>
      <c r="AI283">
        <f>(100%+DASHBOARD!$Q$9)*'staging data'!Y283</f>
        <v>13.2</v>
      </c>
    </row>
    <row r="284" spans="1:35" x14ac:dyDescent="0.3">
      <c r="A284" s="3" t="s">
        <v>363</v>
      </c>
      <c r="B284" s="28">
        <v>45366</v>
      </c>
      <c r="C284" s="28" t="str">
        <f t="shared" si="75"/>
        <v>Q1</v>
      </c>
      <c r="D284" s="28" t="str">
        <f t="shared" si="76"/>
        <v>2025</v>
      </c>
      <c r="E284" s="28" t="str">
        <f t="shared" si="77"/>
        <v>Jun</v>
      </c>
      <c r="F284" s="5">
        <v>45825</v>
      </c>
      <c r="G284" s="5">
        <f t="shared" si="65"/>
        <v>45843</v>
      </c>
      <c r="H284" s="5">
        <v>45843</v>
      </c>
      <c r="I284" s="5" t="str">
        <f t="shared" si="78"/>
        <v>Achieved</v>
      </c>
      <c r="J284" s="14">
        <f t="shared" si="79"/>
        <v>18</v>
      </c>
      <c r="K284" s="14">
        <f t="shared" si="66"/>
        <v>18</v>
      </c>
      <c r="L284" s="3" t="s">
        <v>646</v>
      </c>
      <c r="M284" s="3" t="s">
        <v>653</v>
      </c>
      <c r="N284" s="3" t="s">
        <v>679</v>
      </c>
      <c r="O284" s="3" t="s">
        <v>703</v>
      </c>
      <c r="P284" s="3" t="s">
        <v>708</v>
      </c>
      <c r="Q284" s="3" t="s">
        <v>715</v>
      </c>
      <c r="R284" s="3" t="s">
        <v>730</v>
      </c>
      <c r="S284" s="3" t="s">
        <v>1082</v>
      </c>
      <c r="T284" s="21">
        <v>982.93</v>
      </c>
      <c r="U284" s="21" t="str">
        <f t="shared" si="80"/>
        <v>High</v>
      </c>
      <c r="V284">
        <f t="shared" si="67"/>
        <v>2299.3000000000002</v>
      </c>
      <c r="W284" s="7">
        <v>2299.3000000000002</v>
      </c>
      <c r="X284" s="8">
        <v>0.113</v>
      </c>
      <c r="Y284" s="14">
        <v>6</v>
      </c>
      <c r="Z284" s="7">
        <f t="shared" si="68"/>
        <v>259.82090000000005</v>
      </c>
      <c r="AA284" s="7">
        <f t="shared" si="69"/>
        <v>12236.874600000001</v>
      </c>
      <c r="AB284" s="7">
        <f t="shared" si="70"/>
        <v>11977.0537</v>
      </c>
      <c r="AC284" s="7">
        <f t="shared" si="71"/>
        <v>5897.58</v>
      </c>
      <c r="AD284" s="7">
        <f t="shared" si="72"/>
        <v>6339.2946000000011</v>
      </c>
      <c r="AE284" s="7">
        <f t="shared" si="73"/>
        <v>6079.4737000000005</v>
      </c>
      <c r="AF284" s="26">
        <f t="shared" si="74"/>
        <v>2.0748976020672889</v>
      </c>
      <c r="AG284" s="8">
        <f>IF(DASHBOARD!$Q$7&gt;'staging data'!X284,'staging data'!X284,DASHBOARD!$Q$7)</f>
        <v>0.113</v>
      </c>
      <c r="AH284">
        <f>(100%+DASHBOARD!$Q$8)*'staging data'!T284</f>
        <v>1130.3694999999998</v>
      </c>
      <c r="AI284">
        <f>(100%+DASHBOARD!$Q$9)*'staging data'!Y284</f>
        <v>7.1999999999999993</v>
      </c>
    </row>
    <row r="285" spans="1:35" x14ac:dyDescent="0.3">
      <c r="A285" s="3" t="s">
        <v>362</v>
      </c>
      <c r="B285" s="28">
        <v>45367</v>
      </c>
      <c r="C285" s="28" t="str">
        <f t="shared" si="75"/>
        <v>Q1</v>
      </c>
      <c r="D285" s="28" t="str">
        <f t="shared" si="76"/>
        <v>2023</v>
      </c>
      <c r="E285" s="28" t="str">
        <f t="shared" si="77"/>
        <v>Dec</v>
      </c>
      <c r="F285" s="5">
        <v>45281</v>
      </c>
      <c r="G285" s="5">
        <f t="shared" si="65"/>
        <v>45297</v>
      </c>
      <c r="H285" s="5">
        <v>45297</v>
      </c>
      <c r="I285" s="5" t="str">
        <f t="shared" si="78"/>
        <v>Achieved</v>
      </c>
      <c r="J285" s="14">
        <f t="shared" si="79"/>
        <v>16</v>
      </c>
      <c r="K285" s="14">
        <f t="shared" si="66"/>
        <v>16</v>
      </c>
      <c r="L285" s="3" t="s">
        <v>645</v>
      </c>
      <c r="M285" s="3" t="s">
        <v>650</v>
      </c>
      <c r="N285" s="3" t="s">
        <v>662</v>
      </c>
      <c r="O285" s="3" t="s">
        <v>700</v>
      </c>
      <c r="P285" s="3" t="s">
        <v>708</v>
      </c>
      <c r="Q285" s="3" t="s">
        <v>722</v>
      </c>
      <c r="R285" s="3" t="s">
        <v>726</v>
      </c>
      <c r="S285" s="3" t="s">
        <v>1081</v>
      </c>
      <c r="T285" s="21">
        <v>932.61</v>
      </c>
      <c r="U285" s="21" t="str">
        <f t="shared" si="80"/>
        <v>High</v>
      </c>
      <c r="V285">
        <f t="shared" si="67"/>
        <v>1982.98</v>
      </c>
      <c r="W285" s="7">
        <v>1982.98</v>
      </c>
      <c r="X285" s="8">
        <v>0.14399999999999999</v>
      </c>
      <c r="Y285" s="14">
        <v>16</v>
      </c>
      <c r="Z285" s="7">
        <f t="shared" si="68"/>
        <v>285.54911999999996</v>
      </c>
      <c r="AA285" s="7">
        <f t="shared" si="69"/>
        <v>27158.894079999998</v>
      </c>
      <c r="AB285" s="7">
        <f t="shared" si="70"/>
        <v>26873.344959999999</v>
      </c>
      <c r="AC285" s="7">
        <f t="shared" si="71"/>
        <v>14921.76</v>
      </c>
      <c r="AD285" s="7">
        <f t="shared" si="72"/>
        <v>12237.134079999998</v>
      </c>
      <c r="AE285" s="7">
        <f t="shared" si="73"/>
        <v>11951.584959999998</v>
      </c>
      <c r="AF285" s="26">
        <f t="shared" si="74"/>
        <v>1.8200865099023169</v>
      </c>
      <c r="AG285" s="8">
        <f>IF(DASHBOARD!$Q$7&gt;'staging data'!X285,'staging data'!X285,DASHBOARD!$Q$7)</f>
        <v>0.14399999999999999</v>
      </c>
      <c r="AH285">
        <f>(100%+DASHBOARD!$Q$8)*'staging data'!T285</f>
        <v>1072.5014999999999</v>
      </c>
      <c r="AI285">
        <f>(100%+DASHBOARD!$Q$9)*'staging data'!Y285</f>
        <v>19.2</v>
      </c>
    </row>
    <row r="286" spans="1:35" x14ac:dyDescent="0.3">
      <c r="A286" s="3" t="s">
        <v>361</v>
      </c>
      <c r="B286" s="28">
        <v>45369</v>
      </c>
      <c r="C286" s="28" t="str">
        <f t="shared" si="75"/>
        <v>Q1</v>
      </c>
      <c r="D286" s="28" t="str">
        <f t="shared" si="76"/>
        <v>2023</v>
      </c>
      <c r="E286" s="28" t="str">
        <f t="shared" si="77"/>
        <v>May</v>
      </c>
      <c r="F286" s="5">
        <v>45050</v>
      </c>
      <c r="G286" s="5">
        <f t="shared" si="65"/>
        <v>45062</v>
      </c>
      <c r="H286" s="5">
        <v>45062</v>
      </c>
      <c r="I286" s="5" t="str">
        <f t="shared" si="78"/>
        <v>Achieved</v>
      </c>
      <c r="J286" s="14">
        <f t="shared" si="79"/>
        <v>12</v>
      </c>
      <c r="K286" s="14">
        <f t="shared" si="66"/>
        <v>12</v>
      </c>
      <c r="L286" s="3" t="s">
        <v>645</v>
      </c>
      <c r="M286" s="3" t="s">
        <v>650</v>
      </c>
      <c r="N286" s="3" t="s">
        <v>668</v>
      </c>
      <c r="O286" s="3" t="s">
        <v>704</v>
      </c>
      <c r="P286" s="3" t="s">
        <v>708</v>
      </c>
      <c r="Q286" s="3" t="s">
        <v>712</v>
      </c>
      <c r="R286" s="3" t="s">
        <v>729</v>
      </c>
      <c r="S286" s="3" t="s">
        <v>1080</v>
      </c>
      <c r="T286" s="21">
        <v>77.739999999999995</v>
      </c>
      <c r="U286" s="21" t="str">
        <f t="shared" si="80"/>
        <v>Low</v>
      </c>
      <c r="V286">
        <f t="shared" si="67"/>
        <v>147.12</v>
      </c>
      <c r="W286" s="7">
        <v>147.12</v>
      </c>
      <c r="X286" s="8">
        <v>0</v>
      </c>
      <c r="Y286" s="14">
        <v>15</v>
      </c>
      <c r="Z286" s="7">
        <f t="shared" si="68"/>
        <v>0</v>
      </c>
      <c r="AA286" s="7">
        <f t="shared" si="69"/>
        <v>2206.8000000000002</v>
      </c>
      <c r="AB286" s="7">
        <f t="shared" si="70"/>
        <v>2206.8000000000002</v>
      </c>
      <c r="AC286" s="7">
        <f t="shared" si="71"/>
        <v>1166.0999999999999</v>
      </c>
      <c r="AD286" s="7">
        <f t="shared" si="72"/>
        <v>1040.7000000000003</v>
      </c>
      <c r="AE286" s="7">
        <f t="shared" si="73"/>
        <v>1040.7000000000003</v>
      </c>
      <c r="AF286" s="26">
        <f t="shared" si="74"/>
        <v>1.8924620529971703</v>
      </c>
      <c r="AG286" s="8">
        <f>IF(DASHBOARD!$Q$7&gt;'staging data'!X286,'staging data'!X286,DASHBOARD!$Q$7)</f>
        <v>0</v>
      </c>
      <c r="AH286">
        <f>(100%+DASHBOARD!$Q$8)*'staging data'!T286</f>
        <v>89.400999999999982</v>
      </c>
      <c r="AI286">
        <f>(100%+DASHBOARD!$Q$9)*'staging data'!Y286</f>
        <v>18</v>
      </c>
    </row>
    <row r="287" spans="1:35" x14ac:dyDescent="0.3">
      <c r="A287" s="3" t="s">
        <v>360</v>
      </c>
      <c r="B287" s="28">
        <v>45374</v>
      </c>
      <c r="C287" s="28" t="str">
        <f t="shared" si="75"/>
        <v>Q1</v>
      </c>
      <c r="D287" s="28" t="str">
        <f t="shared" si="76"/>
        <v>2024</v>
      </c>
      <c r="E287" s="28" t="str">
        <f t="shared" si="77"/>
        <v>Jul</v>
      </c>
      <c r="F287" s="5">
        <v>45498</v>
      </c>
      <c r="G287" s="5">
        <f t="shared" si="65"/>
        <v>45506</v>
      </c>
      <c r="H287" s="5">
        <v>45506</v>
      </c>
      <c r="I287" s="5" t="str">
        <f t="shared" si="78"/>
        <v>Achieved</v>
      </c>
      <c r="J287" s="14">
        <f t="shared" si="79"/>
        <v>8</v>
      </c>
      <c r="K287" s="14">
        <f t="shared" si="66"/>
        <v>8</v>
      </c>
      <c r="L287" s="3" t="s">
        <v>647</v>
      </c>
      <c r="M287" s="3" t="s">
        <v>652</v>
      </c>
      <c r="N287" s="3" t="s">
        <v>680</v>
      </c>
      <c r="O287" s="3" t="s">
        <v>703</v>
      </c>
      <c r="P287" s="3" t="s">
        <v>710</v>
      </c>
      <c r="Q287" s="3" t="s">
        <v>712</v>
      </c>
      <c r="R287" s="3" t="s">
        <v>732</v>
      </c>
      <c r="S287" s="3" t="s">
        <v>1079</v>
      </c>
      <c r="T287" s="21">
        <v>986.81</v>
      </c>
      <c r="U287" s="21" t="str">
        <f t="shared" si="80"/>
        <v>High</v>
      </c>
      <c r="V287">
        <f t="shared" si="67"/>
        <v>2050.31</v>
      </c>
      <c r="W287" s="7">
        <v>2050.31</v>
      </c>
      <c r="X287" s="8">
        <v>0.10299999999999999</v>
      </c>
      <c r="Y287" s="14">
        <v>43</v>
      </c>
      <c r="Z287" s="7">
        <f t="shared" si="68"/>
        <v>211.18192999999999</v>
      </c>
      <c r="AA287" s="7">
        <f t="shared" si="69"/>
        <v>79082.507010000001</v>
      </c>
      <c r="AB287" s="7">
        <f t="shared" si="70"/>
        <v>78871.325079999995</v>
      </c>
      <c r="AC287" s="7">
        <f t="shared" si="71"/>
        <v>42432.829999999994</v>
      </c>
      <c r="AD287" s="7">
        <f t="shared" si="72"/>
        <v>36649.677010000007</v>
      </c>
      <c r="AE287" s="7">
        <f t="shared" si="73"/>
        <v>36438.495080000001</v>
      </c>
      <c r="AF287" s="26">
        <f t="shared" si="74"/>
        <v>1.8637104103120157</v>
      </c>
      <c r="AG287" s="8">
        <f>IF(DASHBOARD!$Q$7&gt;'staging data'!X287,'staging data'!X287,DASHBOARD!$Q$7)</f>
        <v>0.10299999999999999</v>
      </c>
      <c r="AH287">
        <f>(100%+DASHBOARD!$Q$8)*'staging data'!T287</f>
        <v>1134.8314999999998</v>
      </c>
      <c r="AI287">
        <f>(100%+DASHBOARD!$Q$9)*'staging data'!Y287</f>
        <v>51.6</v>
      </c>
    </row>
    <row r="288" spans="1:35" x14ac:dyDescent="0.3">
      <c r="A288" s="3" t="s">
        <v>359</v>
      </c>
      <c r="B288" s="28">
        <v>45377</v>
      </c>
      <c r="C288" s="28" t="str">
        <f t="shared" si="75"/>
        <v>Q1</v>
      </c>
      <c r="D288" s="28" t="str">
        <f t="shared" si="76"/>
        <v>2023</v>
      </c>
      <c r="E288" s="28" t="str">
        <f t="shared" si="77"/>
        <v>Dec</v>
      </c>
      <c r="F288" s="5">
        <v>45261</v>
      </c>
      <c r="G288" s="5">
        <f t="shared" si="65"/>
        <v>45278</v>
      </c>
      <c r="H288" s="5">
        <v>45278</v>
      </c>
      <c r="I288" s="5" t="str">
        <f t="shared" si="78"/>
        <v>Achieved</v>
      </c>
      <c r="J288" s="14">
        <f t="shared" si="79"/>
        <v>17</v>
      </c>
      <c r="K288" s="14">
        <f t="shared" si="66"/>
        <v>17</v>
      </c>
      <c r="L288" s="3" t="s">
        <v>646</v>
      </c>
      <c r="M288" s="3" t="s">
        <v>651</v>
      </c>
      <c r="N288" s="3" t="s">
        <v>693</v>
      </c>
      <c r="O288" s="3" t="s">
        <v>704</v>
      </c>
      <c r="P288" s="3" t="s">
        <v>710</v>
      </c>
      <c r="Q288" s="3" t="s">
        <v>724</v>
      </c>
      <c r="R288" s="3" t="s">
        <v>730</v>
      </c>
      <c r="S288" s="3" t="s">
        <v>1078</v>
      </c>
      <c r="T288" s="21">
        <v>1495.79</v>
      </c>
      <c r="U288" s="21" t="str">
        <f t="shared" si="80"/>
        <v>High</v>
      </c>
      <c r="V288">
        <f t="shared" si="67"/>
        <v>2783.12</v>
      </c>
      <c r="W288" s="7">
        <v>2783.12</v>
      </c>
      <c r="X288" s="8">
        <v>0.02</v>
      </c>
      <c r="Y288" s="14">
        <v>5</v>
      </c>
      <c r="Z288" s="7">
        <f t="shared" si="68"/>
        <v>55.662399999999998</v>
      </c>
      <c r="AA288" s="7">
        <f t="shared" si="69"/>
        <v>13637.287999999999</v>
      </c>
      <c r="AB288" s="7">
        <f t="shared" si="70"/>
        <v>13581.625599999999</v>
      </c>
      <c r="AC288" s="7">
        <f t="shared" si="71"/>
        <v>7478.95</v>
      </c>
      <c r="AD288" s="7">
        <f t="shared" si="72"/>
        <v>6158.3379999999988</v>
      </c>
      <c r="AE288" s="7">
        <f t="shared" si="73"/>
        <v>6102.6755999999996</v>
      </c>
      <c r="AF288" s="26">
        <f t="shared" si="74"/>
        <v>1.8234228066774079</v>
      </c>
      <c r="AG288" s="8">
        <f>IF(DASHBOARD!$Q$7&gt;'staging data'!X288,'staging data'!X288,DASHBOARD!$Q$7)</f>
        <v>0.02</v>
      </c>
      <c r="AH288">
        <f>(100%+DASHBOARD!$Q$8)*'staging data'!T288</f>
        <v>1720.1584999999998</v>
      </c>
      <c r="AI288">
        <f>(100%+DASHBOARD!$Q$9)*'staging data'!Y288</f>
        <v>6</v>
      </c>
    </row>
    <row r="289" spans="1:35" x14ac:dyDescent="0.3">
      <c r="A289" s="3" t="s">
        <v>358</v>
      </c>
      <c r="B289" s="28">
        <v>45378</v>
      </c>
      <c r="C289" s="28" t="str">
        <f t="shared" si="75"/>
        <v>Q1</v>
      </c>
      <c r="D289" s="28" t="str">
        <f t="shared" si="76"/>
        <v>2024</v>
      </c>
      <c r="E289" s="28" t="str">
        <f t="shared" si="77"/>
        <v>Jul</v>
      </c>
      <c r="F289" s="5">
        <v>45486</v>
      </c>
      <c r="G289" s="5">
        <f t="shared" si="65"/>
        <v>45486</v>
      </c>
      <c r="H289" s="5">
        <v>45485</v>
      </c>
      <c r="I289" s="5" t="str">
        <f t="shared" si="78"/>
        <v>Not achieved</v>
      </c>
      <c r="J289" s="14">
        <f t="shared" si="79"/>
        <v>0</v>
      </c>
      <c r="K289" s="14">
        <f t="shared" si="66"/>
        <v>-1</v>
      </c>
      <c r="L289" s="3" t="s">
        <v>646</v>
      </c>
      <c r="M289" s="3" t="s">
        <v>651</v>
      </c>
      <c r="N289" s="3" t="s">
        <v>693</v>
      </c>
      <c r="O289" s="3" t="s">
        <v>704</v>
      </c>
      <c r="P289" s="3" t="s">
        <v>708</v>
      </c>
      <c r="Q289" s="3" t="s">
        <v>720</v>
      </c>
      <c r="R289" s="3" t="s">
        <v>728</v>
      </c>
      <c r="S289" s="3" t="s">
        <v>1077</v>
      </c>
      <c r="T289" s="21">
        <v>105.13</v>
      </c>
      <c r="U289" s="21" t="str">
        <f t="shared" si="80"/>
        <v>Low</v>
      </c>
      <c r="V289">
        <f t="shared" si="67"/>
        <v>244.13</v>
      </c>
      <c r="W289" s="7">
        <v>244.13</v>
      </c>
      <c r="X289" s="8">
        <v>7.0999999999999994E-2</v>
      </c>
      <c r="Y289" s="14">
        <v>14</v>
      </c>
      <c r="Z289" s="7">
        <f t="shared" si="68"/>
        <v>17.333229999999997</v>
      </c>
      <c r="AA289" s="7">
        <f t="shared" si="69"/>
        <v>3175.1547799999998</v>
      </c>
      <c r="AB289" s="7">
        <f t="shared" si="70"/>
        <v>3157.8215499999997</v>
      </c>
      <c r="AC289" s="7">
        <f t="shared" si="71"/>
        <v>1471.82</v>
      </c>
      <c r="AD289" s="7">
        <f t="shared" si="72"/>
        <v>1703.3347799999999</v>
      </c>
      <c r="AE289" s="7">
        <f t="shared" si="73"/>
        <v>1686.0015499999997</v>
      </c>
      <c r="AF289" s="26">
        <f t="shared" si="74"/>
        <v>2.1572982973461428</v>
      </c>
      <c r="AG289" s="8">
        <f>IF(DASHBOARD!$Q$7&gt;'staging data'!X289,'staging data'!X289,DASHBOARD!$Q$7)</f>
        <v>7.0999999999999994E-2</v>
      </c>
      <c r="AH289">
        <f>(100%+DASHBOARD!$Q$8)*'staging data'!T289</f>
        <v>120.89949999999999</v>
      </c>
      <c r="AI289">
        <f>(100%+DASHBOARD!$Q$9)*'staging data'!Y289</f>
        <v>16.8</v>
      </c>
    </row>
    <row r="290" spans="1:35" x14ac:dyDescent="0.3">
      <c r="A290" s="3" t="s">
        <v>357</v>
      </c>
      <c r="B290" s="28">
        <v>45381</v>
      </c>
      <c r="C290" s="28" t="str">
        <f t="shared" si="75"/>
        <v>Q1</v>
      </c>
      <c r="D290" s="28" t="str">
        <f t="shared" si="76"/>
        <v>2024</v>
      </c>
      <c r="E290" s="28" t="str">
        <f t="shared" si="77"/>
        <v>Feb</v>
      </c>
      <c r="F290" s="5">
        <v>45339</v>
      </c>
      <c r="G290" s="5">
        <f t="shared" si="65"/>
        <v>45355</v>
      </c>
      <c r="H290" s="5">
        <v>45355</v>
      </c>
      <c r="I290" s="5" t="str">
        <f t="shared" si="78"/>
        <v>Achieved</v>
      </c>
      <c r="J290" s="14">
        <f t="shared" si="79"/>
        <v>16</v>
      </c>
      <c r="K290" s="14">
        <f t="shared" si="66"/>
        <v>16</v>
      </c>
      <c r="L290" s="3" t="s">
        <v>646</v>
      </c>
      <c r="M290" s="3" t="s">
        <v>653</v>
      </c>
      <c r="N290" s="3" t="s">
        <v>679</v>
      </c>
      <c r="O290" s="3" t="s">
        <v>704</v>
      </c>
      <c r="P290" s="3" t="s">
        <v>708</v>
      </c>
      <c r="Q290" s="3" t="s">
        <v>720</v>
      </c>
      <c r="R290" s="3" t="s">
        <v>729</v>
      </c>
      <c r="S290" s="3" t="s">
        <v>1076</v>
      </c>
      <c r="T290" s="21">
        <v>1231.8</v>
      </c>
      <c r="U290" s="21" t="str">
        <f t="shared" si="80"/>
        <v>High</v>
      </c>
      <c r="V290">
        <f t="shared" si="67"/>
        <v>2015.99</v>
      </c>
      <c r="W290" s="7">
        <v>2015.99</v>
      </c>
      <c r="X290" s="8">
        <v>0.26100000000000001</v>
      </c>
      <c r="Y290" s="14">
        <v>6</v>
      </c>
      <c r="Z290" s="7">
        <f t="shared" si="68"/>
        <v>526.17339000000004</v>
      </c>
      <c r="AA290" s="7">
        <f t="shared" si="69"/>
        <v>8938.8996600000009</v>
      </c>
      <c r="AB290" s="7">
        <f t="shared" si="70"/>
        <v>8412.726270000001</v>
      </c>
      <c r="AC290" s="7">
        <f t="shared" si="71"/>
        <v>7390.7999999999993</v>
      </c>
      <c r="AD290" s="7">
        <f t="shared" si="72"/>
        <v>1548.0996600000017</v>
      </c>
      <c r="AE290" s="7">
        <f t="shared" si="73"/>
        <v>1021.9262700000018</v>
      </c>
      <c r="AF290" s="26">
        <f t="shared" si="74"/>
        <v>1.2094630703036209</v>
      </c>
      <c r="AG290" s="8">
        <f>IF(DASHBOARD!$Q$7&gt;'staging data'!X290,'staging data'!X290,DASHBOARD!$Q$7)</f>
        <v>0.2</v>
      </c>
      <c r="AH290">
        <f>(100%+DASHBOARD!$Q$8)*'staging data'!T290</f>
        <v>1416.57</v>
      </c>
      <c r="AI290">
        <f>(100%+DASHBOARD!$Q$9)*'staging data'!Y290</f>
        <v>7.1999999999999993</v>
      </c>
    </row>
    <row r="291" spans="1:35" x14ac:dyDescent="0.3">
      <c r="A291" s="3" t="s">
        <v>356</v>
      </c>
      <c r="B291" s="28">
        <v>45382</v>
      </c>
      <c r="C291" s="28" t="str">
        <f t="shared" si="75"/>
        <v>Q1</v>
      </c>
      <c r="D291" s="28" t="str">
        <f t="shared" si="76"/>
        <v>2024</v>
      </c>
      <c r="E291" s="28" t="str">
        <f t="shared" si="77"/>
        <v>Oct</v>
      </c>
      <c r="F291" s="5">
        <v>45594</v>
      </c>
      <c r="G291" s="5">
        <f t="shared" si="65"/>
        <v>45600</v>
      </c>
      <c r="H291" s="5">
        <v>45600</v>
      </c>
      <c r="I291" s="5" t="str">
        <f t="shared" si="78"/>
        <v>Not achieved</v>
      </c>
      <c r="J291" s="14">
        <f t="shared" si="79"/>
        <v>6</v>
      </c>
      <c r="K291" s="14">
        <f t="shared" si="66"/>
        <v>6</v>
      </c>
      <c r="L291" s="3" t="s">
        <v>645</v>
      </c>
      <c r="M291" s="3" t="s">
        <v>649</v>
      </c>
      <c r="N291" s="3" t="s">
        <v>663</v>
      </c>
      <c r="O291" s="3" t="s">
        <v>700</v>
      </c>
      <c r="P291" s="3" t="s">
        <v>709</v>
      </c>
      <c r="Q291" s="3" t="s">
        <v>723</v>
      </c>
      <c r="R291" s="3" t="s">
        <v>727</v>
      </c>
      <c r="S291" s="3" t="s">
        <v>1075</v>
      </c>
      <c r="T291" s="21">
        <v>805.81</v>
      </c>
      <c r="U291" s="21" t="str">
        <f t="shared" si="80"/>
        <v>Medium</v>
      </c>
      <c r="V291">
        <f t="shared" si="67"/>
        <v>1823.04</v>
      </c>
      <c r="W291" s="7">
        <v>1823.04</v>
      </c>
      <c r="X291" s="8">
        <v>0</v>
      </c>
      <c r="Y291" s="14">
        <v>11</v>
      </c>
      <c r="Z291" s="7">
        <f t="shared" si="68"/>
        <v>0</v>
      </c>
      <c r="AA291" s="7">
        <f t="shared" si="69"/>
        <v>20053.439999999999</v>
      </c>
      <c r="AB291" s="7">
        <f t="shared" si="70"/>
        <v>20053.439999999999</v>
      </c>
      <c r="AC291" s="7">
        <f t="shared" si="71"/>
        <v>8863.91</v>
      </c>
      <c r="AD291" s="7">
        <f t="shared" si="72"/>
        <v>11189.529999999999</v>
      </c>
      <c r="AE291" s="7">
        <f t="shared" si="73"/>
        <v>11189.529999999999</v>
      </c>
      <c r="AF291" s="26">
        <f t="shared" si="74"/>
        <v>2.2623695412069842</v>
      </c>
      <c r="AG291" s="8">
        <f>IF(DASHBOARD!$Q$7&gt;'staging data'!X291,'staging data'!X291,DASHBOARD!$Q$7)</f>
        <v>0</v>
      </c>
      <c r="AH291">
        <f>(100%+DASHBOARD!$Q$8)*'staging data'!T291</f>
        <v>926.68149999999991</v>
      </c>
      <c r="AI291">
        <f>(100%+DASHBOARD!$Q$9)*'staging data'!Y291</f>
        <v>13.2</v>
      </c>
    </row>
    <row r="292" spans="1:35" x14ac:dyDescent="0.3">
      <c r="A292" s="3" t="s">
        <v>354</v>
      </c>
      <c r="B292" s="28">
        <v>45385</v>
      </c>
      <c r="C292" s="28" t="str">
        <f t="shared" si="75"/>
        <v>Q2</v>
      </c>
      <c r="D292" s="28" t="str">
        <f t="shared" si="76"/>
        <v>2023</v>
      </c>
      <c r="E292" s="28" t="str">
        <f t="shared" si="77"/>
        <v>Jul</v>
      </c>
      <c r="F292" s="5">
        <v>45131</v>
      </c>
      <c r="G292" s="5">
        <f t="shared" si="65"/>
        <v>45157</v>
      </c>
      <c r="H292" s="5">
        <v>45157</v>
      </c>
      <c r="I292" s="5" t="str">
        <f t="shared" si="78"/>
        <v>Achieved</v>
      </c>
      <c r="J292" s="14">
        <f t="shared" si="79"/>
        <v>26</v>
      </c>
      <c r="K292" s="14">
        <f t="shared" si="66"/>
        <v>26</v>
      </c>
      <c r="L292" s="3" t="s">
        <v>645</v>
      </c>
      <c r="M292" s="3" t="s">
        <v>649</v>
      </c>
      <c r="N292" s="3" t="s">
        <v>663</v>
      </c>
      <c r="O292" s="3" t="s">
        <v>705</v>
      </c>
      <c r="P292" s="3" t="s">
        <v>709</v>
      </c>
      <c r="Q292" s="3" t="s">
        <v>723</v>
      </c>
      <c r="R292" s="3" t="s">
        <v>732</v>
      </c>
      <c r="S292" s="3" t="s">
        <v>1073</v>
      </c>
      <c r="T292" s="21">
        <v>661.45</v>
      </c>
      <c r="U292" s="21" t="str">
        <f t="shared" si="80"/>
        <v>Medium</v>
      </c>
      <c r="V292">
        <f t="shared" si="67"/>
        <v>1634.86</v>
      </c>
      <c r="W292" s="7">
        <v>1634.86</v>
      </c>
      <c r="X292" s="8">
        <v>0.56499999999999995</v>
      </c>
      <c r="Y292" s="14">
        <v>24</v>
      </c>
      <c r="Z292" s="7">
        <f t="shared" si="68"/>
        <v>923.69589999999982</v>
      </c>
      <c r="AA292" s="7">
        <f t="shared" si="69"/>
        <v>17067.938400000003</v>
      </c>
      <c r="AB292" s="7">
        <f t="shared" si="70"/>
        <v>16144.242500000002</v>
      </c>
      <c r="AC292" s="7">
        <f t="shared" si="71"/>
        <v>15874.800000000001</v>
      </c>
      <c r="AD292" s="7">
        <f t="shared" si="72"/>
        <v>1193.1384000000016</v>
      </c>
      <c r="AE292" s="7">
        <f t="shared" si="73"/>
        <v>269.44250000000102</v>
      </c>
      <c r="AF292" s="26">
        <f t="shared" si="74"/>
        <v>1.0751592712979061</v>
      </c>
      <c r="AG292" s="8">
        <f>IF(DASHBOARD!$Q$7&gt;'staging data'!X292,'staging data'!X292,DASHBOARD!$Q$7)</f>
        <v>0.2</v>
      </c>
      <c r="AH292">
        <f>(100%+DASHBOARD!$Q$8)*'staging data'!T292</f>
        <v>760.66750000000002</v>
      </c>
      <c r="AI292">
        <f>(100%+DASHBOARD!$Q$9)*'staging data'!Y292</f>
        <v>28.799999999999997</v>
      </c>
    </row>
    <row r="293" spans="1:35" x14ac:dyDescent="0.3">
      <c r="A293" s="3" t="s">
        <v>355</v>
      </c>
      <c r="B293" s="28">
        <v>45385</v>
      </c>
      <c r="C293" s="28" t="str">
        <f t="shared" si="75"/>
        <v>Q2</v>
      </c>
      <c r="D293" s="28" t="str">
        <f t="shared" si="76"/>
        <v>2023</v>
      </c>
      <c r="E293" s="28" t="str">
        <f t="shared" si="77"/>
        <v>Apr</v>
      </c>
      <c r="F293" s="5">
        <v>45029</v>
      </c>
      <c r="G293" s="5">
        <f t="shared" si="65"/>
        <v>45029</v>
      </c>
      <c r="H293" s="5">
        <v>45027</v>
      </c>
      <c r="I293" s="5" t="str">
        <f t="shared" si="78"/>
        <v>Not achieved</v>
      </c>
      <c r="J293" s="14">
        <f t="shared" si="79"/>
        <v>0</v>
      </c>
      <c r="K293" s="14">
        <f t="shared" si="66"/>
        <v>-2</v>
      </c>
      <c r="L293" s="3" t="s">
        <v>647</v>
      </c>
      <c r="M293" s="3" t="s">
        <v>659</v>
      </c>
      <c r="N293" s="3" t="s">
        <v>685</v>
      </c>
      <c r="O293" s="3" t="s">
        <v>701</v>
      </c>
      <c r="P293" s="3" t="s">
        <v>708</v>
      </c>
      <c r="Q293" s="3" t="s">
        <v>714</v>
      </c>
      <c r="R293" s="3" t="s">
        <v>728</v>
      </c>
      <c r="S293" s="3" t="s">
        <v>1074</v>
      </c>
      <c r="T293" s="21">
        <v>32.1</v>
      </c>
      <c r="U293" s="21" t="str">
        <f t="shared" si="80"/>
        <v>Low</v>
      </c>
      <c r="V293">
        <f t="shared" si="67"/>
        <v>70.599999999999994</v>
      </c>
      <c r="W293" s="7">
        <v>70.599999999999994</v>
      </c>
      <c r="X293" s="8">
        <v>0.28199999999999997</v>
      </c>
      <c r="Y293" s="14">
        <v>22</v>
      </c>
      <c r="Z293" s="7">
        <f t="shared" si="68"/>
        <v>19.909199999999995</v>
      </c>
      <c r="AA293" s="7">
        <f t="shared" si="69"/>
        <v>1115.1975999999997</v>
      </c>
      <c r="AB293" s="7">
        <f t="shared" si="70"/>
        <v>1095.2883999999997</v>
      </c>
      <c r="AC293" s="7">
        <f t="shared" si="71"/>
        <v>706.2</v>
      </c>
      <c r="AD293" s="7">
        <f t="shared" si="72"/>
        <v>408.99759999999969</v>
      </c>
      <c r="AE293" s="7">
        <f t="shared" si="73"/>
        <v>389.08839999999964</v>
      </c>
      <c r="AF293" s="26">
        <f t="shared" si="74"/>
        <v>1.5791526479750775</v>
      </c>
      <c r="AG293" s="8">
        <f>IF(DASHBOARD!$Q$7&gt;'staging data'!X293,'staging data'!X293,DASHBOARD!$Q$7)</f>
        <v>0.2</v>
      </c>
      <c r="AH293">
        <f>(100%+DASHBOARD!$Q$8)*'staging data'!T293</f>
        <v>36.914999999999999</v>
      </c>
      <c r="AI293">
        <f>(100%+DASHBOARD!$Q$9)*'staging data'!Y293</f>
        <v>26.4</v>
      </c>
    </row>
    <row r="294" spans="1:35" x14ac:dyDescent="0.3">
      <c r="A294" s="3" t="s">
        <v>353</v>
      </c>
      <c r="B294" s="28">
        <v>45386</v>
      </c>
      <c r="C294" s="28" t="str">
        <f t="shared" si="75"/>
        <v>Q2</v>
      </c>
      <c r="D294" s="28" t="str">
        <f t="shared" si="76"/>
        <v>2023</v>
      </c>
      <c r="E294" s="28" t="str">
        <f t="shared" si="77"/>
        <v>Jul</v>
      </c>
      <c r="F294" s="5">
        <v>45121</v>
      </c>
      <c r="G294" s="5">
        <f t="shared" si="65"/>
        <v>45128</v>
      </c>
      <c r="H294" s="5">
        <v>45128</v>
      </c>
      <c r="I294" s="5" t="str">
        <f t="shared" si="78"/>
        <v>Achieved</v>
      </c>
      <c r="J294" s="14">
        <f t="shared" si="79"/>
        <v>7</v>
      </c>
      <c r="K294" s="14">
        <f t="shared" si="66"/>
        <v>7</v>
      </c>
      <c r="L294" s="3" t="s">
        <v>645</v>
      </c>
      <c r="M294" s="3" t="s">
        <v>660</v>
      </c>
      <c r="N294" s="3" t="s">
        <v>686</v>
      </c>
      <c r="O294" s="3" t="s">
        <v>705</v>
      </c>
      <c r="P294" s="3" t="s">
        <v>708</v>
      </c>
      <c r="Q294" s="3" t="s">
        <v>712</v>
      </c>
      <c r="R294" s="3" t="s">
        <v>731</v>
      </c>
      <c r="S294" s="3" t="s">
        <v>1072</v>
      </c>
      <c r="T294" s="21">
        <v>620.74</v>
      </c>
      <c r="U294" s="21" t="str">
        <f t="shared" si="80"/>
        <v>Medium</v>
      </c>
      <c r="V294">
        <f t="shared" si="67"/>
        <v>1330.07</v>
      </c>
      <c r="W294" s="7">
        <v>1330.07</v>
      </c>
      <c r="X294" s="8">
        <v>0.29899999999999999</v>
      </c>
      <c r="Y294" s="14">
        <v>28</v>
      </c>
      <c r="Z294" s="7">
        <f t="shared" si="68"/>
        <v>397.69092999999998</v>
      </c>
      <c r="AA294" s="7">
        <f t="shared" si="69"/>
        <v>26106.613960000002</v>
      </c>
      <c r="AB294" s="7">
        <f t="shared" si="70"/>
        <v>25708.923030000002</v>
      </c>
      <c r="AC294" s="7">
        <f t="shared" si="71"/>
        <v>17380.72</v>
      </c>
      <c r="AD294" s="7">
        <f t="shared" si="72"/>
        <v>8725.8939600000012</v>
      </c>
      <c r="AE294" s="7">
        <f t="shared" si="73"/>
        <v>8328.2030300000006</v>
      </c>
      <c r="AF294" s="26">
        <f t="shared" si="74"/>
        <v>1.5020444469504142</v>
      </c>
      <c r="AG294" s="8">
        <f>IF(DASHBOARD!$Q$7&gt;'staging data'!X294,'staging data'!X294,DASHBOARD!$Q$7)</f>
        <v>0.2</v>
      </c>
      <c r="AH294">
        <f>(100%+DASHBOARD!$Q$8)*'staging data'!T294</f>
        <v>713.851</v>
      </c>
      <c r="AI294">
        <f>(100%+DASHBOARD!$Q$9)*'staging data'!Y294</f>
        <v>33.6</v>
      </c>
    </row>
    <row r="295" spans="1:35" x14ac:dyDescent="0.3">
      <c r="A295" s="3" t="s">
        <v>352</v>
      </c>
      <c r="B295" s="28">
        <v>45387</v>
      </c>
      <c r="C295" s="28" t="str">
        <f t="shared" si="75"/>
        <v>Q2</v>
      </c>
      <c r="D295" s="28" t="str">
        <f t="shared" si="76"/>
        <v>2023</v>
      </c>
      <c r="E295" s="28" t="str">
        <f t="shared" si="77"/>
        <v>Jul</v>
      </c>
      <c r="F295" s="5">
        <v>45132</v>
      </c>
      <c r="G295" s="5">
        <f t="shared" si="65"/>
        <v>45148</v>
      </c>
      <c r="H295" s="5">
        <v>45148</v>
      </c>
      <c r="I295" s="5" t="str">
        <f t="shared" si="78"/>
        <v>Achieved</v>
      </c>
      <c r="J295" s="14">
        <f t="shared" si="79"/>
        <v>16</v>
      </c>
      <c r="K295" s="14">
        <f t="shared" si="66"/>
        <v>16</v>
      </c>
      <c r="L295" s="3" t="s">
        <v>645</v>
      </c>
      <c r="M295" s="3" t="s">
        <v>650</v>
      </c>
      <c r="N295" s="3" t="s">
        <v>662</v>
      </c>
      <c r="O295" s="3" t="s">
        <v>700</v>
      </c>
      <c r="P295" s="3" t="s">
        <v>709</v>
      </c>
      <c r="Q295" s="3" t="s">
        <v>713</v>
      </c>
      <c r="R295" s="3" t="s">
        <v>732</v>
      </c>
      <c r="S295" s="3" t="s">
        <v>1071</v>
      </c>
      <c r="T295" s="21">
        <v>506.83</v>
      </c>
      <c r="U295" s="21" t="str">
        <f t="shared" si="80"/>
        <v>Low</v>
      </c>
      <c r="V295">
        <f t="shared" si="67"/>
        <v>441.74</v>
      </c>
      <c r="W295" s="7">
        <v>441.74</v>
      </c>
      <c r="X295" s="8">
        <v>0.24</v>
      </c>
      <c r="Y295" s="14">
        <v>9</v>
      </c>
      <c r="Z295" s="7">
        <f t="shared" si="68"/>
        <v>106.0176</v>
      </c>
      <c r="AA295" s="7">
        <f t="shared" si="69"/>
        <v>3021.5016000000001</v>
      </c>
      <c r="AB295" s="7">
        <f t="shared" si="70"/>
        <v>2915.4839999999999</v>
      </c>
      <c r="AC295" s="7">
        <f t="shared" si="71"/>
        <v>4561.47</v>
      </c>
      <c r="AD295" s="7">
        <f t="shared" si="72"/>
        <v>-1539.9684000000002</v>
      </c>
      <c r="AE295" s="7">
        <f t="shared" si="73"/>
        <v>-1645.9860000000003</v>
      </c>
      <c r="AF295" s="26">
        <f t="shared" si="74"/>
        <v>0.6623964642976935</v>
      </c>
      <c r="AG295" s="8">
        <f>IF(DASHBOARD!$Q$7&gt;'staging data'!X295,'staging data'!X295,DASHBOARD!$Q$7)</f>
        <v>0.2</v>
      </c>
      <c r="AH295">
        <f>(100%+DASHBOARD!$Q$8)*'staging data'!T295</f>
        <v>582.85449999999992</v>
      </c>
      <c r="AI295">
        <f>(100%+DASHBOARD!$Q$9)*'staging data'!Y295</f>
        <v>10.799999999999999</v>
      </c>
    </row>
    <row r="296" spans="1:35" x14ac:dyDescent="0.3">
      <c r="A296" s="3" t="s">
        <v>351</v>
      </c>
      <c r="B296" s="28">
        <v>45388</v>
      </c>
      <c r="C296" s="28" t="str">
        <f t="shared" si="75"/>
        <v>Q2</v>
      </c>
      <c r="D296" s="28" t="str">
        <f t="shared" si="76"/>
        <v>2024</v>
      </c>
      <c r="E296" s="28" t="str">
        <f t="shared" si="77"/>
        <v>Feb</v>
      </c>
      <c r="F296" s="5">
        <v>45340</v>
      </c>
      <c r="G296" s="5">
        <f t="shared" si="65"/>
        <v>45354</v>
      </c>
      <c r="H296" s="5">
        <v>45354</v>
      </c>
      <c r="I296" s="5" t="str">
        <f t="shared" si="78"/>
        <v>Achieved</v>
      </c>
      <c r="J296" s="14">
        <f t="shared" si="79"/>
        <v>14</v>
      </c>
      <c r="K296" s="14">
        <f t="shared" si="66"/>
        <v>14</v>
      </c>
      <c r="L296" s="3" t="s">
        <v>647</v>
      </c>
      <c r="M296" s="3" t="s">
        <v>654</v>
      </c>
      <c r="N296" s="3" t="s">
        <v>671</v>
      </c>
      <c r="O296" s="3" t="s">
        <v>705</v>
      </c>
      <c r="P296" s="3" t="s">
        <v>709</v>
      </c>
      <c r="Q296" s="3" t="s">
        <v>719</v>
      </c>
      <c r="R296" s="3" t="s">
        <v>727</v>
      </c>
      <c r="S296" s="3" t="s">
        <v>1070</v>
      </c>
      <c r="T296" s="21">
        <v>624.23</v>
      </c>
      <c r="U296" s="21" t="str">
        <f t="shared" si="80"/>
        <v>Medium</v>
      </c>
      <c r="V296">
        <f t="shared" si="67"/>
        <v>1318.37</v>
      </c>
      <c r="W296" s="7">
        <v>1318.37</v>
      </c>
      <c r="X296" s="8">
        <v>0.21</v>
      </c>
      <c r="Y296" s="14">
        <v>37</v>
      </c>
      <c r="Z296" s="7">
        <f t="shared" si="68"/>
        <v>276.85769999999997</v>
      </c>
      <c r="AA296" s="7">
        <f t="shared" si="69"/>
        <v>38535.955099999999</v>
      </c>
      <c r="AB296" s="7">
        <f t="shared" si="70"/>
        <v>38259.097399999999</v>
      </c>
      <c r="AC296" s="7">
        <f t="shared" si="71"/>
        <v>23096.510000000002</v>
      </c>
      <c r="AD296" s="7">
        <f t="shared" si="72"/>
        <v>15439.445099999997</v>
      </c>
      <c r="AE296" s="7">
        <f t="shared" si="73"/>
        <v>15162.587399999997</v>
      </c>
      <c r="AF296" s="26">
        <f t="shared" si="74"/>
        <v>1.6684752414975248</v>
      </c>
      <c r="AG296" s="8">
        <f>IF(DASHBOARD!$Q$7&gt;'staging data'!X296,'staging data'!X296,DASHBOARD!$Q$7)</f>
        <v>0.2</v>
      </c>
      <c r="AH296">
        <f>(100%+DASHBOARD!$Q$8)*'staging data'!T296</f>
        <v>717.86450000000002</v>
      </c>
      <c r="AI296">
        <f>(100%+DASHBOARD!$Q$9)*'staging data'!Y296</f>
        <v>44.4</v>
      </c>
    </row>
    <row r="297" spans="1:35" x14ac:dyDescent="0.3">
      <c r="A297" s="3" t="s">
        <v>350</v>
      </c>
      <c r="B297" s="28">
        <v>45391</v>
      </c>
      <c r="C297" s="28" t="str">
        <f t="shared" si="75"/>
        <v>Q2</v>
      </c>
      <c r="D297" s="28" t="str">
        <f t="shared" si="76"/>
        <v>2024</v>
      </c>
      <c r="E297" s="28" t="str">
        <f t="shared" si="77"/>
        <v>Jul</v>
      </c>
      <c r="F297" s="5">
        <v>45484</v>
      </c>
      <c r="G297" s="5">
        <f t="shared" si="65"/>
        <v>45504</v>
      </c>
      <c r="H297" s="5">
        <v>45504</v>
      </c>
      <c r="I297" s="5" t="str">
        <f t="shared" si="78"/>
        <v>Achieved</v>
      </c>
      <c r="J297" s="14">
        <f t="shared" si="79"/>
        <v>20</v>
      </c>
      <c r="K297" s="14">
        <f t="shared" si="66"/>
        <v>20</v>
      </c>
      <c r="L297" s="3" t="s">
        <v>646</v>
      </c>
      <c r="M297" s="3" t="s">
        <v>658</v>
      </c>
      <c r="N297" s="3" t="s">
        <v>675</v>
      </c>
      <c r="O297" s="3" t="s">
        <v>703</v>
      </c>
      <c r="P297" s="3" t="s">
        <v>707</v>
      </c>
      <c r="Q297" s="3" t="s">
        <v>714</v>
      </c>
      <c r="R297" s="3" t="s">
        <v>729</v>
      </c>
      <c r="S297" s="3" t="s">
        <v>1069</v>
      </c>
      <c r="T297" s="21">
        <v>647.26</v>
      </c>
      <c r="U297" s="21" t="str">
        <f t="shared" si="80"/>
        <v>Medium</v>
      </c>
      <c r="V297">
        <f t="shared" si="67"/>
        <v>1374.72</v>
      </c>
      <c r="W297" s="7">
        <v>1374.72</v>
      </c>
      <c r="X297" s="8">
        <v>6.6000000000000003E-2</v>
      </c>
      <c r="Y297" s="14">
        <v>22</v>
      </c>
      <c r="Z297" s="7">
        <f t="shared" si="68"/>
        <v>90.731520000000003</v>
      </c>
      <c r="AA297" s="7">
        <f t="shared" si="69"/>
        <v>28247.74656</v>
      </c>
      <c r="AB297" s="7">
        <f t="shared" si="70"/>
        <v>28157.015039999998</v>
      </c>
      <c r="AC297" s="7">
        <f t="shared" si="71"/>
        <v>14239.72</v>
      </c>
      <c r="AD297" s="7">
        <f t="shared" si="72"/>
        <v>14008.02656</v>
      </c>
      <c r="AE297" s="7">
        <f t="shared" si="73"/>
        <v>13917.295039999999</v>
      </c>
      <c r="AF297" s="26">
        <f t="shared" si="74"/>
        <v>1.9837290733244755</v>
      </c>
      <c r="AG297" s="8">
        <f>IF(DASHBOARD!$Q$7&gt;'staging data'!X297,'staging data'!X297,DASHBOARD!$Q$7)</f>
        <v>6.6000000000000003E-2</v>
      </c>
      <c r="AH297">
        <f>(100%+DASHBOARD!$Q$8)*'staging data'!T297</f>
        <v>744.34899999999993</v>
      </c>
      <c r="AI297">
        <f>(100%+DASHBOARD!$Q$9)*'staging data'!Y297</f>
        <v>26.4</v>
      </c>
    </row>
    <row r="298" spans="1:35" x14ac:dyDescent="0.3">
      <c r="A298" s="3" t="s">
        <v>349</v>
      </c>
      <c r="B298" s="28">
        <v>45394</v>
      </c>
      <c r="C298" s="28" t="str">
        <f t="shared" si="75"/>
        <v>Q2</v>
      </c>
      <c r="D298" s="28" t="str">
        <f t="shared" si="76"/>
        <v>2024</v>
      </c>
      <c r="E298" s="28" t="str">
        <f t="shared" si="77"/>
        <v>Apr</v>
      </c>
      <c r="F298" s="5">
        <v>45391</v>
      </c>
      <c r="G298" s="5">
        <f t="shared" si="65"/>
        <v>45400</v>
      </c>
      <c r="H298" s="5">
        <v>45400</v>
      </c>
      <c r="I298" s="5" t="str">
        <f t="shared" si="78"/>
        <v>Achieved</v>
      </c>
      <c r="J298" s="14">
        <f t="shared" si="79"/>
        <v>9</v>
      </c>
      <c r="K298" s="14">
        <f t="shared" si="66"/>
        <v>9</v>
      </c>
      <c r="L298" s="3" t="s">
        <v>648</v>
      </c>
      <c r="M298" s="3" t="s">
        <v>656</v>
      </c>
      <c r="N298" s="3" t="s">
        <v>678</v>
      </c>
      <c r="O298" s="3" t="s">
        <v>703</v>
      </c>
      <c r="P298" s="3" t="s">
        <v>707</v>
      </c>
      <c r="Q298" s="3" t="s">
        <v>717</v>
      </c>
      <c r="R298" s="3" t="s">
        <v>727</v>
      </c>
      <c r="S298" s="3" t="s">
        <v>1068</v>
      </c>
      <c r="T298" s="21">
        <v>1288.8499999999999</v>
      </c>
      <c r="U298" s="21" t="str">
        <f t="shared" si="80"/>
        <v>High</v>
      </c>
      <c r="V298">
        <f t="shared" si="67"/>
        <v>2751.84</v>
      </c>
      <c r="W298" s="7">
        <v>2751.84</v>
      </c>
      <c r="X298" s="8">
        <v>0.158</v>
      </c>
      <c r="Y298" s="14">
        <v>7</v>
      </c>
      <c r="Z298" s="7">
        <f t="shared" si="68"/>
        <v>434.79072000000002</v>
      </c>
      <c r="AA298" s="7">
        <f t="shared" si="69"/>
        <v>16219.34496</v>
      </c>
      <c r="AB298" s="7">
        <f t="shared" si="70"/>
        <v>15784.554239999999</v>
      </c>
      <c r="AC298" s="7">
        <f t="shared" si="71"/>
        <v>9021.9499999999989</v>
      </c>
      <c r="AD298" s="7">
        <f t="shared" si="72"/>
        <v>7197.3949600000014</v>
      </c>
      <c r="AE298" s="7">
        <f t="shared" si="73"/>
        <v>6762.6042400000006</v>
      </c>
      <c r="AF298" s="26">
        <f t="shared" si="74"/>
        <v>1.7977648911820618</v>
      </c>
      <c r="AG298" s="8">
        <f>IF(DASHBOARD!$Q$7&gt;'staging data'!X298,'staging data'!X298,DASHBOARD!$Q$7)</f>
        <v>0.158</v>
      </c>
      <c r="AH298">
        <f>(100%+DASHBOARD!$Q$8)*'staging data'!T298</f>
        <v>1482.1774999999998</v>
      </c>
      <c r="AI298">
        <f>(100%+DASHBOARD!$Q$9)*'staging data'!Y298</f>
        <v>8.4</v>
      </c>
    </row>
    <row r="299" spans="1:35" x14ac:dyDescent="0.3">
      <c r="A299" s="3" t="s">
        <v>348</v>
      </c>
      <c r="B299" s="28">
        <v>45398</v>
      </c>
      <c r="C299" s="28" t="str">
        <f t="shared" si="75"/>
        <v>Q2</v>
      </c>
      <c r="D299" s="28" t="str">
        <f t="shared" si="76"/>
        <v>2025</v>
      </c>
      <c r="E299" s="28" t="str">
        <f t="shared" si="77"/>
        <v>Apr</v>
      </c>
      <c r="F299" s="5">
        <v>45774</v>
      </c>
      <c r="G299" s="5">
        <f t="shared" si="65"/>
        <v>45804</v>
      </c>
      <c r="H299" s="5">
        <v>45804</v>
      </c>
      <c r="I299" s="5" t="str">
        <f t="shared" si="78"/>
        <v>Achieved</v>
      </c>
      <c r="J299" s="14">
        <f t="shared" si="79"/>
        <v>30</v>
      </c>
      <c r="K299" s="14">
        <f t="shared" si="66"/>
        <v>30</v>
      </c>
      <c r="L299" s="3" t="s">
        <v>646</v>
      </c>
      <c r="M299" s="3" t="s">
        <v>653</v>
      </c>
      <c r="N299" s="3" t="s">
        <v>679</v>
      </c>
      <c r="O299" s="3" t="s">
        <v>705</v>
      </c>
      <c r="P299" s="3" t="s">
        <v>708</v>
      </c>
      <c r="Q299" s="3" t="s">
        <v>721</v>
      </c>
      <c r="R299" s="3" t="s">
        <v>729</v>
      </c>
      <c r="S299" s="3" t="s">
        <v>1067</v>
      </c>
      <c r="T299" s="21">
        <v>481.32</v>
      </c>
      <c r="U299" s="21" t="str">
        <f t="shared" si="80"/>
        <v>Medium</v>
      </c>
      <c r="V299">
        <f t="shared" si="67"/>
        <v>1135.99</v>
      </c>
      <c r="W299" s="7">
        <v>1135.99</v>
      </c>
      <c r="X299" s="8">
        <v>0.14499999999999999</v>
      </c>
      <c r="Y299" s="14">
        <v>5</v>
      </c>
      <c r="Z299" s="7">
        <f t="shared" si="68"/>
        <v>164.71854999999999</v>
      </c>
      <c r="AA299" s="7">
        <f t="shared" si="69"/>
        <v>4856.35725</v>
      </c>
      <c r="AB299" s="7">
        <f t="shared" si="70"/>
        <v>4691.6387000000004</v>
      </c>
      <c r="AC299" s="7">
        <f t="shared" si="71"/>
        <v>2406.6</v>
      </c>
      <c r="AD299" s="7">
        <f t="shared" si="72"/>
        <v>2449.7572500000001</v>
      </c>
      <c r="AE299" s="7">
        <f t="shared" si="73"/>
        <v>2285.0387000000005</v>
      </c>
      <c r="AF299" s="26">
        <f t="shared" si="74"/>
        <v>2.0179328721017202</v>
      </c>
      <c r="AG299" s="8">
        <f>IF(DASHBOARD!$Q$7&gt;'staging data'!X299,'staging data'!X299,DASHBOARD!$Q$7)</f>
        <v>0.14499999999999999</v>
      </c>
      <c r="AH299">
        <f>(100%+DASHBOARD!$Q$8)*'staging data'!T299</f>
        <v>553.51799999999992</v>
      </c>
      <c r="AI299">
        <f>(100%+DASHBOARD!$Q$9)*'staging data'!Y299</f>
        <v>6</v>
      </c>
    </row>
    <row r="300" spans="1:35" x14ac:dyDescent="0.3">
      <c r="A300" s="3" t="s">
        <v>347</v>
      </c>
      <c r="B300" s="28">
        <v>45400</v>
      </c>
      <c r="C300" s="28" t="str">
        <f t="shared" si="75"/>
        <v>Q2</v>
      </c>
      <c r="D300" s="28" t="str">
        <f t="shared" si="76"/>
        <v>2023</v>
      </c>
      <c r="E300" s="28" t="str">
        <f t="shared" si="77"/>
        <v>Nov</v>
      </c>
      <c r="F300" s="5">
        <v>45245</v>
      </c>
      <c r="G300" s="5">
        <f t="shared" si="65"/>
        <v>45266</v>
      </c>
      <c r="H300" s="5">
        <v>45266</v>
      </c>
      <c r="I300" s="5" t="str">
        <f t="shared" si="78"/>
        <v>Achieved</v>
      </c>
      <c r="J300" s="14">
        <f t="shared" si="79"/>
        <v>21</v>
      </c>
      <c r="K300" s="14">
        <f t="shared" si="66"/>
        <v>21</v>
      </c>
      <c r="L300" s="3" t="s">
        <v>648</v>
      </c>
      <c r="M300" s="3" t="s">
        <v>657</v>
      </c>
      <c r="N300" s="3" t="s">
        <v>692</v>
      </c>
      <c r="O300" s="3" t="s">
        <v>701</v>
      </c>
      <c r="P300" s="3" t="s">
        <v>710</v>
      </c>
      <c r="Q300" s="3" t="s">
        <v>721</v>
      </c>
      <c r="R300" s="3" t="s">
        <v>732</v>
      </c>
      <c r="S300" s="3" t="s">
        <v>1066</v>
      </c>
      <c r="T300" s="21">
        <v>1184.99</v>
      </c>
      <c r="U300" s="21" t="str">
        <f t="shared" si="80"/>
        <v>Medium</v>
      </c>
      <c r="V300">
        <f t="shared" si="67"/>
        <v>1154.3399999999999</v>
      </c>
      <c r="W300" s="7">
        <v>1154.3399999999999</v>
      </c>
      <c r="X300" s="8">
        <v>2.8000000000000001E-2</v>
      </c>
      <c r="Y300" s="14">
        <v>5</v>
      </c>
      <c r="Z300" s="7">
        <f t="shared" si="68"/>
        <v>32.32152</v>
      </c>
      <c r="AA300" s="7">
        <f t="shared" si="69"/>
        <v>5610.0923999999995</v>
      </c>
      <c r="AB300" s="7">
        <f t="shared" si="70"/>
        <v>5577.7708799999991</v>
      </c>
      <c r="AC300" s="7">
        <f t="shared" si="71"/>
        <v>5924.95</v>
      </c>
      <c r="AD300" s="7">
        <f t="shared" si="72"/>
        <v>-314.85760000000028</v>
      </c>
      <c r="AE300" s="7">
        <f t="shared" si="73"/>
        <v>-347.17912000000069</v>
      </c>
      <c r="AF300" s="26">
        <f t="shared" si="74"/>
        <v>0.9468590283462307</v>
      </c>
      <c r="AG300" s="8">
        <f>IF(DASHBOARD!$Q$7&gt;'staging data'!X300,'staging data'!X300,DASHBOARD!$Q$7)</f>
        <v>2.8000000000000001E-2</v>
      </c>
      <c r="AH300">
        <f>(100%+DASHBOARD!$Q$8)*'staging data'!T300</f>
        <v>1362.7384999999999</v>
      </c>
      <c r="AI300">
        <f>(100%+DASHBOARD!$Q$9)*'staging data'!Y300</f>
        <v>6</v>
      </c>
    </row>
    <row r="301" spans="1:35" x14ac:dyDescent="0.3">
      <c r="A301" s="3" t="s">
        <v>346</v>
      </c>
      <c r="B301" s="28">
        <v>45401</v>
      </c>
      <c r="C301" s="28" t="str">
        <f t="shared" si="75"/>
        <v>Q2</v>
      </c>
      <c r="D301" s="28" t="str">
        <f t="shared" si="76"/>
        <v>2023</v>
      </c>
      <c r="E301" s="28" t="str">
        <f t="shared" si="77"/>
        <v>Aug</v>
      </c>
      <c r="F301" s="5">
        <v>45168</v>
      </c>
      <c r="G301" s="5">
        <f t="shared" si="65"/>
        <v>45172</v>
      </c>
      <c r="H301" s="5">
        <v>45172</v>
      </c>
      <c r="I301" s="5" t="str">
        <f t="shared" si="78"/>
        <v>Not achieved</v>
      </c>
      <c r="J301" s="14">
        <f t="shared" si="79"/>
        <v>4</v>
      </c>
      <c r="K301" s="14">
        <f t="shared" si="66"/>
        <v>4</v>
      </c>
      <c r="L301" s="3" t="s">
        <v>646</v>
      </c>
      <c r="M301" s="3" t="s">
        <v>653</v>
      </c>
      <c r="N301" s="3" t="s">
        <v>679</v>
      </c>
      <c r="O301" s="3" t="s">
        <v>704</v>
      </c>
      <c r="P301" s="3" t="s">
        <v>708</v>
      </c>
      <c r="Q301" s="3" t="s">
        <v>715</v>
      </c>
      <c r="R301" s="3" t="s">
        <v>732</v>
      </c>
      <c r="S301" s="3" t="s">
        <v>1065</v>
      </c>
      <c r="T301" s="21">
        <v>1082.25</v>
      </c>
      <c r="U301" s="21" t="str">
        <f t="shared" si="80"/>
        <v>High</v>
      </c>
      <c r="V301">
        <f t="shared" si="67"/>
        <v>2433.34</v>
      </c>
      <c r="W301" s="7">
        <v>2433.34</v>
      </c>
      <c r="X301" s="8">
        <v>0.27</v>
      </c>
      <c r="Y301" s="14">
        <v>4</v>
      </c>
      <c r="Z301" s="7">
        <f t="shared" si="68"/>
        <v>657.00180000000012</v>
      </c>
      <c r="AA301" s="7">
        <f t="shared" si="69"/>
        <v>7105.3528000000006</v>
      </c>
      <c r="AB301" s="7">
        <f t="shared" si="70"/>
        <v>6448.3510000000006</v>
      </c>
      <c r="AC301" s="7">
        <f t="shared" si="71"/>
        <v>4329</v>
      </c>
      <c r="AD301" s="7">
        <f t="shared" si="72"/>
        <v>2776.3528000000006</v>
      </c>
      <c r="AE301" s="7">
        <f t="shared" si="73"/>
        <v>2119.3510000000006</v>
      </c>
      <c r="AF301" s="26">
        <f t="shared" si="74"/>
        <v>1.6413381381381382</v>
      </c>
      <c r="AG301" s="8">
        <f>IF(DASHBOARD!$Q$7&gt;'staging data'!X301,'staging data'!X301,DASHBOARD!$Q$7)</f>
        <v>0.2</v>
      </c>
      <c r="AH301">
        <f>(100%+DASHBOARD!$Q$8)*'staging data'!T301</f>
        <v>1244.5874999999999</v>
      </c>
      <c r="AI301">
        <f>(100%+DASHBOARD!$Q$9)*'staging data'!Y301</f>
        <v>4.8</v>
      </c>
    </row>
    <row r="302" spans="1:35" x14ac:dyDescent="0.3">
      <c r="A302" s="3" t="s">
        <v>345</v>
      </c>
      <c r="B302" s="28">
        <v>45403</v>
      </c>
      <c r="C302" s="28" t="str">
        <f t="shared" si="75"/>
        <v>Q2</v>
      </c>
      <c r="D302" s="28" t="str">
        <f t="shared" si="76"/>
        <v>2025</v>
      </c>
      <c r="E302" s="28" t="str">
        <f t="shared" si="77"/>
        <v>Sept</v>
      </c>
      <c r="F302" s="5">
        <v>45914</v>
      </c>
      <c r="G302" s="5">
        <f t="shared" si="65"/>
        <v>45926</v>
      </c>
      <c r="H302" s="5">
        <v>45926</v>
      </c>
      <c r="I302" s="5" t="str">
        <f t="shared" si="78"/>
        <v>Achieved</v>
      </c>
      <c r="J302" s="14">
        <f t="shared" si="79"/>
        <v>12</v>
      </c>
      <c r="K302" s="14">
        <f t="shared" si="66"/>
        <v>12</v>
      </c>
      <c r="L302" s="3" t="s">
        <v>648</v>
      </c>
      <c r="M302" s="3" t="s">
        <v>657</v>
      </c>
      <c r="N302" s="3" t="s">
        <v>682</v>
      </c>
      <c r="O302" s="3" t="s">
        <v>704</v>
      </c>
      <c r="P302" s="3" t="s">
        <v>710</v>
      </c>
      <c r="Q302" s="3" t="s">
        <v>724</v>
      </c>
      <c r="R302" s="3" t="s">
        <v>728</v>
      </c>
      <c r="S302" s="3" t="s">
        <v>1064</v>
      </c>
      <c r="T302" s="21">
        <v>425.15</v>
      </c>
      <c r="U302" s="21" t="str">
        <f t="shared" si="80"/>
        <v>Medium</v>
      </c>
      <c r="V302">
        <f t="shared" si="67"/>
        <v>885.92</v>
      </c>
      <c r="W302" s="7">
        <v>885.92</v>
      </c>
      <c r="X302" s="8">
        <v>0.23899999999999999</v>
      </c>
      <c r="Y302" s="14">
        <v>13</v>
      </c>
      <c r="Z302" s="7">
        <f t="shared" si="68"/>
        <v>211.73487999999998</v>
      </c>
      <c r="AA302" s="7">
        <f t="shared" si="69"/>
        <v>8764.4065599999994</v>
      </c>
      <c r="AB302" s="7">
        <f t="shared" si="70"/>
        <v>8552.6716799999995</v>
      </c>
      <c r="AC302" s="7">
        <f t="shared" si="71"/>
        <v>5526.95</v>
      </c>
      <c r="AD302" s="7">
        <f t="shared" si="72"/>
        <v>3237.4565599999996</v>
      </c>
      <c r="AE302" s="7">
        <f t="shared" si="73"/>
        <v>3025.7216799999997</v>
      </c>
      <c r="AF302" s="26">
        <f t="shared" si="74"/>
        <v>1.5857582500294014</v>
      </c>
      <c r="AG302" s="8">
        <f>IF(DASHBOARD!$Q$7&gt;'staging data'!X302,'staging data'!X302,DASHBOARD!$Q$7)</f>
        <v>0.2</v>
      </c>
      <c r="AH302">
        <f>(100%+DASHBOARD!$Q$8)*'staging data'!T302</f>
        <v>488.92249999999996</v>
      </c>
      <c r="AI302">
        <f>(100%+DASHBOARD!$Q$9)*'staging data'!Y302</f>
        <v>15.6</v>
      </c>
    </row>
    <row r="303" spans="1:35" x14ac:dyDescent="0.3">
      <c r="A303" s="3" t="s">
        <v>344</v>
      </c>
      <c r="B303" s="28">
        <v>45406</v>
      </c>
      <c r="C303" s="28" t="str">
        <f t="shared" si="75"/>
        <v>Q2</v>
      </c>
      <c r="D303" s="28" t="str">
        <f t="shared" si="76"/>
        <v>2025</v>
      </c>
      <c r="E303" s="28" t="str">
        <f t="shared" si="77"/>
        <v>Jan</v>
      </c>
      <c r="F303" s="5">
        <v>45668</v>
      </c>
      <c r="G303" s="5">
        <f t="shared" si="65"/>
        <v>45680</v>
      </c>
      <c r="H303" s="5">
        <v>45680</v>
      </c>
      <c r="I303" s="5" t="str">
        <f t="shared" si="78"/>
        <v>Achieved</v>
      </c>
      <c r="J303" s="14">
        <f t="shared" si="79"/>
        <v>12</v>
      </c>
      <c r="K303" s="14">
        <f t="shared" si="66"/>
        <v>12</v>
      </c>
      <c r="L303" s="3" t="s">
        <v>647</v>
      </c>
      <c r="M303" s="3" t="s">
        <v>659</v>
      </c>
      <c r="N303" s="3" t="s">
        <v>696</v>
      </c>
      <c r="O303" s="3" t="s">
        <v>703</v>
      </c>
      <c r="P303" s="3" t="s">
        <v>709</v>
      </c>
      <c r="Q303" s="3" t="s">
        <v>721</v>
      </c>
      <c r="R303" s="3" t="s">
        <v>729</v>
      </c>
      <c r="S303" s="3" t="s">
        <v>1063</v>
      </c>
      <c r="T303" s="21">
        <v>100.69</v>
      </c>
      <c r="U303" s="21" t="str">
        <f t="shared" si="80"/>
        <v>Low</v>
      </c>
      <c r="V303">
        <f t="shared" si="67"/>
        <v>226.14</v>
      </c>
      <c r="W303" s="7">
        <v>226.14</v>
      </c>
      <c r="X303" s="8">
        <v>6.5000000000000002E-2</v>
      </c>
      <c r="Y303" s="14">
        <v>12</v>
      </c>
      <c r="Z303" s="7">
        <f t="shared" si="68"/>
        <v>14.6991</v>
      </c>
      <c r="AA303" s="7">
        <f t="shared" si="69"/>
        <v>2537.2908000000002</v>
      </c>
      <c r="AB303" s="7">
        <f t="shared" si="70"/>
        <v>2522.5917000000004</v>
      </c>
      <c r="AC303" s="7">
        <f t="shared" si="71"/>
        <v>1208.28</v>
      </c>
      <c r="AD303" s="7">
        <f t="shared" si="72"/>
        <v>1329.0108000000002</v>
      </c>
      <c r="AE303" s="7">
        <f t="shared" si="73"/>
        <v>1314.3117000000004</v>
      </c>
      <c r="AF303" s="26">
        <f t="shared" si="74"/>
        <v>2.0999195550700169</v>
      </c>
      <c r="AG303" s="8">
        <f>IF(DASHBOARD!$Q$7&gt;'staging data'!X303,'staging data'!X303,DASHBOARD!$Q$7)</f>
        <v>6.5000000000000002E-2</v>
      </c>
      <c r="AH303">
        <f>(100%+DASHBOARD!$Q$8)*'staging data'!T303</f>
        <v>115.79349999999999</v>
      </c>
      <c r="AI303">
        <f>(100%+DASHBOARD!$Q$9)*'staging data'!Y303</f>
        <v>14.399999999999999</v>
      </c>
    </row>
    <row r="304" spans="1:35" x14ac:dyDescent="0.3">
      <c r="A304" s="3" t="s">
        <v>343</v>
      </c>
      <c r="B304" s="28">
        <v>45408</v>
      </c>
      <c r="C304" s="28" t="str">
        <f t="shared" si="75"/>
        <v>Q2</v>
      </c>
      <c r="D304" s="28" t="str">
        <f t="shared" si="76"/>
        <v>2023</v>
      </c>
      <c r="E304" s="28" t="str">
        <f t="shared" si="77"/>
        <v>Oct</v>
      </c>
      <c r="F304" s="5">
        <v>45221</v>
      </c>
      <c r="G304" s="5">
        <f t="shared" si="65"/>
        <v>45246</v>
      </c>
      <c r="H304" s="5">
        <v>45246</v>
      </c>
      <c r="I304" s="5" t="str">
        <f t="shared" si="78"/>
        <v>Achieved</v>
      </c>
      <c r="J304" s="14">
        <f t="shared" si="79"/>
        <v>25</v>
      </c>
      <c r="K304" s="14">
        <f t="shared" si="66"/>
        <v>25</v>
      </c>
      <c r="L304" s="3" t="s">
        <v>647</v>
      </c>
      <c r="M304" s="3" t="s">
        <v>652</v>
      </c>
      <c r="N304" s="3" t="s">
        <v>666</v>
      </c>
      <c r="O304" s="3" t="s">
        <v>704</v>
      </c>
      <c r="P304" s="3" t="s">
        <v>708</v>
      </c>
      <c r="Q304" s="3" t="s">
        <v>713</v>
      </c>
      <c r="R304" s="3" t="s">
        <v>730</v>
      </c>
      <c r="S304" s="3" t="s">
        <v>1062</v>
      </c>
      <c r="T304" s="21">
        <v>1373.31</v>
      </c>
      <c r="U304" s="21" t="str">
        <f t="shared" si="80"/>
        <v>High</v>
      </c>
      <c r="V304">
        <f t="shared" si="67"/>
        <v>3154.14</v>
      </c>
      <c r="W304" s="7">
        <v>3154.14</v>
      </c>
      <c r="X304" s="8">
        <v>0.2</v>
      </c>
      <c r="Y304" s="14">
        <v>11</v>
      </c>
      <c r="Z304" s="7">
        <f t="shared" si="68"/>
        <v>630.82799999999997</v>
      </c>
      <c r="AA304" s="7">
        <f t="shared" si="69"/>
        <v>27756.432000000001</v>
      </c>
      <c r="AB304" s="7">
        <f t="shared" si="70"/>
        <v>27125.603999999999</v>
      </c>
      <c r="AC304" s="7">
        <f t="shared" si="71"/>
        <v>15106.41</v>
      </c>
      <c r="AD304" s="7">
        <f t="shared" si="72"/>
        <v>12650.022000000001</v>
      </c>
      <c r="AE304" s="7">
        <f t="shared" si="73"/>
        <v>12019.194</v>
      </c>
      <c r="AF304" s="26">
        <f t="shared" si="74"/>
        <v>1.8373943246608559</v>
      </c>
      <c r="AG304" s="8">
        <f>IF(DASHBOARD!$Q$7&gt;'staging data'!X304,'staging data'!X304,DASHBOARD!$Q$7)</f>
        <v>0.2</v>
      </c>
      <c r="AH304">
        <f>(100%+DASHBOARD!$Q$8)*'staging data'!T304</f>
        <v>1579.3064999999999</v>
      </c>
      <c r="AI304">
        <f>(100%+DASHBOARD!$Q$9)*'staging data'!Y304</f>
        <v>13.2</v>
      </c>
    </row>
    <row r="305" spans="1:35" x14ac:dyDescent="0.3">
      <c r="A305" s="3" t="s">
        <v>342</v>
      </c>
      <c r="B305" s="28">
        <v>45411</v>
      </c>
      <c r="C305" s="28" t="str">
        <f t="shared" si="75"/>
        <v>Q2</v>
      </c>
      <c r="D305" s="28" t="str">
        <f t="shared" si="76"/>
        <v>2025</v>
      </c>
      <c r="E305" s="28" t="str">
        <f t="shared" si="77"/>
        <v>May</v>
      </c>
      <c r="F305" s="5">
        <v>45796</v>
      </c>
      <c r="G305" s="5">
        <f t="shared" si="65"/>
        <v>45796</v>
      </c>
      <c r="H305" s="5">
        <v>45794</v>
      </c>
      <c r="I305" s="5" t="str">
        <f t="shared" si="78"/>
        <v>Not achieved</v>
      </c>
      <c r="J305" s="14">
        <f t="shared" si="79"/>
        <v>0</v>
      </c>
      <c r="K305" s="14">
        <f t="shared" si="66"/>
        <v>-2</v>
      </c>
      <c r="L305" s="3" t="s">
        <v>647</v>
      </c>
      <c r="M305" s="3" t="s">
        <v>654</v>
      </c>
      <c r="N305" s="3" t="s">
        <v>669</v>
      </c>
      <c r="O305" s="3" t="s">
        <v>704</v>
      </c>
      <c r="P305" s="3" t="s">
        <v>709</v>
      </c>
      <c r="Q305" s="3" t="s">
        <v>715</v>
      </c>
      <c r="R305" s="3" t="s">
        <v>731</v>
      </c>
      <c r="S305" s="3" t="s">
        <v>1061</v>
      </c>
      <c r="T305" s="21">
        <v>383.77</v>
      </c>
      <c r="U305" s="21" t="str">
        <f t="shared" si="80"/>
        <v>Medium</v>
      </c>
      <c r="V305">
        <f t="shared" si="67"/>
        <v>952.56</v>
      </c>
      <c r="W305" s="7">
        <v>952.56</v>
      </c>
      <c r="X305" s="8">
        <v>0.34599999999999997</v>
      </c>
      <c r="Y305" s="14">
        <v>10</v>
      </c>
      <c r="Z305" s="7">
        <f t="shared" si="68"/>
        <v>329.58575999999994</v>
      </c>
      <c r="AA305" s="7">
        <f t="shared" si="69"/>
        <v>6229.7423999999992</v>
      </c>
      <c r="AB305" s="7">
        <f t="shared" si="70"/>
        <v>5900.1566399999992</v>
      </c>
      <c r="AC305" s="7">
        <f t="shared" si="71"/>
        <v>3837.7</v>
      </c>
      <c r="AD305" s="7">
        <f t="shared" si="72"/>
        <v>2392.0423999999994</v>
      </c>
      <c r="AE305" s="7">
        <f t="shared" si="73"/>
        <v>2062.4566399999994</v>
      </c>
      <c r="AF305" s="26">
        <f t="shared" si="74"/>
        <v>1.6233010396852281</v>
      </c>
      <c r="AG305" s="8">
        <f>IF(DASHBOARD!$Q$7&gt;'staging data'!X305,'staging data'!X305,DASHBOARD!$Q$7)</f>
        <v>0.2</v>
      </c>
      <c r="AH305">
        <f>(100%+DASHBOARD!$Q$8)*'staging data'!T305</f>
        <v>441.33549999999997</v>
      </c>
      <c r="AI305">
        <f>(100%+DASHBOARD!$Q$9)*'staging data'!Y305</f>
        <v>12</v>
      </c>
    </row>
    <row r="306" spans="1:35" x14ac:dyDescent="0.3">
      <c r="A306" s="3" t="s">
        <v>340</v>
      </c>
      <c r="B306" s="28">
        <v>45413</v>
      </c>
      <c r="C306" s="28" t="str">
        <f t="shared" si="75"/>
        <v>Q2</v>
      </c>
      <c r="D306" s="28" t="str">
        <f t="shared" si="76"/>
        <v>2024</v>
      </c>
      <c r="E306" s="28" t="str">
        <f t="shared" si="77"/>
        <v>Jan</v>
      </c>
      <c r="F306" s="5">
        <v>45303</v>
      </c>
      <c r="G306" s="5">
        <f t="shared" si="65"/>
        <v>45320</v>
      </c>
      <c r="H306" s="5">
        <v>45320</v>
      </c>
      <c r="I306" s="5" t="str">
        <f t="shared" si="78"/>
        <v>Achieved</v>
      </c>
      <c r="J306" s="14">
        <f t="shared" si="79"/>
        <v>17</v>
      </c>
      <c r="K306" s="14">
        <f t="shared" si="66"/>
        <v>17</v>
      </c>
      <c r="L306" s="3" t="s">
        <v>646</v>
      </c>
      <c r="M306" s="3" t="s">
        <v>653</v>
      </c>
      <c r="N306" s="3" t="s">
        <v>695</v>
      </c>
      <c r="O306" s="3" t="s">
        <v>704</v>
      </c>
      <c r="P306" s="3" t="s">
        <v>710</v>
      </c>
      <c r="Q306" s="3" t="s">
        <v>716</v>
      </c>
      <c r="R306" s="3" t="s">
        <v>726</v>
      </c>
      <c r="S306" s="3" t="s">
        <v>1059</v>
      </c>
      <c r="T306" s="21">
        <v>310.02</v>
      </c>
      <c r="U306" s="21" t="str">
        <f t="shared" si="80"/>
        <v>Medium</v>
      </c>
      <c r="V306">
        <f t="shared" si="67"/>
        <v>619.51</v>
      </c>
      <c r="W306" s="7">
        <v>619.51</v>
      </c>
      <c r="X306" s="8">
        <v>4.2000000000000003E-2</v>
      </c>
      <c r="Y306" s="14">
        <v>4</v>
      </c>
      <c r="Z306" s="7">
        <f t="shared" si="68"/>
        <v>26.01942</v>
      </c>
      <c r="AA306" s="7">
        <f t="shared" si="69"/>
        <v>2373.9623200000001</v>
      </c>
      <c r="AB306" s="7">
        <f t="shared" si="70"/>
        <v>2347.9429</v>
      </c>
      <c r="AC306" s="7">
        <f t="shared" si="71"/>
        <v>1240.08</v>
      </c>
      <c r="AD306" s="7">
        <f t="shared" si="72"/>
        <v>1133.8823200000002</v>
      </c>
      <c r="AE306" s="7">
        <f t="shared" si="73"/>
        <v>1107.8629000000001</v>
      </c>
      <c r="AF306" s="26">
        <f t="shared" si="74"/>
        <v>1.9143622346945359</v>
      </c>
      <c r="AG306" s="8">
        <f>IF(DASHBOARD!$Q$7&gt;'staging data'!X306,'staging data'!X306,DASHBOARD!$Q$7)</f>
        <v>4.2000000000000003E-2</v>
      </c>
      <c r="AH306">
        <f>(100%+DASHBOARD!$Q$8)*'staging data'!T306</f>
        <v>356.52299999999997</v>
      </c>
      <c r="AI306">
        <f>(100%+DASHBOARD!$Q$9)*'staging data'!Y306</f>
        <v>4.8</v>
      </c>
    </row>
    <row r="307" spans="1:35" x14ac:dyDescent="0.3">
      <c r="A307" s="3" t="s">
        <v>341</v>
      </c>
      <c r="B307" s="28">
        <v>45413</v>
      </c>
      <c r="C307" s="28" t="str">
        <f t="shared" si="75"/>
        <v>Q2</v>
      </c>
      <c r="D307" s="28" t="str">
        <f t="shared" si="76"/>
        <v>2023</v>
      </c>
      <c r="E307" s="28" t="str">
        <f t="shared" si="77"/>
        <v>Jun</v>
      </c>
      <c r="F307" s="5">
        <v>45087</v>
      </c>
      <c r="G307" s="5">
        <f t="shared" si="65"/>
        <v>45095</v>
      </c>
      <c r="H307" s="5">
        <v>45095</v>
      </c>
      <c r="I307" s="5" t="str">
        <f t="shared" si="78"/>
        <v>Achieved</v>
      </c>
      <c r="J307" s="14">
        <f t="shared" si="79"/>
        <v>8</v>
      </c>
      <c r="K307" s="14">
        <f t="shared" si="66"/>
        <v>8</v>
      </c>
      <c r="L307" s="3" t="s">
        <v>645</v>
      </c>
      <c r="M307" s="3" t="s">
        <v>649</v>
      </c>
      <c r="N307" s="3" t="s">
        <v>677</v>
      </c>
      <c r="O307" s="3" t="s">
        <v>705</v>
      </c>
      <c r="P307" s="3" t="s">
        <v>710</v>
      </c>
      <c r="Q307" s="3" t="s">
        <v>721</v>
      </c>
      <c r="R307" s="3" t="s">
        <v>729</v>
      </c>
      <c r="S307" s="3" t="s">
        <v>1060</v>
      </c>
      <c r="T307" s="21">
        <v>894.23</v>
      </c>
      <c r="U307" s="21" t="str">
        <f t="shared" si="80"/>
        <v>Medium</v>
      </c>
      <c r="V307">
        <f t="shared" si="67"/>
        <v>1421.55</v>
      </c>
      <c r="W307" s="7">
        <v>1421.55</v>
      </c>
      <c r="X307" s="8">
        <v>0.109</v>
      </c>
      <c r="Y307" s="14">
        <v>3</v>
      </c>
      <c r="Z307" s="7">
        <f t="shared" si="68"/>
        <v>154.94895</v>
      </c>
      <c r="AA307" s="7">
        <f t="shared" si="69"/>
        <v>3799.8031499999997</v>
      </c>
      <c r="AB307" s="7">
        <f t="shared" si="70"/>
        <v>3644.8541999999998</v>
      </c>
      <c r="AC307" s="7">
        <f t="shared" si="71"/>
        <v>2682.69</v>
      </c>
      <c r="AD307" s="7">
        <f t="shared" si="72"/>
        <v>1117.1131499999997</v>
      </c>
      <c r="AE307" s="7">
        <f t="shared" si="73"/>
        <v>962.16419999999971</v>
      </c>
      <c r="AF307" s="26">
        <f t="shared" si="74"/>
        <v>1.4164152958411145</v>
      </c>
      <c r="AG307" s="8">
        <f>IF(DASHBOARD!$Q$7&gt;'staging data'!X307,'staging data'!X307,DASHBOARD!$Q$7)</f>
        <v>0.109</v>
      </c>
      <c r="AH307">
        <f>(100%+DASHBOARD!$Q$8)*'staging data'!T307</f>
        <v>1028.3644999999999</v>
      </c>
      <c r="AI307">
        <f>(100%+DASHBOARD!$Q$9)*'staging data'!Y307</f>
        <v>3.5999999999999996</v>
      </c>
    </row>
    <row r="308" spans="1:35" x14ac:dyDescent="0.3">
      <c r="A308" s="3" t="s">
        <v>339</v>
      </c>
      <c r="B308" s="28">
        <v>45416</v>
      </c>
      <c r="C308" s="28" t="str">
        <f t="shared" si="75"/>
        <v>Q2</v>
      </c>
      <c r="D308" s="28" t="str">
        <f t="shared" si="76"/>
        <v>2023</v>
      </c>
      <c r="E308" s="28" t="str">
        <f t="shared" si="77"/>
        <v>May</v>
      </c>
      <c r="F308" s="5">
        <v>45053</v>
      </c>
      <c r="G308" s="5">
        <f t="shared" si="65"/>
        <v>45075</v>
      </c>
      <c r="H308" s="5">
        <v>45075</v>
      </c>
      <c r="I308" s="5" t="str">
        <f t="shared" si="78"/>
        <v>Achieved</v>
      </c>
      <c r="J308" s="14">
        <f t="shared" si="79"/>
        <v>22</v>
      </c>
      <c r="K308" s="14">
        <f t="shared" si="66"/>
        <v>22</v>
      </c>
      <c r="L308" s="3" t="s">
        <v>645</v>
      </c>
      <c r="M308" s="3" t="s">
        <v>660</v>
      </c>
      <c r="N308" s="3" t="s">
        <v>686</v>
      </c>
      <c r="O308" s="3" t="s">
        <v>701</v>
      </c>
      <c r="P308" s="3" t="s">
        <v>709</v>
      </c>
      <c r="Q308" s="3" t="s">
        <v>722</v>
      </c>
      <c r="R308" s="3" t="s">
        <v>732</v>
      </c>
      <c r="S308" s="3" t="s">
        <v>1058</v>
      </c>
      <c r="T308" s="21">
        <v>653.86</v>
      </c>
      <c r="U308" s="21" t="str">
        <f t="shared" si="80"/>
        <v>Medium</v>
      </c>
      <c r="V308">
        <f t="shared" si="67"/>
        <v>931.84</v>
      </c>
      <c r="W308" s="7">
        <v>931.84</v>
      </c>
      <c r="X308" s="8">
        <v>0.121</v>
      </c>
      <c r="Y308" s="14">
        <v>12</v>
      </c>
      <c r="Z308" s="7">
        <f t="shared" si="68"/>
        <v>112.75264</v>
      </c>
      <c r="AA308" s="7">
        <f t="shared" si="69"/>
        <v>9829.0483199999999</v>
      </c>
      <c r="AB308" s="7">
        <f t="shared" si="70"/>
        <v>9716.2956799999993</v>
      </c>
      <c r="AC308" s="7">
        <f t="shared" si="71"/>
        <v>7846.32</v>
      </c>
      <c r="AD308" s="7">
        <f t="shared" si="72"/>
        <v>1982.7283200000002</v>
      </c>
      <c r="AE308" s="7">
        <f t="shared" si="73"/>
        <v>1869.9756799999996</v>
      </c>
      <c r="AF308" s="26">
        <f t="shared" si="74"/>
        <v>1.252695317040345</v>
      </c>
      <c r="AG308" s="8">
        <f>IF(DASHBOARD!$Q$7&gt;'staging data'!X308,'staging data'!X308,DASHBOARD!$Q$7)</f>
        <v>0.121</v>
      </c>
      <c r="AH308">
        <f>(100%+DASHBOARD!$Q$8)*'staging data'!T308</f>
        <v>751.93899999999996</v>
      </c>
      <c r="AI308">
        <f>(100%+DASHBOARD!$Q$9)*'staging data'!Y308</f>
        <v>14.399999999999999</v>
      </c>
    </row>
    <row r="309" spans="1:35" x14ac:dyDescent="0.3">
      <c r="A309" s="3" t="s">
        <v>338</v>
      </c>
      <c r="B309" s="28">
        <v>45417</v>
      </c>
      <c r="C309" s="28" t="str">
        <f t="shared" si="75"/>
        <v>Q2</v>
      </c>
      <c r="D309" s="28" t="str">
        <f t="shared" si="76"/>
        <v>2024</v>
      </c>
      <c r="E309" s="28" t="str">
        <f t="shared" si="77"/>
        <v>Sept</v>
      </c>
      <c r="F309" s="5">
        <v>45544</v>
      </c>
      <c r="G309" s="5">
        <f t="shared" si="65"/>
        <v>45573</v>
      </c>
      <c r="H309" s="5">
        <v>45573</v>
      </c>
      <c r="I309" s="5" t="str">
        <f t="shared" si="78"/>
        <v>Achieved</v>
      </c>
      <c r="J309" s="14">
        <f t="shared" si="79"/>
        <v>29</v>
      </c>
      <c r="K309" s="14">
        <f t="shared" si="66"/>
        <v>29</v>
      </c>
      <c r="L309" s="3" t="s">
        <v>647</v>
      </c>
      <c r="M309" s="3" t="s">
        <v>654</v>
      </c>
      <c r="N309" s="3" t="s">
        <v>669</v>
      </c>
      <c r="O309" s="3" t="s">
        <v>701</v>
      </c>
      <c r="P309" s="3" t="s">
        <v>710</v>
      </c>
      <c r="Q309" s="3" t="s">
        <v>712</v>
      </c>
      <c r="R309" s="3" t="s">
        <v>726</v>
      </c>
      <c r="S309" s="3" t="s">
        <v>1057</v>
      </c>
      <c r="T309" s="21">
        <v>1010.33</v>
      </c>
      <c r="U309" s="21" t="str">
        <f t="shared" si="80"/>
        <v>High</v>
      </c>
      <c r="V309">
        <f t="shared" si="67"/>
        <v>2492.14</v>
      </c>
      <c r="W309" s="7">
        <v>2492.14</v>
      </c>
      <c r="X309" s="8">
        <v>5.0999999999999997E-2</v>
      </c>
      <c r="Y309" s="14">
        <v>11</v>
      </c>
      <c r="Z309" s="7">
        <f t="shared" si="68"/>
        <v>127.09913999999999</v>
      </c>
      <c r="AA309" s="7">
        <f t="shared" si="69"/>
        <v>26015.449459999996</v>
      </c>
      <c r="AB309" s="7">
        <f t="shared" si="70"/>
        <v>25888.350319999998</v>
      </c>
      <c r="AC309" s="7">
        <f t="shared" si="71"/>
        <v>11113.630000000001</v>
      </c>
      <c r="AD309" s="7">
        <f t="shared" si="72"/>
        <v>14901.819459999995</v>
      </c>
      <c r="AE309" s="7">
        <f t="shared" si="73"/>
        <v>14774.720319999997</v>
      </c>
      <c r="AF309" s="26">
        <f t="shared" si="74"/>
        <v>2.3408597784882161</v>
      </c>
      <c r="AG309" s="8">
        <f>IF(DASHBOARD!$Q$7&gt;'staging data'!X309,'staging data'!X309,DASHBOARD!$Q$7)</f>
        <v>5.0999999999999997E-2</v>
      </c>
      <c r="AH309">
        <f>(100%+DASHBOARD!$Q$8)*'staging data'!T309</f>
        <v>1161.8795</v>
      </c>
      <c r="AI309">
        <f>(100%+DASHBOARD!$Q$9)*'staging data'!Y309</f>
        <v>13.2</v>
      </c>
    </row>
    <row r="310" spans="1:35" x14ac:dyDescent="0.3">
      <c r="A310" s="3" t="s">
        <v>337</v>
      </c>
      <c r="B310" s="28">
        <v>45419</v>
      </c>
      <c r="C310" s="28" t="str">
        <f t="shared" si="75"/>
        <v>Q2</v>
      </c>
      <c r="D310" s="28" t="str">
        <f t="shared" si="76"/>
        <v>2024</v>
      </c>
      <c r="E310" s="28" t="str">
        <f t="shared" si="77"/>
        <v>Feb</v>
      </c>
      <c r="F310" s="5">
        <v>45340</v>
      </c>
      <c r="G310" s="5">
        <f t="shared" si="65"/>
        <v>45362</v>
      </c>
      <c r="H310" s="5">
        <v>45362</v>
      </c>
      <c r="I310" s="5" t="str">
        <f t="shared" si="78"/>
        <v>Achieved</v>
      </c>
      <c r="J310" s="14">
        <f t="shared" si="79"/>
        <v>22</v>
      </c>
      <c r="K310" s="14">
        <f t="shared" si="66"/>
        <v>22</v>
      </c>
      <c r="L310" s="3" t="s">
        <v>647</v>
      </c>
      <c r="M310" s="3" t="s">
        <v>654</v>
      </c>
      <c r="N310" s="3" t="s">
        <v>669</v>
      </c>
      <c r="O310" s="3" t="s">
        <v>703</v>
      </c>
      <c r="P310" s="3" t="s">
        <v>707</v>
      </c>
      <c r="Q310" s="3" t="s">
        <v>719</v>
      </c>
      <c r="R310" s="3" t="s">
        <v>726</v>
      </c>
      <c r="S310" s="3" t="s">
        <v>1056</v>
      </c>
      <c r="T310" s="21">
        <v>80.48</v>
      </c>
      <c r="U310" s="21" t="str">
        <f t="shared" si="80"/>
        <v>Low</v>
      </c>
      <c r="V310">
        <f t="shared" si="67"/>
        <v>65.650000000000006</v>
      </c>
      <c r="W310" s="7">
        <v>65.650000000000006</v>
      </c>
      <c r="X310" s="8">
        <v>0.17599999999999999</v>
      </c>
      <c r="Y310" s="14">
        <v>13</v>
      </c>
      <c r="Z310" s="7">
        <f t="shared" si="68"/>
        <v>11.554400000000001</v>
      </c>
      <c r="AA310" s="7">
        <f t="shared" si="69"/>
        <v>703.2428000000001</v>
      </c>
      <c r="AB310" s="7">
        <f t="shared" si="70"/>
        <v>691.68840000000012</v>
      </c>
      <c r="AC310" s="7">
        <f t="shared" si="71"/>
        <v>1046.24</v>
      </c>
      <c r="AD310" s="7">
        <f t="shared" si="72"/>
        <v>-342.99719999999991</v>
      </c>
      <c r="AE310" s="7">
        <f t="shared" si="73"/>
        <v>-354.55159999999989</v>
      </c>
      <c r="AF310" s="26">
        <f t="shared" si="74"/>
        <v>0.67216202783300205</v>
      </c>
      <c r="AG310" s="8">
        <f>IF(DASHBOARD!$Q$7&gt;'staging data'!X310,'staging data'!X310,DASHBOARD!$Q$7)</f>
        <v>0.17599999999999999</v>
      </c>
      <c r="AH310">
        <f>(100%+DASHBOARD!$Q$8)*'staging data'!T310</f>
        <v>92.551999999999992</v>
      </c>
      <c r="AI310">
        <f>(100%+DASHBOARD!$Q$9)*'staging data'!Y310</f>
        <v>15.6</v>
      </c>
    </row>
    <row r="311" spans="1:35" x14ac:dyDescent="0.3">
      <c r="A311" s="3" t="s">
        <v>336</v>
      </c>
      <c r="B311" s="28">
        <v>45422</v>
      </c>
      <c r="C311" s="28" t="str">
        <f t="shared" si="75"/>
        <v>Q2</v>
      </c>
      <c r="D311" s="28" t="str">
        <f t="shared" si="76"/>
        <v>2023</v>
      </c>
      <c r="E311" s="28" t="str">
        <f t="shared" si="77"/>
        <v>Feb</v>
      </c>
      <c r="F311" s="5">
        <v>44985</v>
      </c>
      <c r="G311" s="5">
        <f t="shared" si="65"/>
        <v>44985</v>
      </c>
      <c r="H311" s="5">
        <v>44984</v>
      </c>
      <c r="I311" s="5" t="str">
        <f t="shared" si="78"/>
        <v>Not achieved</v>
      </c>
      <c r="J311" s="14">
        <f t="shared" si="79"/>
        <v>0</v>
      </c>
      <c r="K311" s="14">
        <f t="shared" si="66"/>
        <v>-1</v>
      </c>
      <c r="L311" s="3" t="s">
        <v>648</v>
      </c>
      <c r="M311" s="3" t="s">
        <v>656</v>
      </c>
      <c r="N311" s="3" t="s">
        <v>672</v>
      </c>
      <c r="O311" s="3" t="s">
        <v>700</v>
      </c>
      <c r="P311" s="3" t="s">
        <v>706</v>
      </c>
      <c r="Q311" s="3" t="s">
        <v>722</v>
      </c>
      <c r="R311" s="3" t="s">
        <v>728</v>
      </c>
      <c r="S311" s="3" t="s">
        <v>1055</v>
      </c>
      <c r="T311" s="21">
        <v>1299.81</v>
      </c>
      <c r="U311" s="21" t="str">
        <f t="shared" si="80"/>
        <v>High</v>
      </c>
      <c r="V311">
        <f t="shared" si="67"/>
        <v>3149.13</v>
      </c>
      <c r="W311" s="7">
        <v>3149.13</v>
      </c>
      <c r="X311" s="8">
        <v>0.10299999999999999</v>
      </c>
      <c r="Y311" s="14">
        <v>14</v>
      </c>
      <c r="Z311" s="7">
        <f t="shared" si="68"/>
        <v>324.36039</v>
      </c>
      <c r="AA311" s="7">
        <f t="shared" si="69"/>
        <v>39546.774539999999</v>
      </c>
      <c r="AB311" s="7">
        <f t="shared" si="70"/>
        <v>39222.414149999997</v>
      </c>
      <c r="AC311" s="7">
        <f t="shared" si="71"/>
        <v>18197.34</v>
      </c>
      <c r="AD311" s="7">
        <f t="shared" si="72"/>
        <v>21349.434539999998</v>
      </c>
      <c r="AE311" s="7">
        <f t="shared" si="73"/>
        <v>21025.074149999997</v>
      </c>
      <c r="AF311" s="26">
        <f t="shared" si="74"/>
        <v>2.1732173240704409</v>
      </c>
      <c r="AG311" s="8">
        <f>IF(DASHBOARD!$Q$7&gt;'staging data'!X311,'staging data'!X311,DASHBOARD!$Q$7)</f>
        <v>0.10299999999999999</v>
      </c>
      <c r="AH311">
        <f>(100%+DASHBOARD!$Q$8)*'staging data'!T311</f>
        <v>1494.7814999999998</v>
      </c>
      <c r="AI311">
        <f>(100%+DASHBOARD!$Q$9)*'staging data'!Y311</f>
        <v>16.8</v>
      </c>
    </row>
    <row r="312" spans="1:35" x14ac:dyDescent="0.3">
      <c r="A312" s="3" t="s">
        <v>335</v>
      </c>
      <c r="B312" s="28">
        <v>45424</v>
      </c>
      <c r="C312" s="28" t="str">
        <f t="shared" si="75"/>
        <v>Q2</v>
      </c>
      <c r="D312" s="28" t="str">
        <f t="shared" si="76"/>
        <v>2024</v>
      </c>
      <c r="E312" s="28" t="str">
        <f t="shared" si="77"/>
        <v>Jan</v>
      </c>
      <c r="F312" s="5">
        <v>45293</v>
      </c>
      <c r="G312" s="5">
        <f t="shared" si="65"/>
        <v>45293</v>
      </c>
      <c r="H312" s="5">
        <v>45292</v>
      </c>
      <c r="I312" s="5" t="str">
        <f t="shared" si="78"/>
        <v>Not achieved</v>
      </c>
      <c r="J312" s="14">
        <f t="shared" si="79"/>
        <v>0</v>
      </c>
      <c r="K312" s="14">
        <f t="shared" si="66"/>
        <v>-1</v>
      </c>
      <c r="L312" s="3" t="s">
        <v>647</v>
      </c>
      <c r="M312" s="3" t="s">
        <v>659</v>
      </c>
      <c r="N312" s="3" t="s">
        <v>676</v>
      </c>
      <c r="O312" s="3" t="s">
        <v>701</v>
      </c>
      <c r="P312" s="3" t="s">
        <v>708</v>
      </c>
      <c r="Q312" s="3" t="s">
        <v>716</v>
      </c>
      <c r="R312" s="3" t="s">
        <v>728</v>
      </c>
      <c r="S312" s="3" t="s">
        <v>1054</v>
      </c>
      <c r="T312" s="21">
        <v>404.77</v>
      </c>
      <c r="U312" s="21" t="str">
        <f t="shared" si="80"/>
        <v>Low</v>
      </c>
      <c r="V312">
        <f t="shared" si="67"/>
        <v>433.88</v>
      </c>
      <c r="W312" s="7">
        <v>433.88</v>
      </c>
      <c r="X312" s="8">
        <v>0.215</v>
      </c>
      <c r="Y312" s="14">
        <v>22</v>
      </c>
      <c r="Z312" s="7">
        <f t="shared" si="68"/>
        <v>93.284199999999998</v>
      </c>
      <c r="AA312" s="7">
        <f t="shared" si="69"/>
        <v>7493.1076000000012</v>
      </c>
      <c r="AB312" s="7">
        <f t="shared" si="70"/>
        <v>7399.8234000000011</v>
      </c>
      <c r="AC312" s="7">
        <f t="shared" si="71"/>
        <v>8904.9399999999987</v>
      </c>
      <c r="AD312" s="7">
        <f t="shared" si="72"/>
        <v>-1411.8323999999975</v>
      </c>
      <c r="AE312" s="7">
        <f t="shared" si="73"/>
        <v>-1505.1165999999976</v>
      </c>
      <c r="AF312" s="26">
        <f t="shared" si="74"/>
        <v>0.84145514736764115</v>
      </c>
      <c r="AG312" s="8">
        <f>IF(DASHBOARD!$Q$7&gt;'staging data'!X312,'staging data'!X312,DASHBOARD!$Q$7)</f>
        <v>0.2</v>
      </c>
      <c r="AH312">
        <f>(100%+DASHBOARD!$Q$8)*'staging data'!T312</f>
        <v>465.48549999999994</v>
      </c>
      <c r="AI312">
        <f>(100%+DASHBOARD!$Q$9)*'staging data'!Y312</f>
        <v>26.4</v>
      </c>
    </row>
    <row r="313" spans="1:35" x14ac:dyDescent="0.3">
      <c r="A313" s="3" t="s">
        <v>334</v>
      </c>
      <c r="B313" s="28">
        <v>45426</v>
      </c>
      <c r="C313" s="28" t="str">
        <f t="shared" si="75"/>
        <v>Q2</v>
      </c>
      <c r="D313" s="28" t="str">
        <f t="shared" si="76"/>
        <v>2024</v>
      </c>
      <c r="E313" s="28" t="str">
        <f t="shared" si="77"/>
        <v>May</v>
      </c>
      <c r="F313" s="5">
        <v>45440</v>
      </c>
      <c r="G313" s="5">
        <f t="shared" si="65"/>
        <v>45461</v>
      </c>
      <c r="H313" s="5">
        <v>45461</v>
      </c>
      <c r="I313" s="5" t="str">
        <f t="shared" si="78"/>
        <v>Achieved</v>
      </c>
      <c r="J313" s="14">
        <f t="shared" si="79"/>
        <v>21</v>
      </c>
      <c r="K313" s="14">
        <f t="shared" si="66"/>
        <v>21</v>
      </c>
      <c r="L313" s="3" t="s">
        <v>648</v>
      </c>
      <c r="M313" s="3" t="s">
        <v>655</v>
      </c>
      <c r="N313" s="3" t="s">
        <v>697</v>
      </c>
      <c r="O313" s="3" t="s">
        <v>704</v>
      </c>
      <c r="P313" s="3" t="s">
        <v>707</v>
      </c>
      <c r="Q313" s="3" t="s">
        <v>717</v>
      </c>
      <c r="R313" s="3" t="s">
        <v>729</v>
      </c>
      <c r="S313" s="3" t="s">
        <v>1053</v>
      </c>
      <c r="T313" s="21">
        <v>986.85</v>
      </c>
      <c r="U313" s="21" t="str">
        <f t="shared" si="80"/>
        <v>High</v>
      </c>
      <c r="V313">
        <f t="shared" si="67"/>
        <v>2422.1</v>
      </c>
      <c r="W313" s="7">
        <v>2422.1</v>
      </c>
      <c r="X313" s="8">
        <v>7.5999999999999998E-2</v>
      </c>
      <c r="Y313" s="14">
        <v>10</v>
      </c>
      <c r="Z313" s="7">
        <f t="shared" si="68"/>
        <v>184.0796</v>
      </c>
      <c r="AA313" s="7">
        <f t="shared" si="69"/>
        <v>22380.204000000002</v>
      </c>
      <c r="AB313" s="7">
        <f t="shared" si="70"/>
        <v>22196.124400000001</v>
      </c>
      <c r="AC313" s="7">
        <f t="shared" si="71"/>
        <v>9868.5</v>
      </c>
      <c r="AD313" s="7">
        <f t="shared" si="72"/>
        <v>12511.704000000002</v>
      </c>
      <c r="AE313" s="7">
        <f t="shared" si="73"/>
        <v>12327.624400000001</v>
      </c>
      <c r="AF313" s="26">
        <f t="shared" si="74"/>
        <v>2.2678425292597661</v>
      </c>
      <c r="AG313" s="8">
        <f>IF(DASHBOARD!$Q$7&gt;'staging data'!X313,'staging data'!X313,DASHBOARD!$Q$7)</f>
        <v>7.5999999999999998E-2</v>
      </c>
      <c r="AH313">
        <f>(100%+DASHBOARD!$Q$8)*'staging data'!T313</f>
        <v>1134.8774999999998</v>
      </c>
      <c r="AI313">
        <f>(100%+DASHBOARD!$Q$9)*'staging data'!Y313</f>
        <v>12</v>
      </c>
    </row>
    <row r="314" spans="1:35" x14ac:dyDescent="0.3">
      <c r="A314" s="3" t="s">
        <v>333</v>
      </c>
      <c r="B314" s="28">
        <v>45429</v>
      </c>
      <c r="C314" s="28" t="str">
        <f t="shared" si="75"/>
        <v>Q2</v>
      </c>
      <c r="D314" s="28" t="str">
        <f t="shared" si="76"/>
        <v>2023</v>
      </c>
      <c r="E314" s="28" t="str">
        <f t="shared" si="77"/>
        <v>Mar</v>
      </c>
      <c r="F314" s="5">
        <v>45008</v>
      </c>
      <c r="G314" s="5">
        <f t="shared" si="65"/>
        <v>45031</v>
      </c>
      <c r="H314" s="5">
        <v>45031</v>
      </c>
      <c r="I314" s="5" t="str">
        <f t="shared" si="78"/>
        <v>Achieved</v>
      </c>
      <c r="J314" s="14">
        <f t="shared" si="79"/>
        <v>23</v>
      </c>
      <c r="K314" s="14">
        <f t="shared" si="66"/>
        <v>23</v>
      </c>
      <c r="L314" s="3" t="s">
        <v>645</v>
      </c>
      <c r="M314" s="3" t="s">
        <v>649</v>
      </c>
      <c r="N314" s="3" t="s">
        <v>674</v>
      </c>
      <c r="O314" s="3" t="s">
        <v>704</v>
      </c>
      <c r="P314" s="3" t="s">
        <v>706</v>
      </c>
      <c r="Q314" s="3" t="s">
        <v>711</v>
      </c>
      <c r="R314" s="3" t="s">
        <v>732</v>
      </c>
      <c r="S314" s="3" t="s">
        <v>1052</v>
      </c>
      <c r="T314" s="21">
        <v>875.36</v>
      </c>
      <c r="U314" s="21" t="str">
        <f t="shared" si="80"/>
        <v>Medium</v>
      </c>
      <c r="V314">
        <f t="shared" si="67"/>
        <v>1178.6199999999999</v>
      </c>
      <c r="W314" s="7">
        <v>1178.6199999999999</v>
      </c>
      <c r="X314" s="8">
        <v>0.151</v>
      </c>
      <c r="Y314" s="14">
        <v>53</v>
      </c>
      <c r="Z314" s="7">
        <f t="shared" si="68"/>
        <v>177.97161999999997</v>
      </c>
      <c r="AA314" s="7">
        <f t="shared" si="69"/>
        <v>53034.364139999991</v>
      </c>
      <c r="AB314" s="7">
        <f t="shared" si="70"/>
        <v>52856.392519999994</v>
      </c>
      <c r="AC314" s="7">
        <f t="shared" si="71"/>
        <v>46394.080000000002</v>
      </c>
      <c r="AD314" s="7">
        <f t="shared" si="72"/>
        <v>6640.2841399999888</v>
      </c>
      <c r="AE314" s="7">
        <f t="shared" si="73"/>
        <v>6462.3125199999922</v>
      </c>
      <c r="AF314" s="26">
        <f t="shared" si="74"/>
        <v>1.1431278331200876</v>
      </c>
      <c r="AG314" s="8">
        <f>IF(DASHBOARD!$Q$7&gt;'staging data'!X314,'staging data'!X314,DASHBOARD!$Q$7)</f>
        <v>0.151</v>
      </c>
      <c r="AH314">
        <f>(100%+DASHBOARD!$Q$8)*'staging data'!T314</f>
        <v>1006.664</v>
      </c>
      <c r="AI314">
        <f>(100%+DASHBOARD!$Q$9)*'staging data'!Y314</f>
        <v>63.599999999999994</v>
      </c>
    </row>
    <row r="315" spans="1:35" x14ac:dyDescent="0.3">
      <c r="A315" s="3" t="s">
        <v>330</v>
      </c>
      <c r="B315" s="28">
        <v>45430</v>
      </c>
      <c r="C315" s="28" t="str">
        <f t="shared" si="75"/>
        <v>Q2</v>
      </c>
      <c r="D315" s="28" t="str">
        <f t="shared" si="76"/>
        <v>2023</v>
      </c>
      <c r="E315" s="28" t="str">
        <f t="shared" si="77"/>
        <v>May</v>
      </c>
      <c r="F315" s="5">
        <v>45052</v>
      </c>
      <c r="G315" s="5">
        <f t="shared" si="65"/>
        <v>45060</v>
      </c>
      <c r="H315" s="5">
        <v>45060</v>
      </c>
      <c r="I315" s="5" t="str">
        <f t="shared" si="78"/>
        <v>Achieved</v>
      </c>
      <c r="J315" s="14">
        <f t="shared" si="79"/>
        <v>8</v>
      </c>
      <c r="K315" s="14">
        <f t="shared" si="66"/>
        <v>8</v>
      </c>
      <c r="L315" s="3" t="s">
        <v>646</v>
      </c>
      <c r="M315" s="3" t="s">
        <v>651</v>
      </c>
      <c r="N315" s="3" t="s">
        <v>665</v>
      </c>
      <c r="O315" s="3" t="s">
        <v>705</v>
      </c>
      <c r="P315" s="3" t="s">
        <v>708</v>
      </c>
      <c r="Q315" s="3" t="s">
        <v>716</v>
      </c>
      <c r="R315" s="3" t="s">
        <v>729</v>
      </c>
      <c r="S315" s="3" t="s">
        <v>1049</v>
      </c>
      <c r="T315" s="21">
        <v>291.18</v>
      </c>
      <c r="U315" s="21" t="str">
        <f t="shared" si="80"/>
        <v>Low</v>
      </c>
      <c r="V315">
        <f t="shared" si="67"/>
        <v>479.54</v>
      </c>
      <c r="W315" s="7">
        <v>479.54</v>
      </c>
      <c r="X315" s="8">
        <v>0.14099999999999999</v>
      </c>
      <c r="Y315" s="14">
        <v>22</v>
      </c>
      <c r="Z315" s="7">
        <f t="shared" si="68"/>
        <v>67.615139999999997</v>
      </c>
      <c r="AA315" s="7">
        <f t="shared" si="69"/>
        <v>9062.34692</v>
      </c>
      <c r="AB315" s="7">
        <f t="shared" si="70"/>
        <v>8994.7317800000001</v>
      </c>
      <c r="AC315" s="7">
        <f t="shared" si="71"/>
        <v>6405.96</v>
      </c>
      <c r="AD315" s="7">
        <f t="shared" si="72"/>
        <v>2656.3869199999999</v>
      </c>
      <c r="AE315" s="7">
        <f t="shared" si="73"/>
        <v>2588.77178</v>
      </c>
      <c r="AF315" s="26">
        <f t="shared" si="74"/>
        <v>1.4146742908166769</v>
      </c>
      <c r="AG315" s="8">
        <f>IF(DASHBOARD!$Q$7&gt;'staging data'!X315,'staging data'!X315,DASHBOARD!$Q$7)</f>
        <v>0.14099999999999999</v>
      </c>
      <c r="AH315">
        <f>(100%+DASHBOARD!$Q$8)*'staging data'!T315</f>
        <v>334.85699999999997</v>
      </c>
      <c r="AI315">
        <f>(100%+DASHBOARD!$Q$9)*'staging data'!Y315</f>
        <v>26.4</v>
      </c>
    </row>
    <row r="316" spans="1:35" x14ac:dyDescent="0.3">
      <c r="A316" s="3" t="s">
        <v>331</v>
      </c>
      <c r="B316" s="28">
        <v>45430</v>
      </c>
      <c r="C316" s="28" t="str">
        <f t="shared" si="75"/>
        <v>Q2</v>
      </c>
      <c r="D316" s="28" t="str">
        <f t="shared" si="76"/>
        <v>2023</v>
      </c>
      <c r="E316" s="28" t="str">
        <f t="shared" si="77"/>
        <v>Nov</v>
      </c>
      <c r="F316" s="5">
        <v>45244</v>
      </c>
      <c r="G316" s="5">
        <f t="shared" si="65"/>
        <v>45260</v>
      </c>
      <c r="H316" s="5">
        <v>45260</v>
      </c>
      <c r="I316" s="5" t="str">
        <f t="shared" si="78"/>
        <v>Achieved</v>
      </c>
      <c r="J316" s="14">
        <f t="shared" si="79"/>
        <v>16</v>
      </c>
      <c r="K316" s="14">
        <f t="shared" si="66"/>
        <v>16</v>
      </c>
      <c r="L316" s="3" t="s">
        <v>647</v>
      </c>
      <c r="M316" s="3" t="s">
        <v>654</v>
      </c>
      <c r="N316" s="3" t="s">
        <v>669</v>
      </c>
      <c r="O316" s="3" t="s">
        <v>705</v>
      </c>
      <c r="P316" s="3" t="s">
        <v>710</v>
      </c>
      <c r="Q316" s="3" t="s">
        <v>722</v>
      </c>
      <c r="R316" s="3" t="s">
        <v>728</v>
      </c>
      <c r="S316" s="3" t="s">
        <v>1050</v>
      </c>
      <c r="T316" s="21">
        <v>1017.92</v>
      </c>
      <c r="U316" s="21" t="str">
        <f t="shared" si="80"/>
        <v>Medium</v>
      </c>
      <c r="V316">
        <f t="shared" si="67"/>
        <v>1175.25</v>
      </c>
      <c r="W316" s="7">
        <v>1175.25</v>
      </c>
      <c r="X316" s="8">
        <v>7.4999999999999997E-2</v>
      </c>
      <c r="Y316" s="14">
        <v>15</v>
      </c>
      <c r="Z316" s="7">
        <f t="shared" si="68"/>
        <v>88.143749999999997</v>
      </c>
      <c r="AA316" s="7">
        <f t="shared" si="69"/>
        <v>16306.59375</v>
      </c>
      <c r="AB316" s="7">
        <f t="shared" si="70"/>
        <v>16218.45</v>
      </c>
      <c r="AC316" s="7">
        <f t="shared" si="71"/>
        <v>15268.8</v>
      </c>
      <c r="AD316" s="7">
        <f t="shared" si="72"/>
        <v>1037.7937500000007</v>
      </c>
      <c r="AE316" s="7">
        <f t="shared" si="73"/>
        <v>949.65000000000146</v>
      </c>
      <c r="AF316" s="26">
        <f t="shared" si="74"/>
        <v>1.0679682588022634</v>
      </c>
      <c r="AG316" s="8">
        <f>IF(DASHBOARD!$Q$7&gt;'staging data'!X316,'staging data'!X316,DASHBOARD!$Q$7)</f>
        <v>7.4999999999999997E-2</v>
      </c>
      <c r="AH316">
        <f>(100%+DASHBOARD!$Q$8)*'staging data'!T316</f>
        <v>1170.6079999999999</v>
      </c>
      <c r="AI316">
        <f>(100%+DASHBOARD!$Q$9)*'staging data'!Y316</f>
        <v>18</v>
      </c>
    </row>
    <row r="317" spans="1:35" x14ac:dyDescent="0.3">
      <c r="A317" s="3" t="s">
        <v>332</v>
      </c>
      <c r="B317" s="28">
        <v>45430</v>
      </c>
      <c r="C317" s="28" t="str">
        <f t="shared" si="75"/>
        <v>Q2</v>
      </c>
      <c r="D317" s="28" t="str">
        <f t="shared" si="76"/>
        <v>2025</v>
      </c>
      <c r="E317" s="28" t="str">
        <f t="shared" si="77"/>
        <v>Apr</v>
      </c>
      <c r="F317" s="5">
        <v>45748</v>
      </c>
      <c r="G317" s="5">
        <f t="shared" si="65"/>
        <v>45774</v>
      </c>
      <c r="H317" s="5">
        <v>45774</v>
      </c>
      <c r="I317" s="5" t="str">
        <f t="shared" si="78"/>
        <v>Achieved</v>
      </c>
      <c r="J317" s="14">
        <f t="shared" si="79"/>
        <v>26</v>
      </c>
      <c r="K317" s="14">
        <f t="shared" si="66"/>
        <v>26</v>
      </c>
      <c r="L317" s="3" t="s">
        <v>647</v>
      </c>
      <c r="M317" s="3" t="s">
        <v>659</v>
      </c>
      <c r="N317" s="3" t="s">
        <v>685</v>
      </c>
      <c r="O317" s="3" t="s">
        <v>700</v>
      </c>
      <c r="P317" s="3" t="s">
        <v>710</v>
      </c>
      <c r="Q317" s="3" t="s">
        <v>713</v>
      </c>
      <c r="R317" s="3" t="s">
        <v>731</v>
      </c>
      <c r="S317" s="3" t="s">
        <v>1051</v>
      </c>
      <c r="T317" s="21">
        <v>156.55000000000001</v>
      </c>
      <c r="U317" s="21" t="str">
        <f t="shared" si="80"/>
        <v>Low</v>
      </c>
      <c r="V317">
        <f t="shared" si="67"/>
        <v>227.45</v>
      </c>
      <c r="W317" s="7">
        <v>227.45</v>
      </c>
      <c r="X317" s="8">
        <v>1.4E-2</v>
      </c>
      <c r="Y317" s="14">
        <v>13</v>
      </c>
      <c r="Z317" s="7">
        <f t="shared" si="68"/>
        <v>3.1842999999999999</v>
      </c>
      <c r="AA317" s="7">
        <f t="shared" si="69"/>
        <v>2915.4540999999999</v>
      </c>
      <c r="AB317" s="7">
        <f t="shared" si="70"/>
        <v>2912.2698</v>
      </c>
      <c r="AC317" s="7">
        <f t="shared" si="71"/>
        <v>2035.15</v>
      </c>
      <c r="AD317" s="7">
        <f t="shared" si="72"/>
        <v>880.30409999999983</v>
      </c>
      <c r="AE317" s="7">
        <f t="shared" si="73"/>
        <v>877.11979999999994</v>
      </c>
      <c r="AF317" s="26">
        <f t="shared" si="74"/>
        <v>1.432549984030661</v>
      </c>
      <c r="AG317" s="8">
        <f>IF(DASHBOARD!$Q$7&gt;'staging data'!X317,'staging data'!X317,DASHBOARD!$Q$7)</f>
        <v>1.4E-2</v>
      </c>
      <c r="AH317">
        <f>(100%+DASHBOARD!$Q$8)*'staging data'!T317</f>
        <v>180.0325</v>
      </c>
      <c r="AI317">
        <f>(100%+DASHBOARD!$Q$9)*'staging data'!Y317</f>
        <v>15.6</v>
      </c>
    </row>
    <row r="318" spans="1:35" x14ac:dyDescent="0.3">
      <c r="A318" s="3" t="s">
        <v>329</v>
      </c>
      <c r="B318" s="28">
        <v>45431</v>
      </c>
      <c r="C318" s="28" t="str">
        <f t="shared" si="75"/>
        <v>Q2</v>
      </c>
      <c r="D318" s="28" t="str">
        <f t="shared" si="76"/>
        <v>2025</v>
      </c>
      <c r="E318" s="28" t="str">
        <f t="shared" si="77"/>
        <v>Jun</v>
      </c>
      <c r="F318" s="5">
        <v>45809</v>
      </c>
      <c r="G318" s="5">
        <f t="shared" si="65"/>
        <v>45814</v>
      </c>
      <c r="H318" s="5">
        <v>45814</v>
      </c>
      <c r="I318" s="5" t="str">
        <f t="shared" si="78"/>
        <v>Not achieved</v>
      </c>
      <c r="J318" s="14">
        <f t="shared" si="79"/>
        <v>5</v>
      </c>
      <c r="K318" s="14">
        <f t="shared" si="66"/>
        <v>5</v>
      </c>
      <c r="L318" s="3" t="s">
        <v>648</v>
      </c>
      <c r="M318" s="3" t="s">
        <v>656</v>
      </c>
      <c r="N318" s="3" t="s">
        <v>689</v>
      </c>
      <c r="O318" s="3" t="s">
        <v>703</v>
      </c>
      <c r="P318" s="3" t="s">
        <v>709</v>
      </c>
      <c r="Q318" s="3" t="s">
        <v>714</v>
      </c>
      <c r="R318" s="3" t="s">
        <v>726</v>
      </c>
      <c r="S318" s="3" t="s">
        <v>1048</v>
      </c>
      <c r="T318" s="21">
        <v>379.45</v>
      </c>
      <c r="U318" s="21" t="str">
        <f t="shared" si="80"/>
        <v>Medium</v>
      </c>
      <c r="V318">
        <f t="shared" si="67"/>
        <v>742.23</v>
      </c>
      <c r="W318" s="7">
        <v>742.23</v>
      </c>
      <c r="X318" s="8">
        <v>0.09</v>
      </c>
      <c r="Y318" s="14">
        <v>13</v>
      </c>
      <c r="Z318" s="7">
        <f t="shared" si="68"/>
        <v>66.800700000000006</v>
      </c>
      <c r="AA318" s="7">
        <f t="shared" si="69"/>
        <v>8780.5809000000008</v>
      </c>
      <c r="AB318" s="7">
        <f t="shared" si="70"/>
        <v>8713.7802000000011</v>
      </c>
      <c r="AC318" s="7">
        <f t="shared" si="71"/>
        <v>4932.8499999999995</v>
      </c>
      <c r="AD318" s="7">
        <f t="shared" si="72"/>
        <v>3847.7309000000014</v>
      </c>
      <c r="AE318" s="7">
        <f t="shared" si="73"/>
        <v>3780.9302000000016</v>
      </c>
      <c r="AF318" s="26">
        <f t="shared" si="74"/>
        <v>1.7800218737646598</v>
      </c>
      <c r="AG318" s="8">
        <f>IF(DASHBOARD!$Q$7&gt;'staging data'!X318,'staging data'!X318,DASHBOARD!$Q$7)</f>
        <v>0.09</v>
      </c>
      <c r="AH318">
        <f>(100%+DASHBOARD!$Q$8)*'staging data'!T318</f>
        <v>436.36749999999995</v>
      </c>
      <c r="AI318">
        <f>(100%+DASHBOARD!$Q$9)*'staging data'!Y318</f>
        <v>15.6</v>
      </c>
    </row>
    <row r="319" spans="1:35" x14ac:dyDescent="0.3">
      <c r="A319" s="3" t="s">
        <v>328</v>
      </c>
      <c r="B319" s="28">
        <v>45432</v>
      </c>
      <c r="C319" s="28" t="str">
        <f t="shared" si="75"/>
        <v>Q2</v>
      </c>
      <c r="D319" s="28" t="str">
        <f t="shared" si="76"/>
        <v>2024</v>
      </c>
      <c r="E319" s="28" t="str">
        <f t="shared" si="77"/>
        <v>Jun</v>
      </c>
      <c r="F319" s="5">
        <v>45451</v>
      </c>
      <c r="G319" s="5">
        <f t="shared" si="65"/>
        <v>45467</v>
      </c>
      <c r="H319" s="5">
        <v>45467</v>
      </c>
      <c r="I319" s="5" t="str">
        <f t="shared" si="78"/>
        <v>Achieved</v>
      </c>
      <c r="J319" s="14">
        <f t="shared" si="79"/>
        <v>16</v>
      </c>
      <c r="K319" s="14">
        <f t="shared" si="66"/>
        <v>16</v>
      </c>
      <c r="L319" s="3" t="s">
        <v>645</v>
      </c>
      <c r="M319" s="3" t="s">
        <v>660</v>
      </c>
      <c r="N319" s="3" t="s">
        <v>686</v>
      </c>
      <c r="O319" s="3" t="s">
        <v>701</v>
      </c>
      <c r="P319" s="3" t="s">
        <v>709</v>
      </c>
      <c r="Q319" s="3" t="s">
        <v>721</v>
      </c>
      <c r="R319" s="3" t="s">
        <v>731</v>
      </c>
      <c r="S319" s="3" t="s">
        <v>1047</v>
      </c>
      <c r="T319" s="21">
        <v>597.85</v>
      </c>
      <c r="U319" s="21" t="str">
        <f t="shared" si="80"/>
        <v>Medium</v>
      </c>
      <c r="V319">
        <f t="shared" si="67"/>
        <v>741.92</v>
      </c>
      <c r="W319" s="7">
        <v>741.92</v>
      </c>
      <c r="X319" s="8">
        <v>3.1E-2</v>
      </c>
      <c r="Y319" s="14">
        <v>7</v>
      </c>
      <c r="Z319" s="7">
        <f t="shared" si="68"/>
        <v>22.999519999999997</v>
      </c>
      <c r="AA319" s="7">
        <f t="shared" si="69"/>
        <v>5032.4433599999993</v>
      </c>
      <c r="AB319" s="7">
        <f t="shared" si="70"/>
        <v>5009.443839999999</v>
      </c>
      <c r="AC319" s="7">
        <f t="shared" si="71"/>
        <v>4184.95</v>
      </c>
      <c r="AD319" s="7">
        <f t="shared" si="72"/>
        <v>847.49335999999948</v>
      </c>
      <c r="AE319" s="7">
        <f t="shared" si="73"/>
        <v>824.49383999999918</v>
      </c>
      <c r="AF319" s="26">
        <f t="shared" si="74"/>
        <v>1.2025097934264446</v>
      </c>
      <c r="AG319" s="8">
        <f>IF(DASHBOARD!$Q$7&gt;'staging data'!X319,'staging data'!X319,DASHBOARD!$Q$7)</f>
        <v>3.1E-2</v>
      </c>
      <c r="AH319">
        <f>(100%+DASHBOARD!$Q$8)*'staging data'!T319</f>
        <v>687.52749999999992</v>
      </c>
      <c r="AI319">
        <f>(100%+DASHBOARD!$Q$9)*'staging data'!Y319</f>
        <v>8.4</v>
      </c>
    </row>
    <row r="320" spans="1:35" x14ac:dyDescent="0.3">
      <c r="A320" s="3" t="s">
        <v>327</v>
      </c>
      <c r="B320" s="28">
        <v>45433</v>
      </c>
      <c r="C320" s="28" t="str">
        <f t="shared" si="75"/>
        <v>Q2</v>
      </c>
      <c r="D320" s="28" t="str">
        <f t="shared" si="76"/>
        <v>2024</v>
      </c>
      <c r="E320" s="28" t="str">
        <f t="shared" si="77"/>
        <v>Nov</v>
      </c>
      <c r="F320" s="5">
        <v>45600</v>
      </c>
      <c r="G320" s="5">
        <f t="shared" si="65"/>
        <v>45601</v>
      </c>
      <c r="H320" s="5">
        <v>45601</v>
      </c>
      <c r="I320" s="5" t="str">
        <f t="shared" si="78"/>
        <v>Not achieved</v>
      </c>
      <c r="J320" s="14">
        <f t="shared" si="79"/>
        <v>1</v>
      </c>
      <c r="K320" s="14">
        <f t="shared" si="66"/>
        <v>1</v>
      </c>
      <c r="L320" s="3" t="s">
        <v>648</v>
      </c>
      <c r="M320" s="3" t="s">
        <v>657</v>
      </c>
      <c r="N320" s="3" t="s">
        <v>682</v>
      </c>
      <c r="O320" s="3" t="s">
        <v>700</v>
      </c>
      <c r="P320" s="3" t="s">
        <v>706</v>
      </c>
      <c r="Q320" s="3" t="s">
        <v>723</v>
      </c>
      <c r="R320" s="3" t="s">
        <v>727</v>
      </c>
      <c r="S320" s="3" t="s">
        <v>1046</v>
      </c>
      <c r="T320" s="21">
        <v>840.68</v>
      </c>
      <c r="U320" s="21" t="str">
        <f t="shared" si="80"/>
        <v>Medium</v>
      </c>
      <c r="V320">
        <f t="shared" si="67"/>
        <v>1493.53</v>
      </c>
      <c r="W320" s="7">
        <v>1493.53</v>
      </c>
      <c r="X320" s="8">
        <v>0</v>
      </c>
      <c r="Y320" s="14">
        <v>27</v>
      </c>
      <c r="Z320" s="7">
        <f t="shared" si="68"/>
        <v>0</v>
      </c>
      <c r="AA320" s="7">
        <f t="shared" si="69"/>
        <v>40325.31</v>
      </c>
      <c r="AB320" s="7">
        <f t="shared" si="70"/>
        <v>40325.31</v>
      </c>
      <c r="AC320" s="7">
        <f t="shared" si="71"/>
        <v>22698.359999999997</v>
      </c>
      <c r="AD320" s="7">
        <f t="shared" si="72"/>
        <v>17626.95</v>
      </c>
      <c r="AE320" s="7">
        <f t="shared" si="73"/>
        <v>17626.95</v>
      </c>
      <c r="AF320" s="26">
        <f t="shared" si="74"/>
        <v>1.7765737260313081</v>
      </c>
      <c r="AG320" s="8">
        <f>IF(DASHBOARD!$Q$7&gt;'staging data'!X320,'staging data'!X320,DASHBOARD!$Q$7)</f>
        <v>0</v>
      </c>
      <c r="AH320">
        <f>(100%+DASHBOARD!$Q$8)*'staging data'!T320</f>
        <v>966.78199999999981</v>
      </c>
      <c r="AI320">
        <f>(100%+DASHBOARD!$Q$9)*'staging data'!Y320</f>
        <v>32.4</v>
      </c>
    </row>
    <row r="321" spans="1:35" x14ac:dyDescent="0.3">
      <c r="A321" s="3" t="s">
        <v>326</v>
      </c>
      <c r="B321" s="28">
        <v>45434</v>
      </c>
      <c r="C321" s="28" t="str">
        <f t="shared" si="75"/>
        <v>Q2</v>
      </c>
      <c r="D321" s="28" t="str">
        <f t="shared" si="76"/>
        <v>2023</v>
      </c>
      <c r="E321" s="28" t="str">
        <f t="shared" si="77"/>
        <v>Jun</v>
      </c>
      <c r="F321" s="5">
        <v>45101</v>
      </c>
      <c r="G321" s="5">
        <f t="shared" si="65"/>
        <v>45101</v>
      </c>
      <c r="H321" s="5">
        <v>45099</v>
      </c>
      <c r="I321" s="5" t="str">
        <f t="shared" si="78"/>
        <v>Not achieved</v>
      </c>
      <c r="J321" s="14">
        <f t="shared" si="79"/>
        <v>0</v>
      </c>
      <c r="K321" s="14">
        <f t="shared" si="66"/>
        <v>-2</v>
      </c>
      <c r="L321" s="3" t="s">
        <v>647</v>
      </c>
      <c r="M321" s="3" t="s">
        <v>652</v>
      </c>
      <c r="N321" s="3" t="s">
        <v>666</v>
      </c>
      <c r="O321" s="3" t="s">
        <v>702</v>
      </c>
      <c r="P321" s="3" t="s">
        <v>706</v>
      </c>
      <c r="Q321" s="3" t="s">
        <v>723</v>
      </c>
      <c r="R321" s="3" t="s">
        <v>732</v>
      </c>
      <c r="S321" s="3" t="s">
        <v>1045</v>
      </c>
      <c r="T321" s="21">
        <v>471.42</v>
      </c>
      <c r="U321" s="21" t="str">
        <f t="shared" si="80"/>
        <v>Medium</v>
      </c>
      <c r="V321">
        <f t="shared" si="67"/>
        <v>824.81</v>
      </c>
      <c r="W321" s="7">
        <v>824.81</v>
      </c>
      <c r="X321" s="8">
        <v>8.7999999999999995E-2</v>
      </c>
      <c r="Y321" s="14">
        <v>15</v>
      </c>
      <c r="Z321" s="7">
        <f t="shared" si="68"/>
        <v>72.583279999999988</v>
      </c>
      <c r="AA321" s="7">
        <f t="shared" si="69"/>
        <v>11283.400799999999</v>
      </c>
      <c r="AB321" s="7">
        <f t="shared" si="70"/>
        <v>11210.817519999999</v>
      </c>
      <c r="AC321" s="7">
        <f t="shared" si="71"/>
        <v>7071.3</v>
      </c>
      <c r="AD321" s="7">
        <f t="shared" si="72"/>
        <v>4212.1007999999993</v>
      </c>
      <c r="AE321" s="7">
        <f t="shared" si="73"/>
        <v>4139.5175199999985</v>
      </c>
      <c r="AF321" s="26">
        <f t="shared" si="74"/>
        <v>1.5956614483899707</v>
      </c>
      <c r="AG321" s="8">
        <f>IF(DASHBOARD!$Q$7&gt;'staging data'!X321,'staging data'!X321,DASHBOARD!$Q$7)</f>
        <v>8.7999999999999995E-2</v>
      </c>
      <c r="AH321">
        <f>(100%+DASHBOARD!$Q$8)*'staging data'!T321</f>
        <v>542.13299999999992</v>
      </c>
      <c r="AI321">
        <f>(100%+DASHBOARD!$Q$9)*'staging data'!Y321</f>
        <v>18</v>
      </c>
    </row>
    <row r="322" spans="1:35" x14ac:dyDescent="0.3">
      <c r="A322" s="3" t="s">
        <v>323</v>
      </c>
      <c r="B322" s="28">
        <v>45435</v>
      </c>
      <c r="C322" s="28" t="str">
        <f t="shared" si="75"/>
        <v>Q2</v>
      </c>
      <c r="D322" s="28" t="str">
        <f t="shared" si="76"/>
        <v>2023</v>
      </c>
      <c r="E322" s="28" t="str">
        <f t="shared" si="77"/>
        <v>Jan</v>
      </c>
      <c r="F322" s="5">
        <v>44936</v>
      </c>
      <c r="G322" s="5">
        <f t="shared" ref="G322:G385" si="81">IF(H322&gt;=F322, H322, (H322-K322))</f>
        <v>44955</v>
      </c>
      <c r="H322" s="5">
        <v>44955</v>
      </c>
      <c r="I322" s="5" t="str">
        <f t="shared" si="78"/>
        <v>Achieved</v>
      </c>
      <c r="J322" s="14">
        <f t="shared" si="79"/>
        <v>19</v>
      </c>
      <c r="K322" s="14">
        <f t="shared" ref="K322:K385" si="82">_xlfn.DAYS(H322,F322)</f>
        <v>19</v>
      </c>
      <c r="L322" s="3" t="s">
        <v>648</v>
      </c>
      <c r="M322" s="3" t="s">
        <v>656</v>
      </c>
      <c r="N322" s="3" t="s">
        <v>678</v>
      </c>
      <c r="O322" s="3" t="s">
        <v>702</v>
      </c>
      <c r="P322" s="3" t="s">
        <v>710</v>
      </c>
      <c r="Q322" s="3" t="s">
        <v>725</v>
      </c>
      <c r="R322" s="3" t="s">
        <v>730</v>
      </c>
      <c r="S322" s="3" t="s">
        <v>1042</v>
      </c>
      <c r="T322" s="21">
        <v>401.66</v>
      </c>
      <c r="U322" s="21" t="str">
        <f t="shared" si="80"/>
        <v>Medium</v>
      </c>
      <c r="V322">
        <f t="shared" ref="V322:V385" si="83">ABS(W322)</f>
        <v>772.09</v>
      </c>
      <c r="W322" s="7">
        <v>772.09</v>
      </c>
      <c r="X322" s="8">
        <v>8.8999999999999996E-2</v>
      </c>
      <c r="Y322" s="14">
        <v>14</v>
      </c>
      <c r="Z322" s="7">
        <f t="shared" ref="Z322:Z385" si="84">X322*V322</f>
        <v>68.716009999999997</v>
      </c>
      <c r="AA322" s="7">
        <f t="shared" ref="AA322:AA385" si="85">(V322*Y322)*(1-X322)</f>
        <v>9847.2358600000007</v>
      </c>
      <c r="AB322" s="7">
        <f t="shared" ref="AB322:AB385" si="86">AA322-Z322</f>
        <v>9778.5198500000006</v>
      </c>
      <c r="AC322" s="7">
        <f t="shared" ref="AC322:AC385" si="87">T322*Y322</f>
        <v>5623.2400000000007</v>
      </c>
      <c r="AD322" s="7">
        <f t="shared" ref="AD322:AD385" si="88">AA322-AC322</f>
        <v>4223.99586</v>
      </c>
      <c r="AE322" s="7">
        <f t="shared" ref="AE322:AE385" si="89">AB322-AC322</f>
        <v>4155.2798499999999</v>
      </c>
      <c r="AF322" s="26">
        <f t="shared" ref="AF322:AF385" si="90">IF(AA322=0,0,AA322/AC322)</f>
        <v>1.7511676293382461</v>
      </c>
      <c r="AG322" s="8">
        <f>IF(DASHBOARD!$Q$7&gt;'staging data'!X322,'staging data'!X322,DASHBOARD!$Q$7)</f>
        <v>8.8999999999999996E-2</v>
      </c>
      <c r="AH322">
        <f>(100%+DASHBOARD!$Q$8)*'staging data'!T322</f>
        <v>461.90899999999999</v>
      </c>
      <c r="AI322">
        <f>(100%+DASHBOARD!$Q$9)*'staging data'!Y322</f>
        <v>16.8</v>
      </c>
    </row>
    <row r="323" spans="1:35" x14ac:dyDescent="0.3">
      <c r="A323" s="3" t="s">
        <v>324</v>
      </c>
      <c r="B323" s="28">
        <v>45435</v>
      </c>
      <c r="C323" s="28" t="str">
        <f t="shared" ref="C323:C386" si="91">"Q" &amp; ROUNDUP(MONTH(B323)/3,0)</f>
        <v>Q2</v>
      </c>
      <c r="D323" s="28" t="str">
        <f t="shared" ref="D323:D386" si="92">TEXT(F323,"YYYY")</f>
        <v>2024</v>
      </c>
      <c r="E323" s="28" t="str">
        <f t="shared" ref="E323:E386" si="93">TEXT(F323,"MMM")</f>
        <v>Dec</v>
      </c>
      <c r="F323" s="5">
        <v>45655</v>
      </c>
      <c r="G323" s="5">
        <f t="shared" si="81"/>
        <v>45669</v>
      </c>
      <c r="H323" s="5">
        <v>45669</v>
      </c>
      <c r="I323" s="5" t="str">
        <f t="shared" ref="I323:I386" si="94">IF(J323&gt;=7,"Achieved","Not achieved")</f>
        <v>Achieved</v>
      </c>
      <c r="J323" s="14">
        <f t="shared" ref="J323:J386" si="95">_xlfn.DAYS(G323,F323)</f>
        <v>14</v>
      </c>
      <c r="K323" s="14">
        <f t="shared" si="82"/>
        <v>14</v>
      </c>
      <c r="L323" s="3" t="s">
        <v>648</v>
      </c>
      <c r="M323" s="3" t="s">
        <v>657</v>
      </c>
      <c r="N323" s="3" t="s">
        <v>692</v>
      </c>
      <c r="O323" s="3" t="s">
        <v>700</v>
      </c>
      <c r="P323" s="3" t="s">
        <v>710</v>
      </c>
      <c r="Q323" s="3" t="s">
        <v>716</v>
      </c>
      <c r="R323" s="3" t="s">
        <v>731</v>
      </c>
      <c r="S323" s="3" t="s">
        <v>1043</v>
      </c>
      <c r="T323" s="21">
        <v>1399.72</v>
      </c>
      <c r="U323" s="21" t="str">
        <f t="shared" si="80"/>
        <v>High</v>
      </c>
      <c r="V323">
        <f t="shared" si="83"/>
        <v>3149.21</v>
      </c>
      <c r="W323" s="7">
        <v>3149.21</v>
      </c>
      <c r="X323" s="8">
        <v>0.185</v>
      </c>
      <c r="Y323" s="14">
        <v>12</v>
      </c>
      <c r="Z323" s="7">
        <f t="shared" si="84"/>
        <v>582.60384999999997</v>
      </c>
      <c r="AA323" s="7">
        <f t="shared" si="85"/>
        <v>30799.273800000003</v>
      </c>
      <c r="AB323" s="7">
        <f t="shared" si="86"/>
        <v>30216.669950000003</v>
      </c>
      <c r="AC323" s="7">
        <f t="shared" si="87"/>
        <v>16796.64</v>
      </c>
      <c r="AD323" s="7">
        <f t="shared" si="88"/>
        <v>14002.633800000003</v>
      </c>
      <c r="AE323" s="7">
        <f t="shared" si="89"/>
        <v>13420.029950000004</v>
      </c>
      <c r="AF323" s="26">
        <f t="shared" si="90"/>
        <v>1.8336568385105594</v>
      </c>
      <c r="AG323" s="8">
        <f>IF(DASHBOARD!$Q$7&gt;'staging data'!X323,'staging data'!X323,DASHBOARD!$Q$7)</f>
        <v>0.185</v>
      </c>
      <c r="AH323">
        <f>(100%+DASHBOARD!$Q$8)*'staging data'!T323</f>
        <v>1609.6779999999999</v>
      </c>
      <c r="AI323">
        <f>(100%+DASHBOARD!$Q$9)*'staging data'!Y323</f>
        <v>14.399999999999999</v>
      </c>
    </row>
    <row r="324" spans="1:35" x14ac:dyDescent="0.3">
      <c r="A324" s="3" t="s">
        <v>325</v>
      </c>
      <c r="B324" s="28">
        <v>45435</v>
      </c>
      <c r="C324" s="28" t="str">
        <f t="shared" si="91"/>
        <v>Q2</v>
      </c>
      <c r="D324" s="28" t="str">
        <f t="shared" si="92"/>
        <v>2024</v>
      </c>
      <c r="E324" s="28" t="str">
        <f t="shared" si="93"/>
        <v>May</v>
      </c>
      <c r="F324" s="5">
        <v>45435</v>
      </c>
      <c r="G324" s="5">
        <f t="shared" si="81"/>
        <v>45449</v>
      </c>
      <c r="H324" s="5">
        <v>45449</v>
      </c>
      <c r="I324" s="5" t="str">
        <f t="shared" si="94"/>
        <v>Achieved</v>
      </c>
      <c r="J324" s="14">
        <f t="shared" si="95"/>
        <v>14</v>
      </c>
      <c r="K324" s="14">
        <f t="shared" si="82"/>
        <v>14</v>
      </c>
      <c r="L324" s="3" t="s">
        <v>647</v>
      </c>
      <c r="M324" s="3" t="s">
        <v>654</v>
      </c>
      <c r="N324" s="3" t="s">
        <v>691</v>
      </c>
      <c r="O324" s="3" t="s">
        <v>702</v>
      </c>
      <c r="P324" s="3" t="s">
        <v>707</v>
      </c>
      <c r="Q324" s="3" t="s">
        <v>713</v>
      </c>
      <c r="R324" s="3" t="s">
        <v>728</v>
      </c>
      <c r="S324" s="3" t="s">
        <v>1044</v>
      </c>
      <c r="T324" s="21">
        <v>51.13</v>
      </c>
      <c r="U324" s="21" t="str">
        <f t="shared" ref="U324:U387" si="96">IF(V324&lt;=QUARTILE(V324:V953,1),"Low",IF(V324&gt;=QUARTILE(V324:V953,3),"High","Medium"))</f>
        <v>Low</v>
      </c>
      <c r="V324">
        <f t="shared" si="83"/>
        <v>57.53</v>
      </c>
      <c r="W324" s="7">
        <v>57.53</v>
      </c>
      <c r="X324" s="8">
        <v>4.4999999999999998E-2</v>
      </c>
      <c r="Y324" s="14">
        <v>16</v>
      </c>
      <c r="Z324" s="7">
        <f t="shared" si="84"/>
        <v>2.5888499999999999</v>
      </c>
      <c r="AA324" s="7">
        <f t="shared" si="85"/>
        <v>879.05840000000001</v>
      </c>
      <c r="AB324" s="7">
        <f t="shared" si="86"/>
        <v>876.46955000000003</v>
      </c>
      <c r="AC324" s="7">
        <f t="shared" si="87"/>
        <v>818.08</v>
      </c>
      <c r="AD324" s="7">
        <f t="shared" si="88"/>
        <v>60.978399999999965</v>
      </c>
      <c r="AE324" s="7">
        <f t="shared" si="89"/>
        <v>58.389549999999986</v>
      </c>
      <c r="AF324" s="26">
        <f t="shared" si="90"/>
        <v>1.074538431449247</v>
      </c>
      <c r="AG324" s="8">
        <f>IF(DASHBOARD!$Q$7&gt;'staging data'!X324,'staging data'!X324,DASHBOARD!$Q$7)</f>
        <v>4.4999999999999998E-2</v>
      </c>
      <c r="AH324">
        <f>(100%+DASHBOARD!$Q$8)*'staging data'!T324</f>
        <v>58.799500000000002</v>
      </c>
      <c r="AI324">
        <f>(100%+DASHBOARD!$Q$9)*'staging data'!Y324</f>
        <v>19.2</v>
      </c>
    </row>
    <row r="325" spans="1:35" x14ac:dyDescent="0.3">
      <c r="A325" s="3" t="s">
        <v>322</v>
      </c>
      <c r="B325" s="28">
        <v>45439</v>
      </c>
      <c r="C325" s="28" t="str">
        <f t="shared" si="91"/>
        <v>Q2</v>
      </c>
      <c r="D325" s="28" t="str">
        <f t="shared" si="92"/>
        <v>2025</v>
      </c>
      <c r="E325" s="28" t="str">
        <f t="shared" si="93"/>
        <v>Jan</v>
      </c>
      <c r="F325" s="5">
        <v>45679</v>
      </c>
      <c r="G325" s="5">
        <f t="shared" si="81"/>
        <v>45692</v>
      </c>
      <c r="H325" s="5">
        <v>45692</v>
      </c>
      <c r="I325" s="5" t="str">
        <f t="shared" si="94"/>
        <v>Achieved</v>
      </c>
      <c r="J325" s="14">
        <f t="shared" si="95"/>
        <v>13</v>
      </c>
      <c r="K325" s="14">
        <f t="shared" si="82"/>
        <v>13</v>
      </c>
      <c r="L325" s="3" t="s">
        <v>646</v>
      </c>
      <c r="M325" s="3" t="s">
        <v>651</v>
      </c>
      <c r="N325" s="3" t="s">
        <v>688</v>
      </c>
      <c r="O325" s="3" t="s">
        <v>704</v>
      </c>
      <c r="P325" s="3" t="s">
        <v>709</v>
      </c>
      <c r="Q325" s="3" t="s">
        <v>715</v>
      </c>
      <c r="R325" s="3" t="s">
        <v>727</v>
      </c>
      <c r="S325" s="3" t="s">
        <v>1041</v>
      </c>
      <c r="T325" s="21">
        <v>122.29</v>
      </c>
      <c r="U325" s="21" t="str">
        <f t="shared" si="96"/>
        <v>Low</v>
      </c>
      <c r="V325">
        <f t="shared" si="83"/>
        <v>224.95</v>
      </c>
      <c r="W325" s="7">
        <v>224.95</v>
      </c>
      <c r="X325" s="8">
        <v>0.153</v>
      </c>
      <c r="Y325" s="14">
        <v>28</v>
      </c>
      <c r="Z325" s="7">
        <f t="shared" si="84"/>
        <v>34.417349999999999</v>
      </c>
      <c r="AA325" s="7">
        <f t="shared" si="85"/>
        <v>5334.9141999999993</v>
      </c>
      <c r="AB325" s="7">
        <f t="shared" si="86"/>
        <v>5300.4968499999995</v>
      </c>
      <c r="AC325" s="7">
        <f t="shared" si="87"/>
        <v>3424.1200000000003</v>
      </c>
      <c r="AD325" s="7">
        <f t="shared" si="88"/>
        <v>1910.7941999999989</v>
      </c>
      <c r="AE325" s="7">
        <f t="shared" si="89"/>
        <v>1876.3768499999992</v>
      </c>
      <c r="AF325" s="26">
        <f t="shared" si="90"/>
        <v>1.5580394962793356</v>
      </c>
      <c r="AG325" s="8">
        <f>IF(DASHBOARD!$Q$7&gt;'staging data'!X325,'staging data'!X325,DASHBOARD!$Q$7)</f>
        <v>0.153</v>
      </c>
      <c r="AH325">
        <f>(100%+DASHBOARD!$Q$8)*'staging data'!T325</f>
        <v>140.6335</v>
      </c>
      <c r="AI325">
        <f>(100%+DASHBOARD!$Q$9)*'staging data'!Y325</f>
        <v>33.6</v>
      </c>
    </row>
    <row r="326" spans="1:35" x14ac:dyDescent="0.3">
      <c r="A326" s="3" t="s">
        <v>320</v>
      </c>
      <c r="B326" s="28">
        <v>45440</v>
      </c>
      <c r="C326" s="28" t="str">
        <f t="shared" si="91"/>
        <v>Q2</v>
      </c>
      <c r="D326" s="28" t="str">
        <f t="shared" si="92"/>
        <v>2025</v>
      </c>
      <c r="E326" s="28" t="str">
        <f t="shared" si="93"/>
        <v>Mar</v>
      </c>
      <c r="F326" s="5">
        <v>45741</v>
      </c>
      <c r="G326" s="5">
        <f t="shared" si="81"/>
        <v>45742</v>
      </c>
      <c r="H326" s="5">
        <v>45742</v>
      </c>
      <c r="I326" s="5" t="str">
        <f t="shared" si="94"/>
        <v>Not achieved</v>
      </c>
      <c r="J326" s="14">
        <f t="shared" si="95"/>
        <v>1</v>
      </c>
      <c r="K326" s="14">
        <f t="shared" si="82"/>
        <v>1</v>
      </c>
      <c r="L326" s="3" t="s">
        <v>645</v>
      </c>
      <c r="M326" s="3" t="s">
        <v>650</v>
      </c>
      <c r="N326" s="3" t="s">
        <v>664</v>
      </c>
      <c r="O326" s="3" t="s">
        <v>701</v>
      </c>
      <c r="P326" s="3" t="s">
        <v>709</v>
      </c>
      <c r="Q326" s="3" t="s">
        <v>714</v>
      </c>
      <c r="R326" s="3" t="s">
        <v>732</v>
      </c>
      <c r="S326" s="3" t="s">
        <v>1039</v>
      </c>
      <c r="T326" s="21">
        <v>1450.43</v>
      </c>
      <c r="U326" s="21" t="str">
        <f t="shared" si="96"/>
        <v>High</v>
      </c>
      <c r="V326">
        <f t="shared" si="83"/>
        <v>1994.67</v>
      </c>
      <c r="W326" s="7">
        <v>1994.67</v>
      </c>
      <c r="X326" s="8">
        <v>0.1</v>
      </c>
      <c r="Y326" s="14">
        <v>24</v>
      </c>
      <c r="Z326" s="7">
        <f t="shared" si="84"/>
        <v>199.46700000000001</v>
      </c>
      <c r="AA326" s="7">
        <f t="shared" si="85"/>
        <v>43084.872000000003</v>
      </c>
      <c r="AB326" s="7">
        <f t="shared" si="86"/>
        <v>42885.405000000006</v>
      </c>
      <c r="AC326" s="7">
        <f t="shared" si="87"/>
        <v>34810.32</v>
      </c>
      <c r="AD326" s="7">
        <f t="shared" si="88"/>
        <v>8274.5520000000033</v>
      </c>
      <c r="AE326" s="7">
        <f t="shared" si="89"/>
        <v>8075.0850000000064</v>
      </c>
      <c r="AF326" s="26">
        <f t="shared" si="90"/>
        <v>1.237703991230187</v>
      </c>
      <c r="AG326" s="8">
        <f>IF(DASHBOARD!$Q$7&gt;'staging data'!X326,'staging data'!X326,DASHBOARD!$Q$7)</f>
        <v>0.1</v>
      </c>
      <c r="AH326">
        <f>(100%+DASHBOARD!$Q$8)*'staging data'!T326</f>
        <v>1667.9945</v>
      </c>
      <c r="AI326">
        <f>(100%+DASHBOARD!$Q$9)*'staging data'!Y326</f>
        <v>28.799999999999997</v>
      </c>
    </row>
    <row r="327" spans="1:35" x14ac:dyDescent="0.3">
      <c r="A327" s="3" t="s">
        <v>321</v>
      </c>
      <c r="B327" s="28">
        <v>45440</v>
      </c>
      <c r="C327" s="28" t="str">
        <f t="shared" si="91"/>
        <v>Q2</v>
      </c>
      <c r="D327" s="28" t="str">
        <f t="shared" si="92"/>
        <v>2025</v>
      </c>
      <c r="E327" s="28" t="str">
        <f t="shared" si="93"/>
        <v>May</v>
      </c>
      <c r="F327" s="5">
        <v>45795</v>
      </c>
      <c r="G327" s="5">
        <f t="shared" si="81"/>
        <v>45817</v>
      </c>
      <c r="H327" s="5">
        <v>45817</v>
      </c>
      <c r="I327" s="5" t="str">
        <f t="shared" si="94"/>
        <v>Achieved</v>
      </c>
      <c r="J327" s="14">
        <f t="shared" si="95"/>
        <v>22</v>
      </c>
      <c r="K327" s="14">
        <f t="shared" si="82"/>
        <v>22</v>
      </c>
      <c r="L327" s="3" t="s">
        <v>647</v>
      </c>
      <c r="M327" s="3" t="s">
        <v>659</v>
      </c>
      <c r="N327" s="3" t="s">
        <v>699</v>
      </c>
      <c r="O327" s="3" t="s">
        <v>703</v>
      </c>
      <c r="P327" s="3" t="s">
        <v>706</v>
      </c>
      <c r="Q327" s="3" t="s">
        <v>721</v>
      </c>
      <c r="R327" s="3" t="s">
        <v>728</v>
      </c>
      <c r="S327" s="3" t="s">
        <v>1040</v>
      </c>
      <c r="T327" s="21">
        <v>382.96</v>
      </c>
      <c r="U327" s="21" t="str">
        <f t="shared" si="96"/>
        <v>Medium</v>
      </c>
      <c r="V327">
        <f t="shared" si="83"/>
        <v>552.84</v>
      </c>
      <c r="W327" s="7">
        <v>552.84</v>
      </c>
      <c r="X327" s="8">
        <v>0.17599999999999999</v>
      </c>
      <c r="Y327" s="14">
        <v>8</v>
      </c>
      <c r="Z327" s="7">
        <f t="shared" si="84"/>
        <v>97.299840000000003</v>
      </c>
      <c r="AA327" s="7">
        <f t="shared" si="85"/>
        <v>3644.3212800000006</v>
      </c>
      <c r="AB327" s="7">
        <f t="shared" si="86"/>
        <v>3547.0214400000004</v>
      </c>
      <c r="AC327" s="7">
        <f t="shared" si="87"/>
        <v>3063.68</v>
      </c>
      <c r="AD327" s="7">
        <f t="shared" si="88"/>
        <v>580.64128000000073</v>
      </c>
      <c r="AE327" s="7">
        <f t="shared" si="89"/>
        <v>483.3414400000006</v>
      </c>
      <c r="AF327" s="26">
        <f t="shared" si="90"/>
        <v>1.1895241278462505</v>
      </c>
      <c r="AG327" s="8">
        <f>IF(DASHBOARD!$Q$7&gt;'staging data'!X327,'staging data'!X327,DASHBOARD!$Q$7)</f>
        <v>0.17599999999999999</v>
      </c>
      <c r="AH327">
        <f>(100%+DASHBOARD!$Q$8)*'staging data'!T327</f>
        <v>440.40399999999994</v>
      </c>
      <c r="AI327">
        <f>(100%+DASHBOARD!$Q$9)*'staging data'!Y327</f>
        <v>9.6</v>
      </c>
    </row>
    <row r="328" spans="1:35" x14ac:dyDescent="0.3">
      <c r="A328" s="3" t="s">
        <v>319</v>
      </c>
      <c r="B328" s="28">
        <v>45442</v>
      </c>
      <c r="C328" s="28" t="str">
        <f t="shared" si="91"/>
        <v>Q2</v>
      </c>
      <c r="D328" s="28" t="str">
        <f t="shared" si="92"/>
        <v>2025</v>
      </c>
      <c r="E328" s="28" t="str">
        <f t="shared" si="93"/>
        <v>Apr</v>
      </c>
      <c r="F328" s="5">
        <v>45756</v>
      </c>
      <c r="G328" s="5">
        <f t="shared" si="81"/>
        <v>45759</v>
      </c>
      <c r="H328" s="5">
        <v>45759</v>
      </c>
      <c r="I328" s="5" t="str">
        <f t="shared" si="94"/>
        <v>Not achieved</v>
      </c>
      <c r="J328" s="14">
        <f t="shared" si="95"/>
        <v>3</v>
      </c>
      <c r="K328" s="14">
        <f t="shared" si="82"/>
        <v>3</v>
      </c>
      <c r="L328" s="3" t="s">
        <v>648</v>
      </c>
      <c r="M328" s="3" t="s">
        <v>656</v>
      </c>
      <c r="N328" s="3" t="s">
        <v>678</v>
      </c>
      <c r="O328" s="3" t="s">
        <v>704</v>
      </c>
      <c r="P328" s="3" t="s">
        <v>709</v>
      </c>
      <c r="Q328" s="3" t="s">
        <v>721</v>
      </c>
      <c r="R328" s="3" t="s">
        <v>731</v>
      </c>
      <c r="S328" s="3" t="s">
        <v>1038</v>
      </c>
      <c r="T328" s="21">
        <v>86.68</v>
      </c>
      <c r="U328" s="21" t="str">
        <f t="shared" si="96"/>
        <v>Low</v>
      </c>
      <c r="V328">
        <f t="shared" si="83"/>
        <v>213.32</v>
      </c>
      <c r="W328" s="7">
        <v>213.32</v>
      </c>
      <c r="X328" s="8">
        <v>3.7999999999999999E-2</v>
      </c>
      <c r="Y328" s="14">
        <v>8</v>
      </c>
      <c r="Z328" s="7">
        <f t="shared" si="84"/>
        <v>8.1061599999999991</v>
      </c>
      <c r="AA328" s="7">
        <f t="shared" si="85"/>
        <v>1641.7107199999998</v>
      </c>
      <c r="AB328" s="7">
        <f t="shared" si="86"/>
        <v>1633.6045599999998</v>
      </c>
      <c r="AC328" s="7">
        <f t="shared" si="87"/>
        <v>693.44</v>
      </c>
      <c r="AD328" s="7">
        <f t="shared" si="88"/>
        <v>948.27071999999976</v>
      </c>
      <c r="AE328" s="7">
        <f t="shared" si="89"/>
        <v>940.16455999999971</v>
      </c>
      <c r="AF328" s="26">
        <f t="shared" si="90"/>
        <v>2.367487771112136</v>
      </c>
      <c r="AG328" s="8">
        <f>IF(DASHBOARD!$Q$7&gt;'staging data'!X328,'staging data'!X328,DASHBOARD!$Q$7)</f>
        <v>3.7999999999999999E-2</v>
      </c>
      <c r="AH328">
        <f>(100%+DASHBOARD!$Q$8)*'staging data'!T328</f>
        <v>99.682000000000002</v>
      </c>
      <c r="AI328">
        <f>(100%+DASHBOARD!$Q$9)*'staging data'!Y328</f>
        <v>9.6</v>
      </c>
    </row>
    <row r="329" spans="1:35" x14ac:dyDescent="0.3">
      <c r="A329" s="3" t="s">
        <v>317</v>
      </c>
      <c r="B329" s="28">
        <v>45445</v>
      </c>
      <c r="C329" s="28" t="str">
        <f t="shared" si="91"/>
        <v>Q2</v>
      </c>
      <c r="D329" s="28" t="str">
        <f t="shared" si="92"/>
        <v>2025</v>
      </c>
      <c r="E329" s="28" t="str">
        <f t="shared" si="93"/>
        <v>Jun</v>
      </c>
      <c r="F329" s="5">
        <v>45830</v>
      </c>
      <c r="G329" s="5">
        <f t="shared" si="81"/>
        <v>45846</v>
      </c>
      <c r="H329" s="5">
        <v>45846</v>
      </c>
      <c r="I329" s="5" t="str">
        <f t="shared" si="94"/>
        <v>Achieved</v>
      </c>
      <c r="J329" s="14">
        <f t="shared" si="95"/>
        <v>16</v>
      </c>
      <c r="K329" s="14">
        <f t="shared" si="82"/>
        <v>16</v>
      </c>
      <c r="L329" s="3" t="s">
        <v>648</v>
      </c>
      <c r="M329" s="3" t="s">
        <v>657</v>
      </c>
      <c r="N329" s="3" t="s">
        <v>682</v>
      </c>
      <c r="O329" s="3" t="s">
        <v>701</v>
      </c>
      <c r="P329" s="3" t="s">
        <v>710</v>
      </c>
      <c r="Q329" s="3" t="s">
        <v>719</v>
      </c>
      <c r="R329" s="3" t="s">
        <v>729</v>
      </c>
      <c r="S329" s="3" t="s">
        <v>1036</v>
      </c>
      <c r="T329" s="21">
        <v>892.73</v>
      </c>
      <c r="U329" s="21" t="str">
        <f t="shared" si="96"/>
        <v>Medium</v>
      </c>
      <c r="V329">
        <f t="shared" si="83"/>
        <v>979.84</v>
      </c>
      <c r="W329" s="7">
        <v>979.84</v>
      </c>
      <c r="X329" s="8">
        <v>0.17399999999999999</v>
      </c>
      <c r="Y329" s="14">
        <v>10</v>
      </c>
      <c r="Z329" s="7">
        <f t="shared" si="84"/>
        <v>170.49215999999998</v>
      </c>
      <c r="AA329" s="7">
        <f t="shared" si="85"/>
        <v>8093.4784</v>
      </c>
      <c r="AB329" s="7">
        <f t="shared" si="86"/>
        <v>7922.9862400000002</v>
      </c>
      <c r="AC329" s="7">
        <f t="shared" si="87"/>
        <v>8927.2999999999993</v>
      </c>
      <c r="AD329" s="7">
        <f t="shared" si="88"/>
        <v>-833.82159999999931</v>
      </c>
      <c r="AE329" s="7">
        <f t="shared" si="89"/>
        <v>-1004.3137599999991</v>
      </c>
      <c r="AF329" s="26">
        <f t="shared" si="90"/>
        <v>0.90659868045209646</v>
      </c>
      <c r="AG329" s="8">
        <f>IF(DASHBOARD!$Q$7&gt;'staging data'!X329,'staging data'!X329,DASHBOARD!$Q$7)</f>
        <v>0.17399999999999999</v>
      </c>
      <c r="AH329">
        <f>(100%+DASHBOARD!$Q$8)*'staging data'!T329</f>
        <v>1026.6395</v>
      </c>
      <c r="AI329">
        <f>(100%+DASHBOARD!$Q$9)*'staging data'!Y329</f>
        <v>12</v>
      </c>
    </row>
    <row r="330" spans="1:35" x14ac:dyDescent="0.3">
      <c r="A330" s="3" t="s">
        <v>318</v>
      </c>
      <c r="B330" s="28">
        <v>45445</v>
      </c>
      <c r="C330" s="28" t="str">
        <f t="shared" si="91"/>
        <v>Q2</v>
      </c>
      <c r="D330" s="28" t="str">
        <f t="shared" si="92"/>
        <v>2024</v>
      </c>
      <c r="E330" s="28" t="str">
        <f t="shared" si="93"/>
        <v>Jun</v>
      </c>
      <c r="F330" s="5">
        <v>45462</v>
      </c>
      <c r="G330" s="5">
        <f t="shared" si="81"/>
        <v>45463</v>
      </c>
      <c r="H330" s="5">
        <v>45463</v>
      </c>
      <c r="I330" s="5" t="str">
        <f t="shared" si="94"/>
        <v>Not achieved</v>
      </c>
      <c r="J330" s="14">
        <f t="shared" si="95"/>
        <v>1</v>
      </c>
      <c r="K330" s="14">
        <f t="shared" si="82"/>
        <v>1</v>
      </c>
      <c r="L330" s="3" t="s">
        <v>645</v>
      </c>
      <c r="M330" s="3" t="s">
        <v>649</v>
      </c>
      <c r="N330" s="3" t="s">
        <v>661</v>
      </c>
      <c r="O330" s="3" t="s">
        <v>704</v>
      </c>
      <c r="P330" s="3" t="s">
        <v>710</v>
      </c>
      <c r="Q330" s="3" t="s">
        <v>712</v>
      </c>
      <c r="R330" s="3" t="s">
        <v>730</v>
      </c>
      <c r="S330" s="3" t="s">
        <v>1037</v>
      </c>
      <c r="T330" s="21">
        <v>231.63</v>
      </c>
      <c r="U330" s="21" t="str">
        <f t="shared" si="96"/>
        <v>Low</v>
      </c>
      <c r="V330">
        <f t="shared" si="83"/>
        <v>537.39</v>
      </c>
      <c r="W330" s="7">
        <v>537.39</v>
      </c>
      <c r="X330" s="8">
        <v>0.08</v>
      </c>
      <c r="Y330" s="14">
        <v>12</v>
      </c>
      <c r="Z330" s="7">
        <f t="shared" si="84"/>
        <v>42.991199999999999</v>
      </c>
      <c r="AA330" s="7">
        <f t="shared" si="85"/>
        <v>5932.7856000000002</v>
      </c>
      <c r="AB330" s="7">
        <f t="shared" si="86"/>
        <v>5889.7943999999998</v>
      </c>
      <c r="AC330" s="7">
        <f t="shared" si="87"/>
        <v>2779.56</v>
      </c>
      <c r="AD330" s="7">
        <f t="shared" si="88"/>
        <v>3153.2256000000002</v>
      </c>
      <c r="AE330" s="7">
        <f t="shared" si="89"/>
        <v>3110.2343999999998</v>
      </c>
      <c r="AF330" s="26">
        <f t="shared" si="90"/>
        <v>2.1344333635539439</v>
      </c>
      <c r="AG330" s="8">
        <f>IF(DASHBOARD!$Q$7&gt;'staging data'!X330,'staging data'!X330,DASHBOARD!$Q$7)</f>
        <v>0.08</v>
      </c>
      <c r="AH330">
        <f>(100%+DASHBOARD!$Q$8)*'staging data'!T330</f>
        <v>266.37449999999995</v>
      </c>
      <c r="AI330">
        <f>(100%+DASHBOARD!$Q$9)*'staging data'!Y330</f>
        <v>14.399999999999999</v>
      </c>
    </row>
    <row r="331" spans="1:35" x14ac:dyDescent="0.3">
      <c r="A331" s="3" t="s">
        <v>316</v>
      </c>
      <c r="B331" s="28">
        <v>45446</v>
      </c>
      <c r="C331" s="28" t="str">
        <f t="shared" si="91"/>
        <v>Q2</v>
      </c>
      <c r="D331" s="28" t="str">
        <f t="shared" si="92"/>
        <v>2023</v>
      </c>
      <c r="E331" s="28" t="str">
        <f t="shared" si="93"/>
        <v>Jul</v>
      </c>
      <c r="F331" s="5">
        <v>45125</v>
      </c>
      <c r="G331" s="5">
        <f t="shared" si="81"/>
        <v>45129</v>
      </c>
      <c r="H331" s="5">
        <v>45129</v>
      </c>
      <c r="I331" s="5" t="str">
        <f t="shared" si="94"/>
        <v>Not achieved</v>
      </c>
      <c r="J331" s="14">
        <f t="shared" si="95"/>
        <v>4</v>
      </c>
      <c r="K331" s="14">
        <f t="shared" si="82"/>
        <v>4</v>
      </c>
      <c r="L331" s="3" t="s">
        <v>647</v>
      </c>
      <c r="M331" s="3" t="s">
        <v>654</v>
      </c>
      <c r="N331" s="3" t="s">
        <v>669</v>
      </c>
      <c r="O331" s="3" t="s">
        <v>703</v>
      </c>
      <c r="P331" s="3" t="s">
        <v>710</v>
      </c>
      <c r="Q331" s="3" t="s">
        <v>720</v>
      </c>
      <c r="R331" s="3" t="s">
        <v>728</v>
      </c>
      <c r="S331" s="3" t="s">
        <v>1035</v>
      </c>
      <c r="T331" s="21">
        <v>1269.55</v>
      </c>
      <c r="U331" s="21" t="str">
        <f t="shared" si="96"/>
        <v>High</v>
      </c>
      <c r="V331">
        <f t="shared" si="83"/>
        <v>2071.1</v>
      </c>
      <c r="W331" s="7">
        <v>2071.1</v>
      </c>
      <c r="X331" s="8">
        <v>0.129</v>
      </c>
      <c r="Y331" s="14">
        <v>22</v>
      </c>
      <c r="Z331" s="7">
        <f t="shared" si="84"/>
        <v>267.17189999999999</v>
      </c>
      <c r="AA331" s="7">
        <f t="shared" si="85"/>
        <v>39686.4182</v>
      </c>
      <c r="AB331" s="7">
        <f t="shared" si="86"/>
        <v>39419.246299999999</v>
      </c>
      <c r="AC331" s="7">
        <f t="shared" si="87"/>
        <v>27930.1</v>
      </c>
      <c r="AD331" s="7">
        <f t="shared" si="88"/>
        <v>11756.318200000002</v>
      </c>
      <c r="AE331" s="7">
        <f t="shared" si="89"/>
        <v>11489.1463</v>
      </c>
      <c r="AF331" s="26">
        <f t="shared" si="90"/>
        <v>1.4209193021149227</v>
      </c>
      <c r="AG331" s="8">
        <f>IF(DASHBOARD!$Q$7&gt;'staging data'!X331,'staging data'!X331,DASHBOARD!$Q$7)</f>
        <v>0.129</v>
      </c>
      <c r="AH331">
        <f>(100%+DASHBOARD!$Q$8)*'staging data'!T331</f>
        <v>1459.9824999999998</v>
      </c>
      <c r="AI331">
        <f>(100%+DASHBOARD!$Q$9)*'staging data'!Y331</f>
        <v>26.4</v>
      </c>
    </row>
    <row r="332" spans="1:35" x14ac:dyDescent="0.3">
      <c r="A332" s="3" t="s">
        <v>315</v>
      </c>
      <c r="B332" s="28">
        <v>45447</v>
      </c>
      <c r="C332" s="28" t="str">
        <f t="shared" si="91"/>
        <v>Q2</v>
      </c>
      <c r="D332" s="28" t="str">
        <f t="shared" si="92"/>
        <v>2023</v>
      </c>
      <c r="E332" s="28" t="str">
        <f t="shared" si="93"/>
        <v>Oct</v>
      </c>
      <c r="F332" s="5">
        <v>45204</v>
      </c>
      <c r="G332" s="5">
        <f t="shared" si="81"/>
        <v>45230</v>
      </c>
      <c r="H332" s="5">
        <v>45230</v>
      </c>
      <c r="I332" s="5" t="str">
        <f t="shared" si="94"/>
        <v>Achieved</v>
      </c>
      <c r="J332" s="14">
        <f t="shared" si="95"/>
        <v>26</v>
      </c>
      <c r="K332" s="14">
        <f t="shared" si="82"/>
        <v>26</v>
      </c>
      <c r="L332" s="3" t="s">
        <v>646</v>
      </c>
      <c r="M332" s="3" t="s">
        <v>658</v>
      </c>
      <c r="N332" s="3" t="s">
        <v>684</v>
      </c>
      <c r="O332" s="3" t="s">
        <v>703</v>
      </c>
      <c r="P332" s="3" t="s">
        <v>708</v>
      </c>
      <c r="Q332" s="3" t="s">
        <v>712</v>
      </c>
      <c r="R332" s="3" t="s">
        <v>727</v>
      </c>
      <c r="S332" s="3" t="s">
        <v>1034</v>
      </c>
      <c r="T332" s="21">
        <v>649.91</v>
      </c>
      <c r="U332" s="21" t="str">
        <f t="shared" si="96"/>
        <v>Medium</v>
      </c>
      <c r="V332">
        <f t="shared" si="83"/>
        <v>1360.12</v>
      </c>
      <c r="W332" s="7">
        <v>1360.12</v>
      </c>
      <c r="X332" s="8">
        <v>0.19400000000000001</v>
      </c>
      <c r="Y332" s="14">
        <v>9</v>
      </c>
      <c r="Z332" s="7">
        <f t="shared" si="84"/>
        <v>263.86327999999997</v>
      </c>
      <c r="AA332" s="7">
        <f t="shared" si="85"/>
        <v>9866.3104799999983</v>
      </c>
      <c r="AB332" s="7">
        <f t="shared" si="86"/>
        <v>9602.4471999999987</v>
      </c>
      <c r="AC332" s="7">
        <f t="shared" si="87"/>
        <v>5849.19</v>
      </c>
      <c r="AD332" s="7">
        <f t="shared" si="88"/>
        <v>4017.1204799999987</v>
      </c>
      <c r="AE332" s="7">
        <f t="shared" si="89"/>
        <v>3753.2571999999991</v>
      </c>
      <c r="AF332" s="26">
        <f t="shared" si="90"/>
        <v>1.6867823544798508</v>
      </c>
      <c r="AG332" s="8">
        <f>IF(DASHBOARD!$Q$7&gt;'staging data'!X332,'staging data'!X332,DASHBOARD!$Q$7)</f>
        <v>0.19400000000000001</v>
      </c>
      <c r="AH332">
        <f>(100%+DASHBOARD!$Q$8)*'staging data'!T332</f>
        <v>747.39649999999995</v>
      </c>
      <c r="AI332">
        <f>(100%+DASHBOARD!$Q$9)*'staging data'!Y332</f>
        <v>10.799999999999999</v>
      </c>
    </row>
    <row r="333" spans="1:35" x14ac:dyDescent="0.3">
      <c r="A333" s="3" t="s">
        <v>314</v>
      </c>
      <c r="B333" s="28">
        <v>45448</v>
      </c>
      <c r="C333" s="28" t="str">
        <f t="shared" si="91"/>
        <v>Q2</v>
      </c>
      <c r="D333" s="28" t="str">
        <f t="shared" si="92"/>
        <v>2025</v>
      </c>
      <c r="E333" s="28" t="str">
        <f t="shared" si="93"/>
        <v>May</v>
      </c>
      <c r="F333" s="5">
        <v>45787</v>
      </c>
      <c r="G333" s="5">
        <f t="shared" si="81"/>
        <v>45804</v>
      </c>
      <c r="H333" s="5">
        <v>45804</v>
      </c>
      <c r="I333" s="5" t="str">
        <f t="shared" si="94"/>
        <v>Achieved</v>
      </c>
      <c r="J333" s="14">
        <f t="shared" si="95"/>
        <v>17</v>
      </c>
      <c r="K333" s="14">
        <f t="shared" si="82"/>
        <v>17</v>
      </c>
      <c r="L333" s="3" t="s">
        <v>647</v>
      </c>
      <c r="M333" s="3" t="s">
        <v>652</v>
      </c>
      <c r="N333" s="3" t="s">
        <v>687</v>
      </c>
      <c r="O333" s="3" t="s">
        <v>701</v>
      </c>
      <c r="P333" s="3" t="s">
        <v>710</v>
      </c>
      <c r="Q333" s="3" t="s">
        <v>711</v>
      </c>
      <c r="R333" s="3" t="s">
        <v>726</v>
      </c>
      <c r="S333" s="3" t="s">
        <v>1033</v>
      </c>
      <c r="T333" s="21">
        <v>862.89</v>
      </c>
      <c r="U333" s="21" t="str">
        <f t="shared" si="96"/>
        <v>Medium</v>
      </c>
      <c r="V333">
        <f t="shared" si="83"/>
        <v>1426.03</v>
      </c>
      <c r="W333" s="7">
        <v>1426.03</v>
      </c>
      <c r="X333" s="8">
        <v>5.6000000000000001E-2</v>
      </c>
      <c r="Y333" s="14">
        <v>19</v>
      </c>
      <c r="Z333" s="7">
        <f t="shared" si="84"/>
        <v>79.857680000000002</v>
      </c>
      <c r="AA333" s="7">
        <f t="shared" si="85"/>
        <v>25577.274079999999</v>
      </c>
      <c r="AB333" s="7">
        <f t="shared" si="86"/>
        <v>25497.416399999998</v>
      </c>
      <c r="AC333" s="7">
        <f t="shared" si="87"/>
        <v>16394.91</v>
      </c>
      <c r="AD333" s="7">
        <f t="shared" si="88"/>
        <v>9182.3640799999994</v>
      </c>
      <c r="AE333" s="7">
        <f t="shared" si="89"/>
        <v>9102.5063999999984</v>
      </c>
      <c r="AF333" s="26">
        <f t="shared" si="90"/>
        <v>1.560074076649399</v>
      </c>
      <c r="AG333" s="8">
        <f>IF(DASHBOARD!$Q$7&gt;'staging data'!X333,'staging data'!X333,DASHBOARD!$Q$7)</f>
        <v>5.6000000000000001E-2</v>
      </c>
      <c r="AH333">
        <f>(100%+DASHBOARD!$Q$8)*'staging data'!T333</f>
        <v>992.32349999999985</v>
      </c>
      <c r="AI333">
        <f>(100%+DASHBOARD!$Q$9)*'staging data'!Y333</f>
        <v>22.8</v>
      </c>
    </row>
    <row r="334" spans="1:35" x14ac:dyDescent="0.3">
      <c r="A334" s="3" t="s">
        <v>313</v>
      </c>
      <c r="B334" s="28">
        <v>45449</v>
      </c>
      <c r="C334" s="28" t="str">
        <f t="shared" si="91"/>
        <v>Q2</v>
      </c>
      <c r="D334" s="28" t="str">
        <f t="shared" si="92"/>
        <v>2025</v>
      </c>
      <c r="E334" s="28" t="str">
        <f t="shared" si="93"/>
        <v>Jan</v>
      </c>
      <c r="F334" s="5">
        <v>45679</v>
      </c>
      <c r="G334" s="5">
        <f t="shared" si="81"/>
        <v>45679</v>
      </c>
      <c r="H334" s="5">
        <v>45679</v>
      </c>
      <c r="I334" s="5" t="str">
        <f t="shared" si="94"/>
        <v>Not achieved</v>
      </c>
      <c r="J334" s="14">
        <f t="shared" si="95"/>
        <v>0</v>
      </c>
      <c r="K334" s="14">
        <f t="shared" si="82"/>
        <v>0</v>
      </c>
      <c r="L334" s="3" t="s">
        <v>648</v>
      </c>
      <c r="M334" s="3" t="s">
        <v>656</v>
      </c>
      <c r="N334" s="3" t="s">
        <v>678</v>
      </c>
      <c r="O334" s="3" t="s">
        <v>704</v>
      </c>
      <c r="P334" s="3" t="s">
        <v>707</v>
      </c>
      <c r="Q334" s="3" t="s">
        <v>716</v>
      </c>
      <c r="R334" s="3" t="s">
        <v>732</v>
      </c>
      <c r="S334" s="3" t="s">
        <v>1032</v>
      </c>
      <c r="T334" s="21">
        <v>591.72</v>
      </c>
      <c r="U334" s="21" t="str">
        <f t="shared" si="96"/>
        <v>Medium</v>
      </c>
      <c r="V334">
        <f t="shared" si="83"/>
        <v>577.24</v>
      </c>
      <c r="W334" s="7">
        <v>577.24</v>
      </c>
      <c r="X334" s="8">
        <v>0</v>
      </c>
      <c r="Y334" s="14">
        <v>22</v>
      </c>
      <c r="Z334" s="7">
        <f t="shared" si="84"/>
        <v>0</v>
      </c>
      <c r="AA334" s="7">
        <f t="shared" si="85"/>
        <v>12699.28</v>
      </c>
      <c r="AB334" s="7">
        <f t="shared" si="86"/>
        <v>12699.28</v>
      </c>
      <c r="AC334" s="7">
        <f t="shared" si="87"/>
        <v>13017.84</v>
      </c>
      <c r="AD334" s="7">
        <f t="shared" si="88"/>
        <v>-318.55999999999949</v>
      </c>
      <c r="AE334" s="7">
        <f t="shared" si="89"/>
        <v>-318.55999999999949</v>
      </c>
      <c r="AF334" s="26">
        <f t="shared" si="90"/>
        <v>0.97552896640302855</v>
      </c>
      <c r="AG334" s="8">
        <f>IF(DASHBOARD!$Q$7&gt;'staging data'!X334,'staging data'!X334,DASHBOARD!$Q$7)</f>
        <v>0</v>
      </c>
      <c r="AH334">
        <f>(100%+DASHBOARD!$Q$8)*'staging data'!T334</f>
        <v>680.47799999999995</v>
      </c>
      <c r="AI334">
        <f>(100%+DASHBOARD!$Q$9)*'staging data'!Y334</f>
        <v>26.4</v>
      </c>
    </row>
    <row r="335" spans="1:35" x14ac:dyDescent="0.3">
      <c r="A335" s="3" t="s">
        <v>311</v>
      </c>
      <c r="B335" s="28">
        <v>45450</v>
      </c>
      <c r="C335" s="28" t="str">
        <f t="shared" si="91"/>
        <v>Q2</v>
      </c>
      <c r="D335" s="28" t="str">
        <f t="shared" si="92"/>
        <v>2023</v>
      </c>
      <c r="E335" s="28" t="str">
        <f t="shared" si="93"/>
        <v>Jun</v>
      </c>
      <c r="F335" s="5">
        <v>45097</v>
      </c>
      <c r="G335" s="5">
        <f t="shared" si="81"/>
        <v>45115</v>
      </c>
      <c r="H335" s="5">
        <v>45115</v>
      </c>
      <c r="I335" s="5" t="str">
        <f t="shared" si="94"/>
        <v>Achieved</v>
      </c>
      <c r="J335" s="14">
        <f t="shared" si="95"/>
        <v>18</v>
      </c>
      <c r="K335" s="14">
        <f t="shared" si="82"/>
        <v>18</v>
      </c>
      <c r="L335" s="3" t="s">
        <v>647</v>
      </c>
      <c r="M335" s="3" t="s">
        <v>659</v>
      </c>
      <c r="N335" s="3" t="s">
        <v>696</v>
      </c>
      <c r="O335" s="3" t="s">
        <v>702</v>
      </c>
      <c r="P335" s="3" t="s">
        <v>710</v>
      </c>
      <c r="Q335" s="3" t="s">
        <v>720</v>
      </c>
      <c r="R335" s="3" t="s">
        <v>731</v>
      </c>
      <c r="S335" s="3" t="s">
        <v>1030</v>
      </c>
      <c r="T335" s="21">
        <v>337</v>
      </c>
      <c r="U335" s="21" t="str">
        <f t="shared" si="96"/>
        <v>Low</v>
      </c>
      <c r="V335">
        <f t="shared" si="83"/>
        <v>511.03</v>
      </c>
      <c r="W335" s="7">
        <v>511.03</v>
      </c>
      <c r="X335" s="8">
        <v>0.108</v>
      </c>
      <c r="Y335" s="14">
        <v>7</v>
      </c>
      <c r="Z335" s="7">
        <f t="shared" si="84"/>
        <v>55.191239999999993</v>
      </c>
      <c r="AA335" s="7">
        <f t="shared" si="85"/>
        <v>3190.8713200000002</v>
      </c>
      <c r="AB335" s="7">
        <f t="shared" si="86"/>
        <v>3135.6800800000001</v>
      </c>
      <c r="AC335" s="7">
        <f t="shared" si="87"/>
        <v>2359</v>
      </c>
      <c r="AD335" s="7">
        <f t="shared" si="88"/>
        <v>831.8713200000002</v>
      </c>
      <c r="AE335" s="7">
        <f t="shared" si="89"/>
        <v>776.68008000000009</v>
      </c>
      <c r="AF335" s="26">
        <f t="shared" si="90"/>
        <v>1.3526372700296736</v>
      </c>
      <c r="AG335" s="8">
        <f>IF(DASHBOARD!$Q$7&gt;'staging data'!X335,'staging data'!X335,DASHBOARD!$Q$7)</f>
        <v>0.108</v>
      </c>
      <c r="AH335">
        <f>(100%+DASHBOARD!$Q$8)*'staging data'!T335</f>
        <v>387.54999999999995</v>
      </c>
      <c r="AI335">
        <f>(100%+DASHBOARD!$Q$9)*'staging data'!Y335</f>
        <v>8.4</v>
      </c>
    </row>
    <row r="336" spans="1:35" x14ac:dyDescent="0.3">
      <c r="A336" s="3" t="s">
        <v>312</v>
      </c>
      <c r="B336" s="28">
        <v>45450</v>
      </c>
      <c r="C336" s="28" t="str">
        <f t="shared" si="91"/>
        <v>Q2</v>
      </c>
      <c r="D336" s="28" t="str">
        <f t="shared" si="92"/>
        <v>2024</v>
      </c>
      <c r="E336" s="28" t="str">
        <f t="shared" si="93"/>
        <v>Mar</v>
      </c>
      <c r="F336" s="5">
        <v>45377</v>
      </c>
      <c r="G336" s="5">
        <f t="shared" si="81"/>
        <v>45387</v>
      </c>
      <c r="H336" s="5">
        <v>45387</v>
      </c>
      <c r="I336" s="5" t="str">
        <f t="shared" si="94"/>
        <v>Achieved</v>
      </c>
      <c r="J336" s="14">
        <f t="shared" si="95"/>
        <v>10</v>
      </c>
      <c r="K336" s="14">
        <f t="shared" si="82"/>
        <v>10</v>
      </c>
      <c r="L336" s="3" t="s">
        <v>647</v>
      </c>
      <c r="M336" s="3" t="s">
        <v>659</v>
      </c>
      <c r="N336" s="3" t="s">
        <v>696</v>
      </c>
      <c r="O336" s="3" t="s">
        <v>703</v>
      </c>
      <c r="P336" s="3" t="s">
        <v>710</v>
      </c>
      <c r="Q336" s="3" t="s">
        <v>712</v>
      </c>
      <c r="R336" s="3" t="s">
        <v>731</v>
      </c>
      <c r="S336" s="3" t="s">
        <v>1031</v>
      </c>
      <c r="T336" s="21">
        <v>5.66</v>
      </c>
      <c r="U336" s="21" t="str">
        <f t="shared" si="96"/>
        <v>Low</v>
      </c>
      <c r="V336">
        <f t="shared" si="83"/>
        <v>4.22</v>
      </c>
      <c r="W336" s="7">
        <v>4.22</v>
      </c>
      <c r="X336" s="8">
        <v>0.11899999999999999</v>
      </c>
      <c r="Y336" s="14">
        <v>18</v>
      </c>
      <c r="Z336" s="7">
        <f t="shared" si="84"/>
        <v>0.50217999999999996</v>
      </c>
      <c r="AA336" s="7">
        <f t="shared" si="85"/>
        <v>66.920760000000001</v>
      </c>
      <c r="AB336" s="7">
        <f t="shared" si="86"/>
        <v>66.418580000000006</v>
      </c>
      <c r="AC336" s="7">
        <f t="shared" si="87"/>
        <v>101.88</v>
      </c>
      <c r="AD336" s="7">
        <f t="shared" si="88"/>
        <v>-34.959239999999994</v>
      </c>
      <c r="AE336" s="7">
        <f t="shared" si="89"/>
        <v>-35.46141999999999</v>
      </c>
      <c r="AF336" s="26">
        <f t="shared" si="90"/>
        <v>0.65685865724381631</v>
      </c>
      <c r="AG336" s="8">
        <f>IF(DASHBOARD!$Q$7&gt;'staging data'!X336,'staging data'!X336,DASHBOARD!$Q$7)</f>
        <v>0.11899999999999999</v>
      </c>
      <c r="AH336">
        <f>(100%+DASHBOARD!$Q$8)*'staging data'!T336</f>
        <v>6.5089999999999995</v>
      </c>
      <c r="AI336">
        <f>(100%+DASHBOARD!$Q$9)*'staging data'!Y336</f>
        <v>21.599999999999998</v>
      </c>
    </row>
    <row r="337" spans="1:35" x14ac:dyDescent="0.3">
      <c r="A337" s="3" t="s">
        <v>310</v>
      </c>
      <c r="B337" s="28">
        <v>45451</v>
      </c>
      <c r="C337" s="28" t="str">
        <f t="shared" si="91"/>
        <v>Q2</v>
      </c>
      <c r="D337" s="28" t="str">
        <f t="shared" si="92"/>
        <v>2024</v>
      </c>
      <c r="E337" s="28" t="str">
        <f t="shared" si="93"/>
        <v>Mar</v>
      </c>
      <c r="F337" s="5">
        <v>45353</v>
      </c>
      <c r="G337" s="5">
        <f t="shared" si="81"/>
        <v>45367</v>
      </c>
      <c r="H337" s="5">
        <v>45367</v>
      </c>
      <c r="I337" s="5" t="str">
        <f t="shared" si="94"/>
        <v>Achieved</v>
      </c>
      <c r="J337" s="14">
        <f t="shared" si="95"/>
        <v>14</v>
      </c>
      <c r="K337" s="14">
        <f t="shared" si="82"/>
        <v>14</v>
      </c>
      <c r="L337" s="3" t="s">
        <v>647</v>
      </c>
      <c r="M337" s="3" t="s">
        <v>652</v>
      </c>
      <c r="N337" s="3" t="s">
        <v>687</v>
      </c>
      <c r="O337" s="3" t="s">
        <v>702</v>
      </c>
      <c r="P337" s="3" t="s">
        <v>710</v>
      </c>
      <c r="Q337" s="3" t="s">
        <v>718</v>
      </c>
      <c r="R337" s="3" t="s">
        <v>727</v>
      </c>
      <c r="S337" s="3" t="s">
        <v>1029</v>
      </c>
      <c r="T337" s="21">
        <v>248.24</v>
      </c>
      <c r="U337" s="21" t="str">
        <f t="shared" si="96"/>
        <v>Low</v>
      </c>
      <c r="V337">
        <f t="shared" si="83"/>
        <v>464.05</v>
      </c>
      <c r="W337" s="7">
        <v>464.05</v>
      </c>
      <c r="X337" s="8">
        <v>0.16900000000000001</v>
      </c>
      <c r="Y337" s="14">
        <v>11</v>
      </c>
      <c r="Z337" s="7">
        <f t="shared" si="84"/>
        <v>78.424450000000007</v>
      </c>
      <c r="AA337" s="7">
        <f t="shared" si="85"/>
        <v>4241.88105</v>
      </c>
      <c r="AB337" s="7">
        <f t="shared" si="86"/>
        <v>4163.4565999999995</v>
      </c>
      <c r="AC337" s="7">
        <f t="shared" si="87"/>
        <v>2730.6400000000003</v>
      </c>
      <c r="AD337" s="7">
        <f t="shared" si="88"/>
        <v>1511.2410499999996</v>
      </c>
      <c r="AE337" s="7">
        <f t="shared" si="89"/>
        <v>1432.8165999999992</v>
      </c>
      <c r="AF337" s="26">
        <f t="shared" si="90"/>
        <v>1.5534384063809215</v>
      </c>
      <c r="AG337" s="8">
        <f>IF(DASHBOARD!$Q$7&gt;'staging data'!X337,'staging data'!X337,DASHBOARD!$Q$7)</f>
        <v>0.16900000000000001</v>
      </c>
      <c r="AH337">
        <f>(100%+DASHBOARD!$Q$8)*'staging data'!T337</f>
        <v>285.476</v>
      </c>
      <c r="AI337">
        <f>(100%+DASHBOARD!$Q$9)*'staging data'!Y337</f>
        <v>13.2</v>
      </c>
    </row>
    <row r="338" spans="1:35" x14ac:dyDescent="0.3">
      <c r="A338" s="3" t="s">
        <v>309</v>
      </c>
      <c r="B338" s="28">
        <v>45452</v>
      </c>
      <c r="C338" s="28" t="str">
        <f t="shared" si="91"/>
        <v>Q2</v>
      </c>
      <c r="D338" s="28" t="str">
        <f t="shared" si="92"/>
        <v>2025</v>
      </c>
      <c r="E338" s="28" t="str">
        <f t="shared" si="93"/>
        <v>Jun</v>
      </c>
      <c r="F338" s="5">
        <v>45809</v>
      </c>
      <c r="G338" s="5">
        <f t="shared" si="81"/>
        <v>45835</v>
      </c>
      <c r="H338" s="5">
        <v>45835</v>
      </c>
      <c r="I338" s="5" t="str">
        <f t="shared" si="94"/>
        <v>Achieved</v>
      </c>
      <c r="J338" s="14">
        <f t="shared" si="95"/>
        <v>26</v>
      </c>
      <c r="K338" s="14">
        <f t="shared" si="82"/>
        <v>26</v>
      </c>
      <c r="L338" s="3" t="s">
        <v>648</v>
      </c>
      <c r="M338" s="3" t="s">
        <v>655</v>
      </c>
      <c r="N338" s="3" t="s">
        <v>683</v>
      </c>
      <c r="O338" s="3" t="s">
        <v>703</v>
      </c>
      <c r="P338" s="3" t="s">
        <v>709</v>
      </c>
      <c r="Q338" s="3" t="s">
        <v>717</v>
      </c>
      <c r="R338" s="3" t="s">
        <v>730</v>
      </c>
      <c r="S338" s="3" t="s">
        <v>1028</v>
      </c>
      <c r="T338" s="21">
        <v>1362.31</v>
      </c>
      <c r="U338" s="21" t="str">
        <f t="shared" si="96"/>
        <v>High</v>
      </c>
      <c r="V338">
        <f t="shared" si="83"/>
        <v>3294.57</v>
      </c>
      <c r="W338" s="7">
        <v>3294.57</v>
      </c>
      <c r="X338" s="8">
        <v>0.113</v>
      </c>
      <c r="Y338" s="14">
        <v>7</v>
      </c>
      <c r="Z338" s="7">
        <f t="shared" si="84"/>
        <v>372.28641000000005</v>
      </c>
      <c r="AA338" s="7">
        <f t="shared" si="85"/>
        <v>20455.985130000001</v>
      </c>
      <c r="AB338" s="7">
        <f t="shared" si="86"/>
        <v>20083.69872</v>
      </c>
      <c r="AC338" s="7">
        <f t="shared" si="87"/>
        <v>9536.17</v>
      </c>
      <c r="AD338" s="7">
        <f t="shared" si="88"/>
        <v>10919.815130000001</v>
      </c>
      <c r="AE338" s="7">
        <f t="shared" si="89"/>
        <v>10547.52872</v>
      </c>
      <c r="AF338" s="26">
        <f t="shared" si="90"/>
        <v>2.1450944278468191</v>
      </c>
      <c r="AG338" s="8">
        <f>IF(DASHBOARD!$Q$7&gt;'staging data'!X338,'staging data'!X338,DASHBOARD!$Q$7)</f>
        <v>0.113</v>
      </c>
      <c r="AH338">
        <f>(100%+DASHBOARD!$Q$8)*'staging data'!T338</f>
        <v>1566.6564999999998</v>
      </c>
      <c r="AI338">
        <f>(100%+DASHBOARD!$Q$9)*'staging data'!Y338</f>
        <v>8.4</v>
      </c>
    </row>
    <row r="339" spans="1:35" x14ac:dyDescent="0.3">
      <c r="A339" s="3" t="s">
        <v>308</v>
      </c>
      <c r="B339" s="28">
        <v>45453</v>
      </c>
      <c r="C339" s="28" t="str">
        <f t="shared" si="91"/>
        <v>Q2</v>
      </c>
      <c r="D339" s="28" t="str">
        <f t="shared" si="92"/>
        <v>2025</v>
      </c>
      <c r="E339" s="28" t="str">
        <f t="shared" si="93"/>
        <v>Apr</v>
      </c>
      <c r="F339" s="5">
        <v>45758</v>
      </c>
      <c r="G339" s="5">
        <f t="shared" si="81"/>
        <v>45781</v>
      </c>
      <c r="H339" s="5">
        <v>45781</v>
      </c>
      <c r="I339" s="5" t="str">
        <f t="shared" si="94"/>
        <v>Achieved</v>
      </c>
      <c r="J339" s="14">
        <f t="shared" si="95"/>
        <v>23</v>
      </c>
      <c r="K339" s="14">
        <f t="shared" si="82"/>
        <v>23</v>
      </c>
      <c r="L339" s="3" t="s">
        <v>646</v>
      </c>
      <c r="M339" s="3" t="s">
        <v>651</v>
      </c>
      <c r="N339" s="3" t="s">
        <v>665</v>
      </c>
      <c r="O339" s="3" t="s">
        <v>704</v>
      </c>
      <c r="P339" s="3" t="s">
        <v>707</v>
      </c>
      <c r="Q339" s="3" t="s">
        <v>723</v>
      </c>
      <c r="R339" s="3" t="s">
        <v>726</v>
      </c>
      <c r="S339" s="3" t="s">
        <v>1027</v>
      </c>
      <c r="T339" s="21">
        <v>786.2</v>
      </c>
      <c r="U339" s="21" t="str">
        <f t="shared" si="96"/>
        <v>Medium</v>
      </c>
      <c r="V339">
        <f t="shared" si="83"/>
        <v>1075.3</v>
      </c>
      <c r="W339" s="7">
        <v>1075.3</v>
      </c>
      <c r="X339" s="8">
        <v>0.08</v>
      </c>
      <c r="Y339" s="14">
        <v>9</v>
      </c>
      <c r="Z339" s="7">
        <f t="shared" si="84"/>
        <v>86.024000000000001</v>
      </c>
      <c r="AA339" s="7">
        <f t="shared" si="85"/>
        <v>8903.4839999999986</v>
      </c>
      <c r="AB339" s="7">
        <f t="shared" si="86"/>
        <v>8817.4599999999991</v>
      </c>
      <c r="AC339" s="7">
        <f t="shared" si="87"/>
        <v>7075.8</v>
      </c>
      <c r="AD339" s="7">
        <f t="shared" si="88"/>
        <v>1827.6839999999984</v>
      </c>
      <c r="AE339" s="7">
        <f t="shared" si="89"/>
        <v>1741.6599999999989</v>
      </c>
      <c r="AF339" s="26">
        <f t="shared" si="90"/>
        <v>1.2583006868481299</v>
      </c>
      <c r="AG339" s="8">
        <f>IF(DASHBOARD!$Q$7&gt;'staging data'!X339,'staging data'!X339,DASHBOARD!$Q$7)</f>
        <v>0.08</v>
      </c>
      <c r="AH339">
        <f>(100%+DASHBOARD!$Q$8)*'staging data'!T339</f>
        <v>904.13</v>
      </c>
      <c r="AI339">
        <f>(100%+DASHBOARD!$Q$9)*'staging data'!Y339</f>
        <v>10.799999999999999</v>
      </c>
    </row>
    <row r="340" spans="1:35" x14ac:dyDescent="0.3">
      <c r="A340" s="3" t="s">
        <v>307</v>
      </c>
      <c r="B340" s="28">
        <v>45454</v>
      </c>
      <c r="C340" s="28" t="str">
        <f t="shared" si="91"/>
        <v>Q2</v>
      </c>
      <c r="D340" s="28" t="str">
        <f t="shared" si="92"/>
        <v>2023</v>
      </c>
      <c r="E340" s="28" t="str">
        <f t="shared" si="93"/>
        <v>Aug</v>
      </c>
      <c r="F340" s="5">
        <v>45161</v>
      </c>
      <c r="G340" s="5">
        <f t="shared" si="81"/>
        <v>45191</v>
      </c>
      <c r="H340" s="5">
        <v>45191</v>
      </c>
      <c r="I340" s="5" t="str">
        <f t="shared" si="94"/>
        <v>Achieved</v>
      </c>
      <c r="J340" s="14">
        <f t="shared" si="95"/>
        <v>30</v>
      </c>
      <c r="K340" s="14">
        <f t="shared" si="82"/>
        <v>30</v>
      </c>
      <c r="L340" s="3" t="s">
        <v>648</v>
      </c>
      <c r="M340" s="3" t="s">
        <v>657</v>
      </c>
      <c r="N340" s="3" t="s">
        <v>682</v>
      </c>
      <c r="O340" s="3" t="s">
        <v>703</v>
      </c>
      <c r="P340" s="3" t="s">
        <v>709</v>
      </c>
      <c r="Q340" s="3" t="s">
        <v>718</v>
      </c>
      <c r="R340" s="3" t="s">
        <v>732</v>
      </c>
      <c r="S340" s="3" t="s">
        <v>1026</v>
      </c>
      <c r="T340" s="21">
        <v>209.81</v>
      </c>
      <c r="U340" s="21" t="str">
        <f t="shared" si="96"/>
        <v>Low</v>
      </c>
      <c r="V340">
        <f t="shared" si="83"/>
        <v>523</v>
      </c>
      <c r="W340" s="7">
        <v>523</v>
      </c>
      <c r="X340" s="8">
        <v>5.8999999999999997E-2</v>
      </c>
      <c r="Y340" s="14">
        <v>15</v>
      </c>
      <c r="Z340" s="7">
        <f t="shared" si="84"/>
        <v>30.856999999999999</v>
      </c>
      <c r="AA340" s="7">
        <f t="shared" si="85"/>
        <v>7382.1450000000004</v>
      </c>
      <c r="AB340" s="7">
        <f t="shared" si="86"/>
        <v>7351.2880000000005</v>
      </c>
      <c r="AC340" s="7">
        <f t="shared" si="87"/>
        <v>3147.15</v>
      </c>
      <c r="AD340" s="7">
        <f t="shared" si="88"/>
        <v>4234.9950000000008</v>
      </c>
      <c r="AE340" s="7">
        <f t="shared" si="89"/>
        <v>4204.1380000000008</v>
      </c>
      <c r="AF340" s="26">
        <f t="shared" si="90"/>
        <v>2.3456603593727658</v>
      </c>
      <c r="AG340" s="8">
        <f>IF(DASHBOARD!$Q$7&gt;'staging data'!X340,'staging data'!X340,DASHBOARD!$Q$7)</f>
        <v>5.8999999999999997E-2</v>
      </c>
      <c r="AH340">
        <f>(100%+DASHBOARD!$Q$8)*'staging data'!T340</f>
        <v>241.28149999999999</v>
      </c>
      <c r="AI340">
        <f>(100%+DASHBOARD!$Q$9)*'staging data'!Y340</f>
        <v>18</v>
      </c>
    </row>
    <row r="341" spans="1:35" x14ac:dyDescent="0.3">
      <c r="A341" s="3" t="s">
        <v>306</v>
      </c>
      <c r="B341" s="28">
        <v>45458</v>
      </c>
      <c r="C341" s="28" t="str">
        <f t="shared" si="91"/>
        <v>Q2</v>
      </c>
      <c r="D341" s="28" t="str">
        <f t="shared" si="92"/>
        <v>2023</v>
      </c>
      <c r="E341" s="28" t="str">
        <f t="shared" si="93"/>
        <v>Oct</v>
      </c>
      <c r="F341" s="5">
        <v>45220</v>
      </c>
      <c r="G341" s="5">
        <f t="shared" si="81"/>
        <v>45239</v>
      </c>
      <c r="H341" s="5">
        <v>45239</v>
      </c>
      <c r="I341" s="5" t="str">
        <f t="shared" si="94"/>
        <v>Achieved</v>
      </c>
      <c r="J341" s="14">
        <f t="shared" si="95"/>
        <v>19</v>
      </c>
      <c r="K341" s="14">
        <f t="shared" si="82"/>
        <v>19</v>
      </c>
      <c r="L341" s="3" t="s">
        <v>648</v>
      </c>
      <c r="M341" s="3" t="s">
        <v>657</v>
      </c>
      <c r="N341" s="3" t="s">
        <v>682</v>
      </c>
      <c r="O341" s="3" t="s">
        <v>702</v>
      </c>
      <c r="P341" s="3" t="s">
        <v>710</v>
      </c>
      <c r="Q341" s="3" t="s">
        <v>719</v>
      </c>
      <c r="R341" s="3" t="s">
        <v>732</v>
      </c>
      <c r="S341" s="3" t="s">
        <v>1025</v>
      </c>
      <c r="T341" s="21">
        <v>1142.48</v>
      </c>
      <c r="U341" s="21" t="str">
        <f t="shared" si="96"/>
        <v>High</v>
      </c>
      <c r="V341">
        <f t="shared" si="83"/>
        <v>2105.5300000000002</v>
      </c>
      <c r="W341" s="7">
        <v>2105.5300000000002</v>
      </c>
      <c r="X341" s="8">
        <v>0.20699999999999999</v>
      </c>
      <c r="Y341" s="14">
        <v>14</v>
      </c>
      <c r="Z341" s="7">
        <f t="shared" si="84"/>
        <v>435.84471000000002</v>
      </c>
      <c r="AA341" s="7">
        <f t="shared" si="85"/>
        <v>23375.594060000003</v>
      </c>
      <c r="AB341" s="7">
        <f t="shared" si="86"/>
        <v>22939.749350000002</v>
      </c>
      <c r="AC341" s="7">
        <f t="shared" si="87"/>
        <v>15994.720000000001</v>
      </c>
      <c r="AD341" s="7">
        <f t="shared" si="88"/>
        <v>7380.8740600000019</v>
      </c>
      <c r="AE341" s="7">
        <f t="shared" si="89"/>
        <v>6945.0293500000007</v>
      </c>
      <c r="AF341" s="26">
        <f t="shared" si="90"/>
        <v>1.4614569095301451</v>
      </c>
      <c r="AG341" s="8">
        <f>IF(DASHBOARD!$Q$7&gt;'staging data'!X341,'staging data'!X341,DASHBOARD!$Q$7)</f>
        <v>0.2</v>
      </c>
      <c r="AH341">
        <f>(100%+DASHBOARD!$Q$8)*'staging data'!T341</f>
        <v>1313.8519999999999</v>
      </c>
      <c r="AI341">
        <f>(100%+DASHBOARD!$Q$9)*'staging data'!Y341</f>
        <v>16.8</v>
      </c>
    </row>
    <row r="342" spans="1:35" x14ac:dyDescent="0.3">
      <c r="A342" s="3" t="s">
        <v>304</v>
      </c>
      <c r="B342" s="28">
        <v>45459</v>
      </c>
      <c r="C342" s="28" t="str">
        <f t="shared" si="91"/>
        <v>Q2</v>
      </c>
      <c r="D342" s="28" t="str">
        <f t="shared" si="92"/>
        <v>2025</v>
      </c>
      <c r="E342" s="28" t="str">
        <f t="shared" si="93"/>
        <v>Aug</v>
      </c>
      <c r="F342" s="5">
        <v>45897</v>
      </c>
      <c r="G342" s="5">
        <f t="shared" si="81"/>
        <v>45897</v>
      </c>
      <c r="H342" s="5">
        <v>45895</v>
      </c>
      <c r="I342" s="5" t="str">
        <f t="shared" si="94"/>
        <v>Not achieved</v>
      </c>
      <c r="J342" s="14">
        <f t="shared" si="95"/>
        <v>0</v>
      </c>
      <c r="K342" s="14">
        <f t="shared" si="82"/>
        <v>-2</v>
      </c>
      <c r="L342" s="3" t="s">
        <v>645</v>
      </c>
      <c r="M342" s="3" t="s">
        <v>650</v>
      </c>
      <c r="N342" s="3" t="s">
        <v>662</v>
      </c>
      <c r="O342" s="3" t="s">
        <v>704</v>
      </c>
      <c r="P342" s="3" t="s">
        <v>706</v>
      </c>
      <c r="Q342" s="3" t="s">
        <v>719</v>
      </c>
      <c r="R342" s="3" t="s">
        <v>732</v>
      </c>
      <c r="S342" s="3" t="s">
        <v>1023</v>
      </c>
      <c r="T342" s="21">
        <v>521.05999999999995</v>
      </c>
      <c r="U342" s="21" t="str">
        <f t="shared" si="96"/>
        <v>Medium</v>
      </c>
      <c r="V342">
        <f t="shared" si="83"/>
        <v>1240.31</v>
      </c>
      <c r="W342" s="7">
        <v>1240.31</v>
      </c>
      <c r="X342" s="8">
        <v>0.14599999999999999</v>
      </c>
      <c r="Y342" s="14">
        <v>18</v>
      </c>
      <c r="Z342" s="7">
        <f t="shared" si="84"/>
        <v>181.08525999999998</v>
      </c>
      <c r="AA342" s="7">
        <f t="shared" si="85"/>
        <v>19066.045319999997</v>
      </c>
      <c r="AB342" s="7">
        <f t="shared" si="86"/>
        <v>18884.960059999998</v>
      </c>
      <c r="AC342" s="7">
        <f t="shared" si="87"/>
        <v>9379.0799999999981</v>
      </c>
      <c r="AD342" s="7">
        <f t="shared" si="88"/>
        <v>9686.9653199999993</v>
      </c>
      <c r="AE342" s="7">
        <f t="shared" si="89"/>
        <v>9505.8800599999995</v>
      </c>
      <c r="AF342" s="26">
        <f t="shared" si="90"/>
        <v>2.0328268145702992</v>
      </c>
      <c r="AG342" s="8">
        <f>IF(DASHBOARD!$Q$7&gt;'staging data'!X342,'staging data'!X342,DASHBOARD!$Q$7)</f>
        <v>0.14599999999999999</v>
      </c>
      <c r="AH342">
        <f>(100%+DASHBOARD!$Q$8)*'staging data'!T342</f>
        <v>599.21899999999994</v>
      </c>
      <c r="AI342">
        <f>(100%+DASHBOARD!$Q$9)*'staging data'!Y342</f>
        <v>21.599999999999998</v>
      </c>
    </row>
    <row r="343" spans="1:35" x14ac:dyDescent="0.3">
      <c r="A343" s="3" t="s">
        <v>305</v>
      </c>
      <c r="B343" s="28">
        <v>45459</v>
      </c>
      <c r="C343" s="28" t="str">
        <f t="shared" si="91"/>
        <v>Q2</v>
      </c>
      <c r="D343" s="28" t="str">
        <f t="shared" si="92"/>
        <v>2025</v>
      </c>
      <c r="E343" s="28" t="str">
        <f t="shared" si="93"/>
        <v>Mar</v>
      </c>
      <c r="F343" s="5">
        <v>45746</v>
      </c>
      <c r="G343" s="5">
        <f t="shared" si="81"/>
        <v>45754</v>
      </c>
      <c r="H343" s="5">
        <v>45754</v>
      </c>
      <c r="I343" s="5" t="str">
        <f t="shared" si="94"/>
        <v>Achieved</v>
      </c>
      <c r="J343" s="14">
        <f t="shared" si="95"/>
        <v>8</v>
      </c>
      <c r="K343" s="14">
        <f t="shared" si="82"/>
        <v>8</v>
      </c>
      <c r="L343" s="3" t="s">
        <v>647</v>
      </c>
      <c r="M343" s="3" t="s">
        <v>654</v>
      </c>
      <c r="N343" s="3" t="s">
        <v>669</v>
      </c>
      <c r="O343" s="3" t="s">
        <v>702</v>
      </c>
      <c r="P343" s="3" t="s">
        <v>710</v>
      </c>
      <c r="Q343" s="3" t="s">
        <v>715</v>
      </c>
      <c r="R343" s="3" t="s">
        <v>727</v>
      </c>
      <c r="S343" s="3" t="s">
        <v>1024</v>
      </c>
      <c r="T343" s="21">
        <v>71.62</v>
      </c>
      <c r="U343" s="21" t="str">
        <f t="shared" si="96"/>
        <v>Low</v>
      </c>
      <c r="V343">
        <f t="shared" si="83"/>
        <v>118.37</v>
      </c>
      <c r="W343" s="7">
        <v>118.37</v>
      </c>
      <c r="X343" s="8">
        <v>0.156</v>
      </c>
      <c r="Y343" s="14">
        <v>11</v>
      </c>
      <c r="Z343" s="7">
        <f t="shared" si="84"/>
        <v>18.465720000000001</v>
      </c>
      <c r="AA343" s="7">
        <f t="shared" si="85"/>
        <v>1098.9470800000001</v>
      </c>
      <c r="AB343" s="7">
        <f t="shared" si="86"/>
        <v>1080.4813600000002</v>
      </c>
      <c r="AC343" s="7">
        <f t="shared" si="87"/>
        <v>787.82</v>
      </c>
      <c r="AD343" s="7">
        <f t="shared" si="88"/>
        <v>311.12708000000009</v>
      </c>
      <c r="AE343" s="7">
        <f t="shared" si="89"/>
        <v>292.66136000000017</v>
      </c>
      <c r="AF343" s="26">
        <f t="shared" si="90"/>
        <v>1.3949215302987994</v>
      </c>
      <c r="AG343" s="8">
        <f>IF(DASHBOARD!$Q$7&gt;'staging data'!X343,'staging data'!X343,DASHBOARD!$Q$7)</f>
        <v>0.156</v>
      </c>
      <c r="AH343">
        <f>(100%+DASHBOARD!$Q$8)*'staging data'!T343</f>
        <v>82.363</v>
      </c>
      <c r="AI343">
        <f>(100%+DASHBOARD!$Q$9)*'staging data'!Y343</f>
        <v>13.2</v>
      </c>
    </row>
    <row r="344" spans="1:35" x14ac:dyDescent="0.3">
      <c r="A344" s="3" t="s">
        <v>303</v>
      </c>
      <c r="B344" s="28">
        <v>45462</v>
      </c>
      <c r="C344" s="28" t="str">
        <f t="shared" si="91"/>
        <v>Q2</v>
      </c>
      <c r="D344" s="28" t="str">
        <f t="shared" si="92"/>
        <v>2023</v>
      </c>
      <c r="E344" s="28" t="str">
        <f t="shared" si="93"/>
        <v>Jul</v>
      </c>
      <c r="F344" s="5">
        <v>45125</v>
      </c>
      <c r="G344" s="5">
        <f t="shared" si="81"/>
        <v>45148</v>
      </c>
      <c r="H344" s="5">
        <v>45148</v>
      </c>
      <c r="I344" s="5" t="str">
        <f t="shared" si="94"/>
        <v>Achieved</v>
      </c>
      <c r="J344" s="14">
        <f t="shared" si="95"/>
        <v>23</v>
      </c>
      <c r="K344" s="14">
        <f t="shared" si="82"/>
        <v>23</v>
      </c>
      <c r="L344" s="3" t="s">
        <v>645</v>
      </c>
      <c r="M344" s="3" t="s">
        <v>660</v>
      </c>
      <c r="N344" s="3" t="s">
        <v>681</v>
      </c>
      <c r="O344" s="3" t="s">
        <v>704</v>
      </c>
      <c r="P344" s="3" t="s">
        <v>706</v>
      </c>
      <c r="Q344" s="3" t="s">
        <v>715</v>
      </c>
      <c r="R344" s="3" t="s">
        <v>726</v>
      </c>
      <c r="S344" s="3" t="s">
        <v>1022</v>
      </c>
      <c r="T344" s="21">
        <v>1271.56</v>
      </c>
      <c r="U344" s="21" t="str">
        <f t="shared" si="96"/>
        <v>Medium</v>
      </c>
      <c r="V344">
        <f t="shared" si="83"/>
        <v>995.47</v>
      </c>
      <c r="W344" s="7">
        <v>995.47</v>
      </c>
      <c r="X344" s="8">
        <v>0.192</v>
      </c>
      <c r="Y344" s="14">
        <v>13</v>
      </c>
      <c r="Z344" s="7">
        <f t="shared" si="84"/>
        <v>191.13024000000001</v>
      </c>
      <c r="AA344" s="7">
        <f t="shared" si="85"/>
        <v>10456.416880000001</v>
      </c>
      <c r="AB344" s="7">
        <f t="shared" si="86"/>
        <v>10265.28664</v>
      </c>
      <c r="AC344" s="7">
        <f t="shared" si="87"/>
        <v>16530.28</v>
      </c>
      <c r="AD344" s="7">
        <f t="shared" si="88"/>
        <v>-6073.8631199999982</v>
      </c>
      <c r="AE344" s="7">
        <f t="shared" si="89"/>
        <v>-6264.9933599999986</v>
      </c>
      <c r="AF344" s="26">
        <f t="shared" si="90"/>
        <v>0.63256138915977234</v>
      </c>
      <c r="AG344" s="8">
        <f>IF(DASHBOARD!$Q$7&gt;'staging data'!X344,'staging data'!X344,DASHBOARD!$Q$7)</f>
        <v>0.192</v>
      </c>
      <c r="AH344">
        <f>(100%+DASHBOARD!$Q$8)*'staging data'!T344</f>
        <v>1462.2939999999999</v>
      </c>
      <c r="AI344">
        <f>(100%+DASHBOARD!$Q$9)*'staging data'!Y344</f>
        <v>15.6</v>
      </c>
    </row>
    <row r="345" spans="1:35" x14ac:dyDescent="0.3">
      <c r="A345" s="3" t="s">
        <v>301</v>
      </c>
      <c r="B345" s="28">
        <v>45466</v>
      </c>
      <c r="C345" s="28" t="str">
        <f t="shared" si="91"/>
        <v>Q2</v>
      </c>
      <c r="D345" s="28" t="str">
        <f t="shared" si="92"/>
        <v>2024</v>
      </c>
      <c r="E345" s="28" t="str">
        <f t="shared" si="93"/>
        <v>Sept</v>
      </c>
      <c r="F345" s="5">
        <v>45542</v>
      </c>
      <c r="G345" s="5">
        <f t="shared" si="81"/>
        <v>45542</v>
      </c>
      <c r="H345" s="5">
        <v>45542</v>
      </c>
      <c r="I345" s="5" t="str">
        <f t="shared" si="94"/>
        <v>Not achieved</v>
      </c>
      <c r="J345" s="14">
        <f t="shared" si="95"/>
        <v>0</v>
      </c>
      <c r="K345" s="14">
        <f t="shared" si="82"/>
        <v>0</v>
      </c>
      <c r="L345" s="3" t="s">
        <v>646</v>
      </c>
      <c r="M345" s="3" t="s">
        <v>653</v>
      </c>
      <c r="N345" s="3" t="s">
        <v>690</v>
      </c>
      <c r="O345" s="3" t="s">
        <v>701</v>
      </c>
      <c r="P345" s="3" t="s">
        <v>709</v>
      </c>
      <c r="Q345" s="3" t="s">
        <v>716</v>
      </c>
      <c r="R345" s="3" t="s">
        <v>728</v>
      </c>
      <c r="S345" s="3" t="s">
        <v>1020</v>
      </c>
      <c r="T345" s="21">
        <v>1066.6500000000001</v>
      </c>
      <c r="U345" s="21" t="str">
        <f t="shared" si="96"/>
        <v>High</v>
      </c>
      <c r="V345">
        <f t="shared" si="83"/>
        <v>2569.77</v>
      </c>
      <c r="W345" s="7">
        <v>2569.77</v>
      </c>
      <c r="X345" s="8">
        <v>0.13400000000000001</v>
      </c>
      <c r="Y345" s="14">
        <v>9</v>
      </c>
      <c r="Z345" s="7">
        <f t="shared" si="84"/>
        <v>344.34917999999999</v>
      </c>
      <c r="AA345" s="7">
        <f t="shared" si="85"/>
        <v>20028.787380000002</v>
      </c>
      <c r="AB345" s="7">
        <f t="shared" si="86"/>
        <v>19684.438200000001</v>
      </c>
      <c r="AC345" s="7">
        <f t="shared" si="87"/>
        <v>9599.85</v>
      </c>
      <c r="AD345" s="7">
        <f t="shared" si="88"/>
        <v>10428.937380000001</v>
      </c>
      <c r="AE345" s="7">
        <f t="shared" si="89"/>
        <v>10084.5882</v>
      </c>
      <c r="AF345" s="26">
        <f t="shared" si="90"/>
        <v>2.0863646181971593</v>
      </c>
      <c r="AG345" s="8">
        <f>IF(DASHBOARD!$Q$7&gt;'staging data'!X345,'staging data'!X345,DASHBOARD!$Q$7)</f>
        <v>0.13400000000000001</v>
      </c>
      <c r="AH345">
        <f>(100%+DASHBOARD!$Q$8)*'staging data'!T345</f>
        <v>1226.6475</v>
      </c>
      <c r="AI345">
        <f>(100%+DASHBOARD!$Q$9)*'staging data'!Y345</f>
        <v>10.799999999999999</v>
      </c>
    </row>
    <row r="346" spans="1:35" x14ac:dyDescent="0.3">
      <c r="A346" s="3" t="s">
        <v>302</v>
      </c>
      <c r="B346" s="28">
        <v>45466</v>
      </c>
      <c r="C346" s="28" t="str">
        <f t="shared" si="91"/>
        <v>Q2</v>
      </c>
      <c r="D346" s="28" t="str">
        <f t="shared" si="92"/>
        <v>2024</v>
      </c>
      <c r="E346" s="28" t="str">
        <f t="shared" si="93"/>
        <v>Jan</v>
      </c>
      <c r="F346" s="5">
        <v>45319</v>
      </c>
      <c r="G346" s="5">
        <f t="shared" si="81"/>
        <v>45321</v>
      </c>
      <c r="H346" s="5">
        <v>45321</v>
      </c>
      <c r="I346" s="5" t="str">
        <f t="shared" si="94"/>
        <v>Not achieved</v>
      </c>
      <c r="J346" s="14">
        <f t="shared" si="95"/>
        <v>2</v>
      </c>
      <c r="K346" s="14">
        <f t="shared" si="82"/>
        <v>2</v>
      </c>
      <c r="L346" s="3" t="s">
        <v>645</v>
      </c>
      <c r="M346" s="3" t="s">
        <v>660</v>
      </c>
      <c r="N346" s="3" t="s">
        <v>694</v>
      </c>
      <c r="O346" s="3" t="s">
        <v>703</v>
      </c>
      <c r="P346" s="3" t="s">
        <v>710</v>
      </c>
      <c r="Q346" s="3" t="s">
        <v>720</v>
      </c>
      <c r="R346" s="3" t="s">
        <v>732</v>
      </c>
      <c r="S346" s="3" t="s">
        <v>1021</v>
      </c>
      <c r="T346" s="21">
        <v>798.45</v>
      </c>
      <c r="U346" s="21" t="str">
        <f t="shared" si="96"/>
        <v>Medium</v>
      </c>
      <c r="V346">
        <f t="shared" si="83"/>
        <v>1592.02</v>
      </c>
      <c r="W346" s="7">
        <v>1592.02</v>
      </c>
      <c r="X346" s="8">
        <v>6.6000000000000003E-2</v>
      </c>
      <c r="Y346" s="14">
        <v>18</v>
      </c>
      <c r="Z346" s="7">
        <f t="shared" si="84"/>
        <v>105.07332000000001</v>
      </c>
      <c r="AA346" s="7">
        <f t="shared" si="85"/>
        <v>26765.040239999998</v>
      </c>
      <c r="AB346" s="7">
        <f t="shared" si="86"/>
        <v>26659.966919999999</v>
      </c>
      <c r="AC346" s="7">
        <f t="shared" si="87"/>
        <v>14372.1</v>
      </c>
      <c r="AD346" s="7">
        <f t="shared" si="88"/>
        <v>12392.940239999998</v>
      </c>
      <c r="AE346" s="7">
        <f t="shared" si="89"/>
        <v>12287.866919999999</v>
      </c>
      <c r="AF346" s="26">
        <f t="shared" si="90"/>
        <v>1.8622915398584756</v>
      </c>
      <c r="AG346" s="8">
        <f>IF(DASHBOARD!$Q$7&gt;'staging data'!X346,'staging data'!X346,DASHBOARD!$Q$7)</f>
        <v>6.6000000000000003E-2</v>
      </c>
      <c r="AH346">
        <f>(100%+DASHBOARD!$Q$8)*'staging data'!T346</f>
        <v>918.21749999999997</v>
      </c>
      <c r="AI346">
        <f>(100%+DASHBOARD!$Q$9)*'staging data'!Y346</f>
        <v>21.599999999999998</v>
      </c>
    </row>
    <row r="347" spans="1:35" x14ac:dyDescent="0.3">
      <c r="A347" s="3" t="s">
        <v>300</v>
      </c>
      <c r="B347" s="28">
        <v>45468</v>
      </c>
      <c r="C347" s="28" t="str">
        <f t="shared" si="91"/>
        <v>Q2</v>
      </c>
      <c r="D347" s="28" t="str">
        <f t="shared" si="92"/>
        <v>2025</v>
      </c>
      <c r="E347" s="28" t="str">
        <f t="shared" si="93"/>
        <v>Apr</v>
      </c>
      <c r="F347" s="5">
        <v>45751</v>
      </c>
      <c r="G347" s="5">
        <f t="shared" si="81"/>
        <v>45760</v>
      </c>
      <c r="H347" s="5">
        <v>45760</v>
      </c>
      <c r="I347" s="5" t="str">
        <f t="shared" si="94"/>
        <v>Achieved</v>
      </c>
      <c r="J347" s="14">
        <f t="shared" si="95"/>
        <v>9</v>
      </c>
      <c r="K347" s="14">
        <f t="shared" si="82"/>
        <v>9</v>
      </c>
      <c r="L347" s="3" t="s">
        <v>648</v>
      </c>
      <c r="M347" s="3" t="s">
        <v>655</v>
      </c>
      <c r="N347" s="3" t="s">
        <v>683</v>
      </c>
      <c r="O347" s="3" t="s">
        <v>703</v>
      </c>
      <c r="P347" s="3" t="s">
        <v>708</v>
      </c>
      <c r="Q347" s="3" t="s">
        <v>720</v>
      </c>
      <c r="R347" s="3" t="s">
        <v>729</v>
      </c>
      <c r="S347" s="3" t="s">
        <v>1019</v>
      </c>
      <c r="T347" s="21">
        <v>7.02</v>
      </c>
      <c r="U347" s="21" t="str">
        <f t="shared" si="96"/>
        <v>Low</v>
      </c>
      <c r="V347">
        <f t="shared" si="83"/>
        <v>6.28</v>
      </c>
      <c r="W347" s="7">
        <v>6.28</v>
      </c>
      <c r="X347" s="8">
        <v>0.13400000000000001</v>
      </c>
      <c r="Y347" s="14">
        <v>14</v>
      </c>
      <c r="Z347" s="7">
        <f t="shared" si="84"/>
        <v>0.84152000000000005</v>
      </c>
      <c r="AA347" s="7">
        <f t="shared" si="85"/>
        <v>76.138720000000006</v>
      </c>
      <c r="AB347" s="7">
        <f t="shared" si="86"/>
        <v>75.297200000000004</v>
      </c>
      <c r="AC347" s="7">
        <f t="shared" si="87"/>
        <v>98.28</v>
      </c>
      <c r="AD347" s="7">
        <f t="shared" si="88"/>
        <v>-22.141279999999995</v>
      </c>
      <c r="AE347" s="7">
        <f t="shared" si="89"/>
        <v>-22.982799999999997</v>
      </c>
      <c r="AF347" s="26">
        <f t="shared" si="90"/>
        <v>0.77471225071225081</v>
      </c>
      <c r="AG347" s="8">
        <f>IF(DASHBOARD!$Q$7&gt;'staging data'!X347,'staging data'!X347,DASHBOARD!$Q$7)</f>
        <v>0.13400000000000001</v>
      </c>
      <c r="AH347">
        <f>(100%+DASHBOARD!$Q$8)*'staging data'!T347</f>
        <v>8.0729999999999986</v>
      </c>
      <c r="AI347">
        <f>(100%+DASHBOARD!$Q$9)*'staging data'!Y347</f>
        <v>16.8</v>
      </c>
    </row>
    <row r="348" spans="1:35" x14ac:dyDescent="0.3">
      <c r="A348" s="3" t="s">
        <v>299</v>
      </c>
      <c r="B348" s="28">
        <v>45472</v>
      </c>
      <c r="C348" s="28" t="str">
        <f t="shared" si="91"/>
        <v>Q2</v>
      </c>
      <c r="D348" s="28" t="str">
        <f t="shared" si="92"/>
        <v>2023</v>
      </c>
      <c r="E348" s="28" t="str">
        <f t="shared" si="93"/>
        <v>Jun</v>
      </c>
      <c r="F348" s="5">
        <v>45101</v>
      </c>
      <c r="G348" s="5">
        <f t="shared" si="81"/>
        <v>45128</v>
      </c>
      <c r="H348" s="5">
        <v>45128</v>
      </c>
      <c r="I348" s="5" t="str">
        <f t="shared" si="94"/>
        <v>Achieved</v>
      </c>
      <c r="J348" s="14">
        <f t="shared" si="95"/>
        <v>27</v>
      </c>
      <c r="K348" s="14">
        <f t="shared" si="82"/>
        <v>27</v>
      </c>
      <c r="L348" s="3" t="s">
        <v>646</v>
      </c>
      <c r="M348" s="3" t="s">
        <v>651</v>
      </c>
      <c r="N348" s="3" t="s">
        <v>693</v>
      </c>
      <c r="O348" s="3" t="s">
        <v>703</v>
      </c>
      <c r="P348" s="3" t="s">
        <v>708</v>
      </c>
      <c r="Q348" s="3" t="s">
        <v>712</v>
      </c>
      <c r="R348" s="3" t="s">
        <v>729</v>
      </c>
      <c r="S348" s="3" t="s">
        <v>1018</v>
      </c>
      <c r="T348" s="21">
        <v>554.76</v>
      </c>
      <c r="U348" s="21" t="str">
        <f t="shared" si="96"/>
        <v>Medium</v>
      </c>
      <c r="V348">
        <f t="shared" si="83"/>
        <v>728.69</v>
      </c>
      <c r="W348" s="7">
        <v>728.69</v>
      </c>
      <c r="X348" s="8">
        <v>0.22</v>
      </c>
      <c r="Y348" s="14">
        <v>7</v>
      </c>
      <c r="Z348" s="7">
        <f t="shared" si="84"/>
        <v>160.31180000000001</v>
      </c>
      <c r="AA348" s="7">
        <f t="shared" si="85"/>
        <v>3978.6474000000003</v>
      </c>
      <c r="AB348" s="7">
        <f t="shared" si="86"/>
        <v>3818.3356000000003</v>
      </c>
      <c r="AC348" s="7">
        <f t="shared" si="87"/>
        <v>3883.3199999999997</v>
      </c>
      <c r="AD348" s="7">
        <f t="shared" si="88"/>
        <v>95.32740000000058</v>
      </c>
      <c r="AE348" s="7">
        <f t="shared" si="89"/>
        <v>-64.984399999999368</v>
      </c>
      <c r="AF348" s="26">
        <f t="shared" si="90"/>
        <v>1.024547912610859</v>
      </c>
      <c r="AG348" s="8">
        <f>IF(DASHBOARD!$Q$7&gt;'staging data'!X348,'staging data'!X348,DASHBOARD!$Q$7)</f>
        <v>0.2</v>
      </c>
      <c r="AH348">
        <f>(100%+DASHBOARD!$Q$8)*'staging data'!T348</f>
        <v>637.97399999999993</v>
      </c>
      <c r="AI348">
        <f>(100%+DASHBOARD!$Q$9)*'staging data'!Y348</f>
        <v>8.4</v>
      </c>
    </row>
    <row r="349" spans="1:35" x14ac:dyDescent="0.3">
      <c r="A349" s="3" t="s">
        <v>296</v>
      </c>
      <c r="B349" s="28">
        <v>45473</v>
      </c>
      <c r="C349" s="28" t="str">
        <f t="shared" si="91"/>
        <v>Q2</v>
      </c>
      <c r="D349" s="28" t="str">
        <f t="shared" si="92"/>
        <v>2023</v>
      </c>
      <c r="E349" s="28" t="str">
        <f t="shared" si="93"/>
        <v>Aug</v>
      </c>
      <c r="F349" s="5">
        <v>45153</v>
      </c>
      <c r="G349" s="5">
        <f t="shared" si="81"/>
        <v>45163</v>
      </c>
      <c r="H349" s="5">
        <v>45163</v>
      </c>
      <c r="I349" s="5" t="str">
        <f t="shared" si="94"/>
        <v>Achieved</v>
      </c>
      <c r="J349" s="14">
        <f t="shared" si="95"/>
        <v>10</v>
      </c>
      <c r="K349" s="14">
        <f t="shared" si="82"/>
        <v>10</v>
      </c>
      <c r="L349" s="3" t="s">
        <v>645</v>
      </c>
      <c r="M349" s="3" t="s">
        <v>649</v>
      </c>
      <c r="N349" s="3" t="s">
        <v>663</v>
      </c>
      <c r="O349" s="3" t="s">
        <v>704</v>
      </c>
      <c r="P349" s="3" t="s">
        <v>706</v>
      </c>
      <c r="Q349" s="3" t="s">
        <v>724</v>
      </c>
      <c r="R349" s="3" t="s">
        <v>729</v>
      </c>
      <c r="S349" s="3" t="s">
        <v>1015</v>
      </c>
      <c r="T349" s="21">
        <v>91.85</v>
      </c>
      <c r="U349" s="21" t="str">
        <f t="shared" si="96"/>
        <v>Low</v>
      </c>
      <c r="V349">
        <f t="shared" si="83"/>
        <v>111.29</v>
      </c>
      <c r="W349" s="7">
        <v>111.29</v>
      </c>
      <c r="X349" s="8">
        <v>0</v>
      </c>
      <c r="Y349" s="14">
        <v>6</v>
      </c>
      <c r="Z349" s="7">
        <f t="shared" si="84"/>
        <v>0</v>
      </c>
      <c r="AA349" s="7">
        <f t="shared" si="85"/>
        <v>667.74</v>
      </c>
      <c r="AB349" s="7">
        <f t="shared" si="86"/>
        <v>667.74</v>
      </c>
      <c r="AC349" s="7">
        <f t="shared" si="87"/>
        <v>551.09999999999991</v>
      </c>
      <c r="AD349" s="7">
        <f t="shared" si="88"/>
        <v>116.6400000000001</v>
      </c>
      <c r="AE349" s="7">
        <f t="shared" si="89"/>
        <v>116.6400000000001</v>
      </c>
      <c r="AF349" s="26">
        <f t="shared" si="90"/>
        <v>1.2116494284158956</v>
      </c>
      <c r="AG349" s="8">
        <f>IF(DASHBOARD!$Q$7&gt;'staging data'!X349,'staging data'!X349,DASHBOARD!$Q$7)</f>
        <v>0</v>
      </c>
      <c r="AH349">
        <f>(100%+DASHBOARD!$Q$8)*'staging data'!T349</f>
        <v>105.62749999999998</v>
      </c>
      <c r="AI349">
        <f>(100%+DASHBOARD!$Q$9)*'staging data'!Y349</f>
        <v>7.1999999999999993</v>
      </c>
    </row>
    <row r="350" spans="1:35" x14ac:dyDescent="0.3">
      <c r="A350" s="3" t="s">
        <v>297</v>
      </c>
      <c r="B350" s="28">
        <v>45473</v>
      </c>
      <c r="C350" s="28" t="str">
        <f t="shared" si="91"/>
        <v>Q2</v>
      </c>
      <c r="D350" s="28" t="str">
        <f t="shared" si="92"/>
        <v>2025</v>
      </c>
      <c r="E350" s="28" t="str">
        <f t="shared" si="93"/>
        <v>May</v>
      </c>
      <c r="F350" s="5">
        <v>45794</v>
      </c>
      <c r="G350" s="5">
        <f t="shared" si="81"/>
        <v>45805</v>
      </c>
      <c r="H350" s="5">
        <v>45805</v>
      </c>
      <c r="I350" s="5" t="str">
        <f t="shared" si="94"/>
        <v>Achieved</v>
      </c>
      <c r="J350" s="14">
        <f t="shared" si="95"/>
        <v>11</v>
      </c>
      <c r="K350" s="14">
        <f t="shared" si="82"/>
        <v>11</v>
      </c>
      <c r="L350" s="3" t="s">
        <v>646</v>
      </c>
      <c r="M350" s="3" t="s">
        <v>653</v>
      </c>
      <c r="N350" s="3" t="s">
        <v>667</v>
      </c>
      <c r="O350" s="3" t="s">
        <v>700</v>
      </c>
      <c r="P350" s="3" t="s">
        <v>709</v>
      </c>
      <c r="Q350" s="3" t="s">
        <v>716</v>
      </c>
      <c r="R350" s="3" t="s">
        <v>730</v>
      </c>
      <c r="S350" s="3" t="s">
        <v>1016</v>
      </c>
      <c r="T350" s="21">
        <v>623.4</v>
      </c>
      <c r="U350" s="21" t="str">
        <f t="shared" si="96"/>
        <v>Medium</v>
      </c>
      <c r="V350">
        <f t="shared" si="83"/>
        <v>1100.0899999999999</v>
      </c>
      <c r="W350" s="7">
        <v>1100.0899999999999</v>
      </c>
      <c r="X350" s="8">
        <v>0.114</v>
      </c>
      <c r="Y350" s="14">
        <v>12</v>
      </c>
      <c r="Z350" s="7">
        <f t="shared" si="84"/>
        <v>125.41025999999999</v>
      </c>
      <c r="AA350" s="7">
        <f t="shared" si="85"/>
        <v>11696.156879999999</v>
      </c>
      <c r="AB350" s="7">
        <f t="shared" si="86"/>
        <v>11570.746619999998</v>
      </c>
      <c r="AC350" s="7">
        <f t="shared" si="87"/>
        <v>7480.7999999999993</v>
      </c>
      <c r="AD350" s="7">
        <f t="shared" si="88"/>
        <v>4215.3568799999994</v>
      </c>
      <c r="AE350" s="7">
        <f t="shared" si="89"/>
        <v>4089.9466199999988</v>
      </c>
      <c r="AF350" s="26">
        <f t="shared" si="90"/>
        <v>1.5634901187038819</v>
      </c>
      <c r="AG350" s="8">
        <f>IF(DASHBOARD!$Q$7&gt;'staging data'!X350,'staging data'!X350,DASHBOARD!$Q$7)</f>
        <v>0.114</v>
      </c>
      <c r="AH350">
        <f>(100%+DASHBOARD!$Q$8)*'staging data'!T350</f>
        <v>716.91</v>
      </c>
      <c r="AI350">
        <f>(100%+DASHBOARD!$Q$9)*'staging data'!Y350</f>
        <v>14.399999999999999</v>
      </c>
    </row>
    <row r="351" spans="1:35" x14ac:dyDescent="0.3">
      <c r="A351" s="3" t="s">
        <v>298</v>
      </c>
      <c r="B351" s="28">
        <v>45473</v>
      </c>
      <c r="C351" s="28" t="str">
        <f t="shared" si="91"/>
        <v>Q2</v>
      </c>
      <c r="D351" s="28" t="str">
        <f t="shared" si="92"/>
        <v>2024</v>
      </c>
      <c r="E351" s="28" t="str">
        <f t="shared" si="93"/>
        <v>Jan</v>
      </c>
      <c r="F351" s="5">
        <v>45304</v>
      </c>
      <c r="G351" s="5">
        <f t="shared" si="81"/>
        <v>45327</v>
      </c>
      <c r="H351" s="5">
        <v>45327</v>
      </c>
      <c r="I351" s="5" t="str">
        <f t="shared" si="94"/>
        <v>Achieved</v>
      </c>
      <c r="J351" s="14">
        <f t="shared" si="95"/>
        <v>23</v>
      </c>
      <c r="K351" s="14">
        <f t="shared" si="82"/>
        <v>23</v>
      </c>
      <c r="L351" s="3" t="s">
        <v>648</v>
      </c>
      <c r="M351" s="3" t="s">
        <v>655</v>
      </c>
      <c r="N351" s="3" t="s">
        <v>697</v>
      </c>
      <c r="O351" s="3" t="s">
        <v>701</v>
      </c>
      <c r="P351" s="3" t="s">
        <v>710</v>
      </c>
      <c r="Q351" s="3" t="s">
        <v>716</v>
      </c>
      <c r="R351" s="3" t="s">
        <v>730</v>
      </c>
      <c r="S351" s="3" t="s">
        <v>1017</v>
      </c>
      <c r="T351" s="21">
        <v>1017.93</v>
      </c>
      <c r="U351" s="21" t="str">
        <f t="shared" si="96"/>
        <v>Medium</v>
      </c>
      <c r="V351">
        <f t="shared" si="83"/>
        <v>1529.14</v>
      </c>
      <c r="W351" s="7">
        <v>1529.14</v>
      </c>
      <c r="X351" s="8">
        <v>0.155</v>
      </c>
      <c r="Y351" s="14">
        <v>12</v>
      </c>
      <c r="Z351" s="7">
        <f t="shared" si="84"/>
        <v>237.01670000000001</v>
      </c>
      <c r="AA351" s="7">
        <f t="shared" si="85"/>
        <v>15505.479600000001</v>
      </c>
      <c r="AB351" s="7">
        <f t="shared" si="86"/>
        <v>15268.4629</v>
      </c>
      <c r="AC351" s="7">
        <f t="shared" si="87"/>
        <v>12215.16</v>
      </c>
      <c r="AD351" s="7">
        <f t="shared" si="88"/>
        <v>3290.3196000000007</v>
      </c>
      <c r="AE351" s="7">
        <f t="shared" si="89"/>
        <v>3053.3029000000006</v>
      </c>
      <c r="AF351" s="26">
        <f t="shared" si="90"/>
        <v>1.2693636104643737</v>
      </c>
      <c r="AG351" s="8">
        <f>IF(DASHBOARD!$Q$7&gt;'staging data'!X351,'staging data'!X351,DASHBOARD!$Q$7)</f>
        <v>0.155</v>
      </c>
      <c r="AH351">
        <f>(100%+DASHBOARD!$Q$8)*'staging data'!T351</f>
        <v>1170.6194999999998</v>
      </c>
      <c r="AI351">
        <f>(100%+DASHBOARD!$Q$9)*'staging data'!Y351</f>
        <v>14.399999999999999</v>
      </c>
    </row>
    <row r="352" spans="1:35" x14ac:dyDescent="0.3">
      <c r="A352" s="3" t="s">
        <v>294</v>
      </c>
      <c r="B352" s="28">
        <v>45482</v>
      </c>
      <c r="C352" s="28" t="str">
        <f t="shared" si="91"/>
        <v>Q3</v>
      </c>
      <c r="D352" s="28" t="str">
        <f t="shared" si="92"/>
        <v>2023</v>
      </c>
      <c r="E352" s="28" t="str">
        <f t="shared" si="93"/>
        <v>Jun</v>
      </c>
      <c r="F352" s="5">
        <v>45092</v>
      </c>
      <c r="G352" s="5">
        <f t="shared" si="81"/>
        <v>45100</v>
      </c>
      <c r="H352" s="5">
        <v>45100</v>
      </c>
      <c r="I352" s="5" t="str">
        <f t="shared" si="94"/>
        <v>Achieved</v>
      </c>
      <c r="J352" s="14">
        <f t="shared" si="95"/>
        <v>8</v>
      </c>
      <c r="K352" s="14">
        <f t="shared" si="82"/>
        <v>8</v>
      </c>
      <c r="L352" s="3" t="s">
        <v>647</v>
      </c>
      <c r="M352" s="3" t="s">
        <v>659</v>
      </c>
      <c r="N352" s="3" t="s">
        <v>685</v>
      </c>
      <c r="O352" s="3" t="s">
        <v>703</v>
      </c>
      <c r="P352" s="3" t="s">
        <v>709</v>
      </c>
      <c r="Q352" s="3" t="s">
        <v>718</v>
      </c>
      <c r="R352" s="3" t="s">
        <v>731</v>
      </c>
      <c r="S352" s="3" t="s">
        <v>1013</v>
      </c>
      <c r="T352" s="21">
        <v>1097.0899999999999</v>
      </c>
      <c r="U352" s="21" t="str">
        <f t="shared" si="96"/>
        <v>High</v>
      </c>
      <c r="V352">
        <f t="shared" si="83"/>
        <v>2182.31</v>
      </c>
      <c r="W352" s="7">
        <v>2182.31</v>
      </c>
      <c r="X352" s="8">
        <v>0.112</v>
      </c>
      <c r="Y352" s="14">
        <v>9</v>
      </c>
      <c r="Z352" s="7">
        <f t="shared" si="84"/>
        <v>244.41872000000001</v>
      </c>
      <c r="AA352" s="7">
        <f t="shared" si="85"/>
        <v>17441.021520000002</v>
      </c>
      <c r="AB352" s="7">
        <f t="shared" si="86"/>
        <v>17196.602800000001</v>
      </c>
      <c r="AC352" s="7">
        <f t="shared" si="87"/>
        <v>9873.81</v>
      </c>
      <c r="AD352" s="7">
        <f t="shared" si="88"/>
        <v>7567.2115200000026</v>
      </c>
      <c r="AE352" s="7">
        <f t="shared" si="89"/>
        <v>7322.7928000000011</v>
      </c>
      <c r="AF352" s="26">
        <f t="shared" si="90"/>
        <v>1.766392255876911</v>
      </c>
      <c r="AG352" s="8">
        <f>IF(DASHBOARD!$Q$7&gt;'staging data'!X352,'staging data'!X352,DASHBOARD!$Q$7)</f>
        <v>0.112</v>
      </c>
      <c r="AH352">
        <f>(100%+DASHBOARD!$Q$8)*'staging data'!T352</f>
        <v>1261.6534999999999</v>
      </c>
      <c r="AI352">
        <f>(100%+DASHBOARD!$Q$9)*'staging data'!Y352</f>
        <v>10.799999999999999</v>
      </c>
    </row>
    <row r="353" spans="1:35" x14ac:dyDescent="0.3">
      <c r="A353" s="3" t="s">
        <v>295</v>
      </c>
      <c r="B353" s="28">
        <v>45482</v>
      </c>
      <c r="C353" s="28" t="str">
        <f t="shared" si="91"/>
        <v>Q3</v>
      </c>
      <c r="D353" s="28" t="str">
        <f t="shared" si="92"/>
        <v>2025</v>
      </c>
      <c r="E353" s="28" t="str">
        <f t="shared" si="93"/>
        <v>Mar</v>
      </c>
      <c r="F353" s="5">
        <v>45730</v>
      </c>
      <c r="G353" s="5">
        <f t="shared" si="81"/>
        <v>45745</v>
      </c>
      <c r="H353" s="5">
        <v>45745</v>
      </c>
      <c r="I353" s="5" t="str">
        <f t="shared" si="94"/>
        <v>Achieved</v>
      </c>
      <c r="J353" s="14">
        <f t="shared" si="95"/>
        <v>15</v>
      </c>
      <c r="K353" s="14">
        <f t="shared" si="82"/>
        <v>15</v>
      </c>
      <c r="L353" s="3" t="s">
        <v>646</v>
      </c>
      <c r="M353" s="3" t="s">
        <v>651</v>
      </c>
      <c r="N353" s="3" t="s">
        <v>688</v>
      </c>
      <c r="O353" s="3" t="s">
        <v>702</v>
      </c>
      <c r="P353" s="3" t="s">
        <v>710</v>
      </c>
      <c r="Q353" s="3" t="s">
        <v>721</v>
      </c>
      <c r="R353" s="3" t="s">
        <v>728</v>
      </c>
      <c r="S353" s="3" t="s">
        <v>1014</v>
      </c>
      <c r="T353" s="21">
        <v>1106.96</v>
      </c>
      <c r="U353" s="21" t="str">
        <f t="shared" si="96"/>
        <v>High</v>
      </c>
      <c r="V353">
        <f t="shared" si="83"/>
        <v>2726.62</v>
      </c>
      <c r="W353" s="7">
        <v>2726.62</v>
      </c>
      <c r="X353" s="8">
        <v>0.317</v>
      </c>
      <c r="Y353" s="14">
        <v>7</v>
      </c>
      <c r="Z353" s="7">
        <f t="shared" si="84"/>
        <v>864.33853999999997</v>
      </c>
      <c r="AA353" s="7">
        <f t="shared" si="85"/>
        <v>13035.970220000001</v>
      </c>
      <c r="AB353" s="7">
        <f t="shared" si="86"/>
        <v>12171.63168</v>
      </c>
      <c r="AC353" s="7">
        <f t="shared" si="87"/>
        <v>7748.72</v>
      </c>
      <c r="AD353" s="7">
        <f t="shared" si="88"/>
        <v>5287.2502200000008</v>
      </c>
      <c r="AE353" s="7">
        <f t="shared" si="89"/>
        <v>4422.9116800000002</v>
      </c>
      <c r="AF353" s="26">
        <f t="shared" si="90"/>
        <v>1.6823385307508854</v>
      </c>
      <c r="AG353" s="8">
        <f>IF(DASHBOARD!$Q$7&gt;'staging data'!X353,'staging data'!X353,DASHBOARD!$Q$7)</f>
        <v>0.2</v>
      </c>
      <c r="AH353">
        <f>(100%+DASHBOARD!$Q$8)*'staging data'!T353</f>
        <v>1273.0039999999999</v>
      </c>
      <c r="AI353">
        <f>(100%+DASHBOARD!$Q$9)*'staging data'!Y353</f>
        <v>8.4</v>
      </c>
    </row>
    <row r="354" spans="1:35" x14ac:dyDescent="0.3">
      <c r="A354" s="3" t="s">
        <v>293</v>
      </c>
      <c r="B354" s="28">
        <v>45484</v>
      </c>
      <c r="C354" s="28" t="str">
        <f t="shared" si="91"/>
        <v>Q3</v>
      </c>
      <c r="D354" s="28" t="str">
        <f t="shared" si="92"/>
        <v>2023</v>
      </c>
      <c r="E354" s="28" t="str">
        <f t="shared" si="93"/>
        <v>Oct</v>
      </c>
      <c r="F354" s="5">
        <v>45229</v>
      </c>
      <c r="G354" s="5">
        <f t="shared" si="81"/>
        <v>45244</v>
      </c>
      <c r="H354" s="5">
        <v>45244</v>
      </c>
      <c r="I354" s="5" t="str">
        <f t="shared" si="94"/>
        <v>Achieved</v>
      </c>
      <c r="J354" s="14">
        <f t="shared" si="95"/>
        <v>15</v>
      </c>
      <c r="K354" s="14">
        <f t="shared" si="82"/>
        <v>15</v>
      </c>
      <c r="L354" s="3" t="s">
        <v>646</v>
      </c>
      <c r="M354" s="3" t="s">
        <v>653</v>
      </c>
      <c r="N354" s="3" t="s">
        <v>667</v>
      </c>
      <c r="O354" s="3" t="s">
        <v>700</v>
      </c>
      <c r="P354" s="3" t="s">
        <v>707</v>
      </c>
      <c r="Q354" s="3" t="s">
        <v>720</v>
      </c>
      <c r="R354" s="3" t="s">
        <v>730</v>
      </c>
      <c r="S354" s="3" t="s">
        <v>1012</v>
      </c>
      <c r="T354" s="21">
        <v>953.46</v>
      </c>
      <c r="U354" s="21" t="str">
        <f t="shared" si="96"/>
        <v>High</v>
      </c>
      <c r="V354">
        <f t="shared" si="83"/>
        <v>2066.75</v>
      </c>
      <c r="W354" s="7">
        <v>2066.75</v>
      </c>
      <c r="X354" s="8">
        <v>0.13800000000000001</v>
      </c>
      <c r="Y354" s="14">
        <v>5</v>
      </c>
      <c r="Z354" s="7">
        <f t="shared" si="84"/>
        <v>285.2115</v>
      </c>
      <c r="AA354" s="7">
        <f t="shared" si="85"/>
        <v>8907.6924999999992</v>
      </c>
      <c r="AB354" s="7">
        <f t="shared" si="86"/>
        <v>8622.4809999999998</v>
      </c>
      <c r="AC354" s="7">
        <f t="shared" si="87"/>
        <v>4767.3</v>
      </c>
      <c r="AD354" s="7">
        <f t="shared" si="88"/>
        <v>4140.392499999999</v>
      </c>
      <c r="AE354" s="7">
        <f t="shared" si="89"/>
        <v>3855.1809999999996</v>
      </c>
      <c r="AF354" s="26">
        <f t="shared" si="90"/>
        <v>1.8684984162943383</v>
      </c>
      <c r="AG354" s="8">
        <f>IF(DASHBOARD!$Q$7&gt;'staging data'!X354,'staging data'!X354,DASHBOARD!$Q$7)</f>
        <v>0.13800000000000001</v>
      </c>
      <c r="AH354">
        <f>(100%+DASHBOARD!$Q$8)*'staging data'!T354</f>
        <v>1096.479</v>
      </c>
      <c r="AI354">
        <f>(100%+DASHBOARD!$Q$9)*'staging data'!Y354</f>
        <v>6</v>
      </c>
    </row>
    <row r="355" spans="1:35" x14ac:dyDescent="0.3">
      <c r="A355" s="3" t="s">
        <v>291</v>
      </c>
      <c r="B355" s="28">
        <v>45486</v>
      </c>
      <c r="C355" s="28" t="str">
        <f t="shared" si="91"/>
        <v>Q3</v>
      </c>
      <c r="D355" s="28" t="str">
        <f t="shared" si="92"/>
        <v>2025</v>
      </c>
      <c r="E355" s="28" t="str">
        <f t="shared" si="93"/>
        <v>Jun</v>
      </c>
      <c r="F355" s="5">
        <v>45832</v>
      </c>
      <c r="G355" s="5">
        <f t="shared" si="81"/>
        <v>45852</v>
      </c>
      <c r="H355" s="5">
        <v>45852</v>
      </c>
      <c r="I355" s="5" t="str">
        <f t="shared" si="94"/>
        <v>Achieved</v>
      </c>
      <c r="J355" s="14">
        <f t="shared" si="95"/>
        <v>20</v>
      </c>
      <c r="K355" s="14">
        <f t="shared" si="82"/>
        <v>20</v>
      </c>
      <c r="L355" s="3" t="s">
        <v>648</v>
      </c>
      <c r="M355" s="3" t="s">
        <v>655</v>
      </c>
      <c r="N355" s="3" t="s">
        <v>670</v>
      </c>
      <c r="O355" s="3" t="s">
        <v>700</v>
      </c>
      <c r="P355" s="3" t="s">
        <v>710</v>
      </c>
      <c r="Q355" s="3" t="s">
        <v>718</v>
      </c>
      <c r="R355" s="3" t="s">
        <v>732</v>
      </c>
      <c r="S355" s="3" t="s">
        <v>1010</v>
      </c>
      <c r="T355" s="21">
        <v>385.08</v>
      </c>
      <c r="U355" s="21" t="str">
        <f t="shared" si="96"/>
        <v>Medium</v>
      </c>
      <c r="V355">
        <f t="shared" si="83"/>
        <v>893.19</v>
      </c>
      <c r="W355" s="7">
        <v>893.19</v>
      </c>
      <c r="X355" s="8">
        <v>0.151</v>
      </c>
      <c r="Y355" s="14">
        <v>8</v>
      </c>
      <c r="Z355" s="7">
        <f t="shared" si="84"/>
        <v>134.87169</v>
      </c>
      <c r="AA355" s="7">
        <f t="shared" si="85"/>
        <v>6066.54648</v>
      </c>
      <c r="AB355" s="7">
        <f t="shared" si="86"/>
        <v>5931.67479</v>
      </c>
      <c r="AC355" s="7">
        <f t="shared" si="87"/>
        <v>3080.64</v>
      </c>
      <c r="AD355" s="7">
        <f t="shared" si="88"/>
        <v>2985.9064800000001</v>
      </c>
      <c r="AE355" s="7">
        <f t="shared" si="89"/>
        <v>2851.0347900000002</v>
      </c>
      <c r="AF355" s="26">
        <f t="shared" si="90"/>
        <v>1.969248753505765</v>
      </c>
      <c r="AG355" s="8">
        <f>IF(DASHBOARD!$Q$7&gt;'staging data'!X355,'staging data'!X355,DASHBOARD!$Q$7)</f>
        <v>0.151</v>
      </c>
      <c r="AH355">
        <f>(100%+DASHBOARD!$Q$8)*'staging data'!T355</f>
        <v>442.84199999999993</v>
      </c>
      <c r="AI355">
        <f>(100%+DASHBOARD!$Q$9)*'staging data'!Y355</f>
        <v>9.6</v>
      </c>
    </row>
    <row r="356" spans="1:35" x14ac:dyDescent="0.3">
      <c r="A356" s="3" t="s">
        <v>292</v>
      </c>
      <c r="B356" s="28">
        <v>45486</v>
      </c>
      <c r="C356" s="28" t="str">
        <f t="shared" si="91"/>
        <v>Q3</v>
      </c>
      <c r="D356" s="28" t="str">
        <f t="shared" si="92"/>
        <v>2024</v>
      </c>
      <c r="E356" s="28" t="str">
        <f t="shared" si="93"/>
        <v>Jun</v>
      </c>
      <c r="F356" s="5">
        <v>45459</v>
      </c>
      <c r="G356" s="5">
        <f t="shared" si="81"/>
        <v>45476</v>
      </c>
      <c r="H356" s="5">
        <v>45476</v>
      </c>
      <c r="I356" s="5" t="str">
        <f t="shared" si="94"/>
        <v>Achieved</v>
      </c>
      <c r="J356" s="14">
        <f t="shared" si="95"/>
        <v>17</v>
      </c>
      <c r="K356" s="14">
        <f t="shared" si="82"/>
        <v>17</v>
      </c>
      <c r="L356" s="3" t="s">
        <v>645</v>
      </c>
      <c r="M356" s="3" t="s">
        <v>660</v>
      </c>
      <c r="N356" s="3" t="s">
        <v>681</v>
      </c>
      <c r="O356" s="3" t="s">
        <v>705</v>
      </c>
      <c r="P356" s="3" t="s">
        <v>708</v>
      </c>
      <c r="Q356" s="3" t="s">
        <v>720</v>
      </c>
      <c r="R356" s="3" t="s">
        <v>729</v>
      </c>
      <c r="S356" s="3" t="s">
        <v>1011</v>
      </c>
      <c r="T356" s="21">
        <v>1173.83</v>
      </c>
      <c r="U356" s="21" t="str">
        <f t="shared" si="96"/>
        <v>High</v>
      </c>
      <c r="V356">
        <f t="shared" si="83"/>
        <v>2328.9</v>
      </c>
      <c r="W356" s="7">
        <v>2328.9</v>
      </c>
      <c r="X356" s="8">
        <v>0.12</v>
      </c>
      <c r="Y356" s="14">
        <v>17</v>
      </c>
      <c r="Z356" s="7">
        <f t="shared" si="84"/>
        <v>279.46800000000002</v>
      </c>
      <c r="AA356" s="7">
        <f t="shared" si="85"/>
        <v>34840.344000000005</v>
      </c>
      <c r="AB356" s="7">
        <f t="shared" si="86"/>
        <v>34560.876000000004</v>
      </c>
      <c r="AC356" s="7">
        <f t="shared" si="87"/>
        <v>19955.11</v>
      </c>
      <c r="AD356" s="7">
        <f t="shared" si="88"/>
        <v>14885.234000000004</v>
      </c>
      <c r="AE356" s="7">
        <f t="shared" si="89"/>
        <v>14605.766000000003</v>
      </c>
      <c r="AF356" s="26">
        <f t="shared" si="90"/>
        <v>1.7459359532470633</v>
      </c>
      <c r="AG356" s="8">
        <f>IF(DASHBOARD!$Q$7&gt;'staging data'!X356,'staging data'!X356,DASHBOARD!$Q$7)</f>
        <v>0.12</v>
      </c>
      <c r="AH356">
        <f>(100%+DASHBOARD!$Q$8)*'staging data'!T356</f>
        <v>1349.9044999999999</v>
      </c>
      <c r="AI356">
        <f>(100%+DASHBOARD!$Q$9)*'staging data'!Y356</f>
        <v>20.399999999999999</v>
      </c>
    </row>
    <row r="357" spans="1:35" x14ac:dyDescent="0.3">
      <c r="A357" s="3" t="s">
        <v>290</v>
      </c>
      <c r="B357" s="28">
        <v>45488</v>
      </c>
      <c r="C357" s="28" t="str">
        <f t="shared" si="91"/>
        <v>Q3</v>
      </c>
      <c r="D357" s="28" t="str">
        <f t="shared" si="92"/>
        <v>2024</v>
      </c>
      <c r="E357" s="28" t="str">
        <f t="shared" si="93"/>
        <v>Mar</v>
      </c>
      <c r="F357" s="5">
        <v>45378</v>
      </c>
      <c r="G357" s="5">
        <f t="shared" si="81"/>
        <v>45393</v>
      </c>
      <c r="H357" s="5">
        <v>45393</v>
      </c>
      <c r="I357" s="5" t="str">
        <f t="shared" si="94"/>
        <v>Achieved</v>
      </c>
      <c r="J357" s="14">
        <f t="shared" si="95"/>
        <v>15</v>
      </c>
      <c r="K357" s="14">
        <f t="shared" si="82"/>
        <v>15</v>
      </c>
      <c r="L357" s="3" t="s">
        <v>647</v>
      </c>
      <c r="M357" s="3" t="s">
        <v>659</v>
      </c>
      <c r="N357" s="3" t="s">
        <v>685</v>
      </c>
      <c r="O357" s="3" t="s">
        <v>704</v>
      </c>
      <c r="P357" s="3" t="s">
        <v>710</v>
      </c>
      <c r="Q357" s="3" t="s">
        <v>718</v>
      </c>
      <c r="R357" s="3" t="s">
        <v>728</v>
      </c>
      <c r="S357" s="3" t="s">
        <v>1009</v>
      </c>
      <c r="T357" s="21">
        <v>1338.35</v>
      </c>
      <c r="U357" s="21" t="str">
        <f t="shared" si="96"/>
        <v>High</v>
      </c>
      <c r="V357">
        <f t="shared" si="83"/>
        <v>2247.14</v>
      </c>
      <c r="W357" s="7">
        <v>2247.14</v>
      </c>
      <c r="X357" s="8">
        <v>0.115</v>
      </c>
      <c r="Y357" s="14">
        <v>40</v>
      </c>
      <c r="Z357" s="7">
        <f t="shared" si="84"/>
        <v>258.42110000000002</v>
      </c>
      <c r="AA357" s="7">
        <f t="shared" si="85"/>
        <v>79548.755999999994</v>
      </c>
      <c r="AB357" s="7">
        <f t="shared" si="86"/>
        <v>79290.334899999987</v>
      </c>
      <c r="AC357" s="7">
        <f t="shared" si="87"/>
        <v>53534</v>
      </c>
      <c r="AD357" s="7">
        <f t="shared" si="88"/>
        <v>26014.755999999994</v>
      </c>
      <c r="AE357" s="7">
        <f t="shared" si="89"/>
        <v>25756.334899999987</v>
      </c>
      <c r="AF357" s="26">
        <f t="shared" si="90"/>
        <v>1.4859482945417863</v>
      </c>
      <c r="AG357" s="8">
        <f>IF(DASHBOARD!$Q$7&gt;'staging data'!X357,'staging data'!X357,DASHBOARD!$Q$7)</f>
        <v>0.115</v>
      </c>
      <c r="AH357">
        <f>(100%+DASHBOARD!$Q$8)*'staging data'!T357</f>
        <v>1539.1024999999997</v>
      </c>
      <c r="AI357">
        <f>(100%+DASHBOARD!$Q$9)*'staging data'!Y357</f>
        <v>48</v>
      </c>
    </row>
    <row r="358" spans="1:35" x14ac:dyDescent="0.3">
      <c r="A358" s="3" t="s">
        <v>289</v>
      </c>
      <c r="B358" s="28">
        <v>45491</v>
      </c>
      <c r="C358" s="28" t="str">
        <f t="shared" si="91"/>
        <v>Q3</v>
      </c>
      <c r="D358" s="28" t="str">
        <f t="shared" si="92"/>
        <v>2024</v>
      </c>
      <c r="E358" s="28" t="str">
        <f t="shared" si="93"/>
        <v>Jan</v>
      </c>
      <c r="F358" s="5">
        <v>45316</v>
      </c>
      <c r="G358" s="5">
        <f t="shared" si="81"/>
        <v>45318</v>
      </c>
      <c r="H358" s="5">
        <v>45318</v>
      </c>
      <c r="I358" s="5" t="str">
        <f t="shared" si="94"/>
        <v>Not achieved</v>
      </c>
      <c r="J358" s="14">
        <f t="shared" si="95"/>
        <v>2</v>
      </c>
      <c r="K358" s="14">
        <f t="shared" si="82"/>
        <v>2</v>
      </c>
      <c r="L358" s="3" t="s">
        <v>647</v>
      </c>
      <c r="M358" s="3" t="s">
        <v>654</v>
      </c>
      <c r="N358" s="3" t="s">
        <v>669</v>
      </c>
      <c r="O358" s="3" t="s">
        <v>702</v>
      </c>
      <c r="P358" s="3" t="s">
        <v>708</v>
      </c>
      <c r="Q358" s="3" t="s">
        <v>724</v>
      </c>
      <c r="R358" s="3" t="s">
        <v>730</v>
      </c>
      <c r="S358" s="3" t="s">
        <v>1008</v>
      </c>
      <c r="T358" s="21">
        <v>1410.97</v>
      </c>
      <c r="U358" s="21" t="str">
        <f t="shared" si="96"/>
        <v>Medium</v>
      </c>
      <c r="V358">
        <f t="shared" si="83"/>
        <v>1650.75</v>
      </c>
      <c r="W358" s="7">
        <v>1650.75</v>
      </c>
      <c r="X358" s="8">
        <v>0.13500000000000001</v>
      </c>
      <c r="Y358" s="14">
        <v>6</v>
      </c>
      <c r="Z358" s="7">
        <f t="shared" si="84"/>
        <v>222.85125000000002</v>
      </c>
      <c r="AA358" s="7">
        <f t="shared" si="85"/>
        <v>8567.3924999999999</v>
      </c>
      <c r="AB358" s="7">
        <f t="shared" si="86"/>
        <v>8344.5412500000002</v>
      </c>
      <c r="AC358" s="7">
        <f t="shared" si="87"/>
        <v>8465.82</v>
      </c>
      <c r="AD358" s="7">
        <f t="shared" si="88"/>
        <v>101.57250000000022</v>
      </c>
      <c r="AE358" s="7">
        <f t="shared" si="89"/>
        <v>-121.27874999999949</v>
      </c>
      <c r="AF358" s="26">
        <f t="shared" si="90"/>
        <v>1.0119979517636803</v>
      </c>
      <c r="AG358" s="8">
        <f>IF(DASHBOARD!$Q$7&gt;'staging data'!X358,'staging data'!X358,DASHBOARD!$Q$7)</f>
        <v>0.13500000000000001</v>
      </c>
      <c r="AH358">
        <f>(100%+DASHBOARD!$Q$8)*'staging data'!T358</f>
        <v>1622.6154999999999</v>
      </c>
      <c r="AI358">
        <f>(100%+DASHBOARD!$Q$9)*'staging data'!Y358</f>
        <v>7.1999999999999993</v>
      </c>
    </row>
    <row r="359" spans="1:35" x14ac:dyDescent="0.3">
      <c r="A359" s="3" t="s">
        <v>288</v>
      </c>
      <c r="B359" s="28">
        <v>45492</v>
      </c>
      <c r="C359" s="28" t="str">
        <f t="shared" si="91"/>
        <v>Q3</v>
      </c>
      <c r="D359" s="28" t="str">
        <f t="shared" si="92"/>
        <v>2024</v>
      </c>
      <c r="E359" s="28" t="str">
        <f t="shared" si="93"/>
        <v>Mar</v>
      </c>
      <c r="F359" s="5">
        <v>45367</v>
      </c>
      <c r="G359" s="5">
        <f t="shared" si="81"/>
        <v>45395</v>
      </c>
      <c r="H359" s="5">
        <v>45395</v>
      </c>
      <c r="I359" s="5" t="str">
        <f t="shared" si="94"/>
        <v>Achieved</v>
      </c>
      <c r="J359" s="14">
        <f t="shared" si="95"/>
        <v>28</v>
      </c>
      <c r="K359" s="14">
        <f t="shared" si="82"/>
        <v>28</v>
      </c>
      <c r="L359" s="3" t="s">
        <v>648</v>
      </c>
      <c r="M359" s="3" t="s">
        <v>656</v>
      </c>
      <c r="N359" s="3" t="s">
        <v>689</v>
      </c>
      <c r="O359" s="3" t="s">
        <v>704</v>
      </c>
      <c r="P359" s="3" t="s">
        <v>707</v>
      </c>
      <c r="Q359" s="3" t="s">
        <v>722</v>
      </c>
      <c r="R359" s="3" t="s">
        <v>727</v>
      </c>
      <c r="S359" s="3" t="s">
        <v>1007</v>
      </c>
      <c r="T359" s="21">
        <v>287.61</v>
      </c>
      <c r="U359" s="21" t="str">
        <f t="shared" si="96"/>
        <v>Medium</v>
      </c>
      <c r="V359">
        <f t="shared" si="83"/>
        <v>628.54</v>
      </c>
      <c r="W359" s="7">
        <v>628.54</v>
      </c>
      <c r="X359" s="8">
        <v>0.13500000000000001</v>
      </c>
      <c r="Y359" s="14">
        <v>21</v>
      </c>
      <c r="Z359" s="7">
        <f t="shared" si="84"/>
        <v>84.852900000000005</v>
      </c>
      <c r="AA359" s="7">
        <f t="shared" si="85"/>
        <v>11417.429099999999</v>
      </c>
      <c r="AB359" s="7">
        <f t="shared" si="86"/>
        <v>11332.5762</v>
      </c>
      <c r="AC359" s="7">
        <f t="shared" si="87"/>
        <v>6039.81</v>
      </c>
      <c r="AD359" s="7">
        <f t="shared" si="88"/>
        <v>5377.619099999999</v>
      </c>
      <c r="AE359" s="7">
        <f t="shared" si="89"/>
        <v>5292.7661999999991</v>
      </c>
      <c r="AF359" s="26">
        <f t="shared" si="90"/>
        <v>1.8903622961649453</v>
      </c>
      <c r="AG359" s="8">
        <f>IF(DASHBOARD!$Q$7&gt;'staging data'!X359,'staging data'!X359,DASHBOARD!$Q$7)</f>
        <v>0.13500000000000001</v>
      </c>
      <c r="AH359">
        <f>(100%+DASHBOARD!$Q$8)*'staging data'!T359</f>
        <v>330.75149999999996</v>
      </c>
      <c r="AI359">
        <f>(100%+DASHBOARD!$Q$9)*'staging data'!Y359</f>
        <v>25.2</v>
      </c>
    </row>
    <row r="360" spans="1:35" x14ac:dyDescent="0.3">
      <c r="A360" s="3" t="s">
        <v>287</v>
      </c>
      <c r="B360" s="28">
        <v>45497</v>
      </c>
      <c r="C360" s="28" t="str">
        <f t="shared" si="91"/>
        <v>Q3</v>
      </c>
      <c r="D360" s="28" t="str">
        <f t="shared" si="92"/>
        <v>2023</v>
      </c>
      <c r="E360" s="28" t="str">
        <f t="shared" si="93"/>
        <v>Jul</v>
      </c>
      <c r="F360" s="5">
        <v>45131</v>
      </c>
      <c r="G360" s="5">
        <f t="shared" si="81"/>
        <v>45151</v>
      </c>
      <c r="H360" s="5">
        <v>45151</v>
      </c>
      <c r="I360" s="5" t="str">
        <f t="shared" si="94"/>
        <v>Achieved</v>
      </c>
      <c r="J360" s="14">
        <f t="shared" si="95"/>
        <v>20</v>
      </c>
      <c r="K360" s="14">
        <f t="shared" si="82"/>
        <v>20</v>
      </c>
      <c r="L360" s="3" t="s">
        <v>647</v>
      </c>
      <c r="M360" s="3" t="s">
        <v>652</v>
      </c>
      <c r="N360" s="3" t="s">
        <v>680</v>
      </c>
      <c r="O360" s="3" t="s">
        <v>701</v>
      </c>
      <c r="P360" s="3" t="s">
        <v>710</v>
      </c>
      <c r="Q360" s="3" t="s">
        <v>711</v>
      </c>
      <c r="R360" s="3" t="s">
        <v>731</v>
      </c>
      <c r="S360" s="3" t="s">
        <v>1006</v>
      </c>
      <c r="T360" s="21">
        <v>1082.3800000000001</v>
      </c>
      <c r="U360" s="21" t="str">
        <f t="shared" si="96"/>
        <v>Medium</v>
      </c>
      <c r="V360">
        <f t="shared" si="83"/>
        <v>1766.55</v>
      </c>
      <c r="W360" s="7">
        <v>1766.55</v>
      </c>
      <c r="X360" s="8">
        <v>0.16400000000000001</v>
      </c>
      <c r="Y360" s="14">
        <v>20</v>
      </c>
      <c r="Z360" s="7">
        <f t="shared" si="84"/>
        <v>289.71420000000001</v>
      </c>
      <c r="AA360" s="7">
        <f t="shared" si="85"/>
        <v>29536.716</v>
      </c>
      <c r="AB360" s="7">
        <f t="shared" si="86"/>
        <v>29247.001800000002</v>
      </c>
      <c r="AC360" s="7">
        <f t="shared" si="87"/>
        <v>21647.600000000002</v>
      </c>
      <c r="AD360" s="7">
        <f t="shared" si="88"/>
        <v>7889.1159999999982</v>
      </c>
      <c r="AE360" s="7">
        <f t="shared" si="89"/>
        <v>7599.4017999999996</v>
      </c>
      <c r="AF360" s="26">
        <f t="shared" si="90"/>
        <v>1.3644337478519557</v>
      </c>
      <c r="AG360" s="8">
        <f>IF(DASHBOARD!$Q$7&gt;'staging data'!X360,'staging data'!X360,DASHBOARD!$Q$7)</f>
        <v>0.16400000000000001</v>
      </c>
      <c r="AH360">
        <f>(100%+DASHBOARD!$Q$8)*'staging data'!T360</f>
        <v>1244.7370000000001</v>
      </c>
      <c r="AI360">
        <f>(100%+DASHBOARD!$Q$9)*'staging data'!Y360</f>
        <v>24</v>
      </c>
    </row>
    <row r="361" spans="1:35" x14ac:dyDescent="0.3">
      <c r="A361" s="3" t="s">
        <v>285</v>
      </c>
      <c r="B361" s="28">
        <v>45498</v>
      </c>
      <c r="C361" s="28" t="str">
        <f t="shared" si="91"/>
        <v>Q3</v>
      </c>
      <c r="D361" s="28" t="str">
        <f t="shared" si="92"/>
        <v>2025</v>
      </c>
      <c r="E361" s="28" t="str">
        <f t="shared" si="93"/>
        <v>Feb</v>
      </c>
      <c r="F361" s="5">
        <v>45707</v>
      </c>
      <c r="G361" s="5">
        <f t="shared" si="81"/>
        <v>45725</v>
      </c>
      <c r="H361" s="5">
        <v>45725</v>
      </c>
      <c r="I361" s="5" t="str">
        <f t="shared" si="94"/>
        <v>Achieved</v>
      </c>
      <c r="J361" s="14">
        <f t="shared" si="95"/>
        <v>18</v>
      </c>
      <c r="K361" s="14">
        <f t="shared" si="82"/>
        <v>18</v>
      </c>
      <c r="L361" s="3" t="s">
        <v>646</v>
      </c>
      <c r="M361" s="3" t="s">
        <v>653</v>
      </c>
      <c r="N361" s="3" t="s">
        <v>679</v>
      </c>
      <c r="O361" s="3" t="s">
        <v>704</v>
      </c>
      <c r="P361" s="3" t="s">
        <v>710</v>
      </c>
      <c r="Q361" s="3" t="s">
        <v>718</v>
      </c>
      <c r="R361" s="3" t="s">
        <v>731</v>
      </c>
      <c r="S361" s="3" t="s">
        <v>1004</v>
      </c>
      <c r="T361" s="21">
        <v>325.87</v>
      </c>
      <c r="U361" s="21" t="str">
        <f t="shared" si="96"/>
        <v>Low</v>
      </c>
      <c r="V361">
        <f t="shared" si="83"/>
        <v>538.79</v>
      </c>
      <c r="W361" s="7">
        <v>538.79</v>
      </c>
      <c r="X361" s="8">
        <v>0.17399999999999999</v>
      </c>
      <c r="Y361" s="14">
        <v>16</v>
      </c>
      <c r="Z361" s="7">
        <f t="shared" si="84"/>
        <v>93.749459999999985</v>
      </c>
      <c r="AA361" s="7">
        <f t="shared" si="85"/>
        <v>7120.6486400000003</v>
      </c>
      <c r="AB361" s="7">
        <f t="shared" si="86"/>
        <v>7026.8991800000003</v>
      </c>
      <c r="AC361" s="7">
        <f t="shared" si="87"/>
        <v>5213.92</v>
      </c>
      <c r="AD361" s="7">
        <f t="shared" si="88"/>
        <v>1906.7286400000003</v>
      </c>
      <c r="AE361" s="7">
        <f t="shared" si="89"/>
        <v>1812.9791800000003</v>
      </c>
      <c r="AF361" s="26">
        <f t="shared" si="90"/>
        <v>1.3656996348237027</v>
      </c>
      <c r="AG361" s="8">
        <f>IF(DASHBOARD!$Q$7&gt;'staging data'!X361,'staging data'!X361,DASHBOARD!$Q$7)</f>
        <v>0.17399999999999999</v>
      </c>
      <c r="AH361">
        <f>(100%+DASHBOARD!$Q$8)*'staging data'!T361</f>
        <v>374.75049999999999</v>
      </c>
      <c r="AI361">
        <f>(100%+DASHBOARD!$Q$9)*'staging data'!Y361</f>
        <v>19.2</v>
      </c>
    </row>
    <row r="362" spans="1:35" x14ac:dyDescent="0.3">
      <c r="A362" s="3" t="s">
        <v>286</v>
      </c>
      <c r="B362" s="28">
        <v>45498</v>
      </c>
      <c r="C362" s="28" t="str">
        <f t="shared" si="91"/>
        <v>Q3</v>
      </c>
      <c r="D362" s="28" t="str">
        <f t="shared" si="92"/>
        <v>2024</v>
      </c>
      <c r="E362" s="28" t="str">
        <f t="shared" si="93"/>
        <v>Mar</v>
      </c>
      <c r="F362" s="5">
        <v>45382</v>
      </c>
      <c r="G362" s="5">
        <f t="shared" si="81"/>
        <v>45399</v>
      </c>
      <c r="H362" s="5">
        <v>45399</v>
      </c>
      <c r="I362" s="5" t="str">
        <f t="shared" si="94"/>
        <v>Achieved</v>
      </c>
      <c r="J362" s="14">
        <f t="shared" si="95"/>
        <v>17</v>
      </c>
      <c r="K362" s="14">
        <f t="shared" si="82"/>
        <v>17</v>
      </c>
      <c r="L362" s="3" t="s">
        <v>648</v>
      </c>
      <c r="M362" s="3" t="s">
        <v>655</v>
      </c>
      <c r="N362" s="3" t="s">
        <v>697</v>
      </c>
      <c r="O362" s="3" t="s">
        <v>701</v>
      </c>
      <c r="P362" s="3" t="s">
        <v>710</v>
      </c>
      <c r="Q362" s="3" t="s">
        <v>721</v>
      </c>
      <c r="R362" s="3" t="s">
        <v>731</v>
      </c>
      <c r="S362" s="3" t="s">
        <v>1005</v>
      </c>
      <c r="T362" s="21">
        <v>1025.51</v>
      </c>
      <c r="U362" s="21" t="str">
        <f t="shared" si="96"/>
        <v>Medium</v>
      </c>
      <c r="V362">
        <f t="shared" si="83"/>
        <v>1436.54</v>
      </c>
      <c r="W362" s="7">
        <v>1436.54</v>
      </c>
      <c r="X362" s="8">
        <v>0.13900000000000001</v>
      </c>
      <c r="Y362" s="14">
        <v>28</v>
      </c>
      <c r="Z362" s="7">
        <f t="shared" si="84"/>
        <v>199.67906000000002</v>
      </c>
      <c r="AA362" s="7">
        <f t="shared" si="85"/>
        <v>34632.106319999999</v>
      </c>
      <c r="AB362" s="7">
        <f t="shared" si="86"/>
        <v>34432.427259999997</v>
      </c>
      <c r="AC362" s="7">
        <f t="shared" si="87"/>
        <v>28714.28</v>
      </c>
      <c r="AD362" s="7">
        <f t="shared" si="88"/>
        <v>5917.8263200000001</v>
      </c>
      <c r="AE362" s="7">
        <f t="shared" si="89"/>
        <v>5718.1472599999979</v>
      </c>
      <c r="AF362" s="26">
        <f t="shared" si="90"/>
        <v>1.2060934949439792</v>
      </c>
      <c r="AG362" s="8">
        <f>IF(DASHBOARD!$Q$7&gt;'staging data'!X362,'staging data'!X362,DASHBOARD!$Q$7)</f>
        <v>0.13900000000000001</v>
      </c>
      <c r="AH362">
        <f>(100%+DASHBOARD!$Q$8)*'staging data'!T362</f>
        <v>1179.3364999999999</v>
      </c>
      <c r="AI362">
        <f>(100%+DASHBOARD!$Q$9)*'staging data'!Y362</f>
        <v>33.6</v>
      </c>
    </row>
    <row r="363" spans="1:35" x14ac:dyDescent="0.3">
      <c r="A363" s="3" t="s">
        <v>284</v>
      </c>
      <c r="B363" s="28">
        <v>45501</v>
      </c>
      <c r="C363" s="28" t="str">
        <f t="shared" si="91"/>
        <v>Q3</v>
      </c>
      <c r="D363" s="28" t="str">
        <f t="shared" si="92"/>
        <v>2023</v>
      </c>
      <c r="E363" s="28" t="str">
        <f t="shared" si="93"/>
        <v>Aug</v>
      </c>
      <c r="F363" s="5">
        <v>45141</v>
      </c>
      <c r="G363" s="5">
        <f t="shared" si="81"/>
        <v>45152</v>
      </c>
      <c r="H363" s="5">
        <v>45152</v>
      </c>
      <c r="I363" s="5" t="str">
        <f t="shared" si="94"/>
        <v>Achieved</v>
      </c>
      <c r="J363" s="14">
        <f t="shared" si="95"/>
        <v>11</v>
      </c>
      <c r="K363" s="14">
        <f t="shared" si="82"/>
        <v>11</v>
      </c>
      <c r="L363" s="3" t="s">
        <v>647</v>
      </c>
      <c r="M363" s="3" t="s">
        <v>654</v>
      </c>
      <c r="N363" s="3" t="s">
        <v>671</v>
      </c>
      <c r="O363" s="3" t="s">
        <v>700</v>
      </c>
      <c r="P363" s="3" t="s">
        <v>710</v>
      </c>
      <c r="Q363" s="3" t="s">
        <v>712</v>
      </c>
      <c r="R363" s="3" t="s">
        <v>732</v>
      </c>
      <c r="S363" s="3" t="s">
        <v>1003</v>
      </c>
      <c r="T363" s="21">
        <v>232.73</v>
      </c>
      <c r="U363" s="21" t="str">
        <f t="shared" si="96"/>
        <v>Low</v>
      </c>
      <c r="V363">
        <f t="shared" si="83"/>
        <v>334.19</v>
      </c>
      <c r="W363" s="7">
        <v>334.19</v>
      </c>
      <c r="X363" s="8">
        <v>0.13400000000000001</v>
      </c>
      <c r="Y363" s="14">
        <v>25</v>
      </c>
      <c r="Z363" s="7">
        <f t="shared" si="84"/>
        <v>44.781460000000003</v>
      </c>
      <c r="AA363" s="7">
        <f t="shared" si="85"/>
        <v>7235.2134999999998</v>
      </c>
      <c r="AB363" s="7">
        <f t="shared" si="86"/>
        <v>7190.4320399999997</v>
      </c>
      <c r="AC363" s="7">
        <f t="shared" si="87"/>
        <v>5818.25</v>
      </c>
      <c r="AD363" s="7">
        <f t="shared" si="88"/>
        <v>1416.9634999999998</v>
      </c>
      <c r="AE363" s="7">
        <f t="shared" si="89"/>
        <v>1372.1820399999997</v>
      </c>
      <c r="AF363" s="26">
        <f t="shared" si="90"/>
        <v>1.2435377476045202</v>
      </c>
      <c r="AG363" s="8">
        <f>IF(DASHBOARD!$Q$7&gt;'staging data'!X363,'staging data'!X363,DASHBOARD!$Q$7)</f>
        <v>0.13400000000000001</v>
      </c>
      <c r="AH363">
        <f>(100%+DASHBOARD!$Q$8)*'staging data'!T363</f>
        <v>267.63949999999994</v>
      </c>
      <c r="AI363">
        <f>(100%+DASHBOARD!$Q$9)*'staging data'!Y363</f>
        <v>30</v>
      </c>
    </row>
    <row r="364" spans="1:35" x14ac:dyDescent="0.3">
      <c r="A364" s="3" t="s">
        <v>283</v>
      </c>
      <c r="B364" s="28">
        <v>45502</v>
      </c>
      <c r="C364" s="28" t="str">
        <f t="shared" si="91"/>
        <v>Q3</v>
      </c>
      <c r="D364" s="28" t="str">
        <f t="shared" si="92"/>
        <v>2024</v>
      </c>
      <c r="E364" s="28" t="str">
        <f t="shared" si="93"/>
        <v>Jan</v>
      </c>
      <c r="F364" s="5">
        <v>45301</v>
      </c>
      <c r="G364" s="5">
        <f t="shared" si="81"/>
        <v>45314</v>
      </c>
      <c r="H364" s="5">
        <v>45314</v>
      </c>
      <c r="I364" s="5" t="str">
        <f t="shared" si="94"/>
        <v>Achieved</v>
      </c>
      <c r="J364" s="14">
        <f t="shared" si="95"/>
        <v>13</v>
      </c>
      <c r="K364" s="14">
        <f t="shared" si="82"/>
        <v>13</v>
      </c>
      <c r="L364" s="3" t="s">
        <v>648</v>
      </c>
      <c r="M364" s="3" t="s">
        <v>656</v>
      </c>
      <c r="N364" s="3" t="s">
        <v>672</v>
      </c>
      <c r="O364" s="3" t="s">
        <v>700</v>
      </c>
      <c r="P364" s="3" t="s">
        <v>710</v>
      </c>
      <c r="Q364" s="3" t="s">
        <v>719</v>
      </c>
      <c r="R364" s="3" t="s">
        <v>727</v>
      </c>
      <c r="S364" s="3" t="s">
        <v>1002</v>
      </c>
      <c r="T364" s="21">
        <v>720</v>
      </c>
      <c r="U364" s="21" t="str">
        <f t="shared" si="96"/>
        <v>Medium</v>
      </c>
      <c r="V364">
        <f t="shared" si="83"/>
        <v>907.59</v>
      </c>
      <c r="W364" s="7">
        <v>907.59</v>
      </c>
      <c r="X364" s="8">
        <v>0.154</v>
      </c>
      <c r="Y364" s="14">
        <v>10</v>
      </c>
      <c r="Z364" s="7">
        <f t="shared" si="84"/>
        <v>139.76885999999999</v>
      </c>
      <c r="AA364" s="7">
        <f t="shared" si="85"/>
        <v>7678.2113999999992</v>
      </c>
      <c r="AB364" s="7">
        <f t="shared" si="86"/>
        <v>7538.4425399999991</v>
      </c>
      <c r="AC364" s="7">
        <f t="shared" si="87"/>
        <v>7200</v>
      </c>
      <c r="AD364" s="7">
        <f t="shared" si="88"/>
        <v>478.21139999999923</v>
      </c>
      <c r="AE364" s="7">
        <f t="shared" si="89"/>
        <v>338.4425399999991</v>
      </c>
      <c r="AF364" s="26">
        <f t="shared" si="90"/>
        <v>1.0664182499999999</v>
      </c>
      <c r="AG364" s="8">
        <f>IF(DASHBOARD!$Q$7&gt;'staging data'!X364,'staging data'!X364,DASHBOARD!$Q$7)</f>
        <v>0.154</v>
      </c>
      <c r="AH364">
        <f>(100%+DASHBOARD!$Q$8)*'staging data'!T364</f>
        <v>827.99999999999989</v>
      </c>
      <c r="AI364">
        <f>(100%+DASHBOARD!$Q$9)*'staging data'!Y364</f>
        <v>12</v>
      </c>
    </row>
    <row r="365" spans="1:35" x14ac:dyDescent="0.3">
      <c r="A365" s="3" t="s">
        <v>282</v>
      </c>
      <c r="B365" s="28">
        <v>45504</v>
      </c>
      <c r="C365" s="28" t="str">
        <f t="shared" si="91"/>
        <v>Q3</v>
      </c>
      <c r="D365" s="28" t="str">
        <f t="shared" si="92"/>
        <v>2023</v>
      </c>
      <c r="E365" s="28" t="str">
        <f t="shared" si="93"/>
        <v>Dec</v>
      </c>
      <c r="F365" s="5">
        <v>45284</v>
      </c>
      <c r="G365" s="5">
        <f t="shared" si="81"/>
        <v>45292</v>
      </c>
      <c r="H365" s="5">
        <v>45292</v>
      </c>
      <c r="I365" s="5" t="str">
        <f t="shared" si="94"/>
        <v>Achieved</v>
      </c>
      <c r="J365" s="14">
        <f t="shared" si="95"/>
        <v>8</v>
      </c>
      <c r="K365" s="14">
        <f t="shared" si="82"/>
        <v>8</v>
      </c>
      <c r="L365" s="3" t="s">
        <v>647</v>
      </c>
      <c r="M365" s="3" t="s">
        <v>654</v>
      </c>
      <c r="N365" s="3" t="s">
        <v>669</v>
      </c>
      <c r="O365" s="3" t="s">
        <v>701</v>
      </c>
      <c r="P365" s="3" t="s">
        <v>710</v>
      </c>
      <c r="Q365" s="3" t="s">
        <v>711</v>
      </c>
      <c r="R365" s="3" t="s">
        <v>729</v>
      </c>
      <c r="S365" s="3" t="s">
        <v>1001</v>
      </c>
      <c r="T365" s="21">
        <v>526.49</v>
      </c>
      <c r="U365" s="21" t="str">
        <f t="shared" si="96"/>
        <v>Low</v>
      </c>
      <c r="V365">
        <f t="shared" si="83"/>
        <v>496.2</v>
      </c>
      <c r="W365" s="7">
        <v>496.2</v>
      </c>
      <c r="X365" s="8">
        <v>0</v>
      </c>
      <c r="Y365" s="14">
        <v>14</v>
      </c>
      <c r="Z365" s="7">
        <f t="shared" si="84"/>
        <v>0</v>
      </c>
      <c r="AA365" s="7">
        <f t="shared" si="85"/>
        <v>6946.8</v>
      </c>
      <c r="AB365" s="7">
        <f t="shared" si="86"/>
        <v>6946.8</v>
      </c>
      <c r="AC365" s="7">
        <f t="shared" si="87"/>
        <v>7370.8600000000006</v>
      </c>
      <c r="AD365" s="7">
        <f t="shared" si="88"/>
        <v>-424.0600000000004</v>
      </c>
      <c r="AE365" s="7">
        <f t="shared" si="89"/>
        <v>-424.0600000000004</v>
      </c>
      <c r="AF365" s="26">
        <f t="shared" si="90"/>
        <v>0.94246804307774124</v>
      </c>
      <c r="AG365" s="8">
        <f>IF(DASHBOARD!$Q$7&gt;'staging data'!X365,'staging data'!X365,DASHBOARD!$Q$7)</f>
        <v>0</v>
      </c>
      <c r="AH365">
        <f>(100%+DASHBOARD!$Q$8)*'staging data'!T365</f>
        <v>605.46349999999995</v>
      </c>
      <c r="AI365">
        <f>(100%+DASHBOARD!$Q$9)*'staging data'!Y365</f>
        <v>16.8</v>
      </c>
    </row>
    <row r="366" spans="1:35" x14ac:dyDescent="0.3">
      <c r="A366" s="3" t="s">
        <v>281</v>
      </c>
      <c r="B366" s="28">
        <v>45507</v>
      </c>
      <c r="C366" s="28" t="str">
        <f t="shared" si="91"/>
        <v>Q3</v>
      </c>
      <c r="D366" s="28" t="str">
        <f t="shared" si="92"/>
        <v>2023</v>
      </c>
      <c r="E366" s="28" t="str">
        <f t="shared" si="93"/>
        <v>May</v>
      </c>
      <c r="F366" s="5">
        <v>45053</v>
      </c>
      <c r="G366" s="5">
        <f t="shared" si="81"/>
        <v>45053</v>
      </c>
      <c r="H366" s="5">
        <v>45051</v>
      </c>
      <c r="I366" s="5" t="str">
        <f t="shared" si="94"/>
        <v>Not achieved</v>
      </c>
      <c r="J366" s="14">
        <f t="shared" si="95"/>
        <v>0</v>
      </c>
      <c r="K366" s="14">
        <f t="shared" si="82"/>
        <v>-2</v>
      </c>
      <c r="L366" s="3" t="s">
        <v>645</v>
      </c>
      <c r="M366" s="3" t="s">
        <v>650</v>
      </c>
      <c r="N366" s="3" t="s">
        <v>662</v>
      </c>
      <c r="O366" s="3" t="s">
        <v>702</v>
      </c>
      <c r="P366" s="3" t="s">
        <v>708</v>
      </c>
      <c r="Q366" s="3" t="s">
        <v>719</v>
      </c>
      <c r="R366" s="3" t="s">
        <v>726</v>
      </c>
      <c r="S366" s="3" t="s">
        <v>1000</v>
      </c>
      <c r="T366" s="21">
        <v>1269.6500000000001</v>
      </c>
      <c r="U366" s="21" t="str">
        <f t="shared" si="96"/>
        <v>High</v>
      </c>
      <c r="V366">
        <f t="shared" si="83"/>
        <v>2462.77</v>
      </c>
      <c r="W366" s="7">
        <v>2462.77</v>
      </c>
      <c r="X366" s="8">
        <v>0.107</v>
      </c>
      <c r="Y366" s="14">
        <v>8</v>
      </c>
      <c r="Z366" s="7">
        <f t="shared" si="84"/>
        <v>263.51639</v>
      </c>
      <c r="AA366" s="7">
        <f t="shared" si="85"/>
        <v>17594.028880000002</v>
      </c>
      <c r="AB366" s="7">
        <f t="shared" si="86"/>
        <v>17330.512490000001</v>
      </c>
      <c r="AC366" s="7">
        <f t="shared" si="87"/>
        <v>10157.200000000001</v>
      </c>
      <c r="AD366" s="7">
        <f t="shared" si="88"/>
        <v>7436.8288800000009</v>
      </c>
      <c r="AE366" s="7">
        <f t="shared" si="89"/>
        <v>7173.3124900000003</v>
      </c>
      <c r="AF366" s="26">
        <f t="shared" si="90"/>
        <v>1.7321731264521718</v>
      </c>
      <c r="AG366" s="8">
        <f>IF(DASHBOARD!$Q$7&gt;'staging data'!X366,'staging data'!X366,DASHBOARD!$Q$7)</f>
        <v>0.107</v>
      </c>
      <c r="AH366">
        <f>(100%+DASHBOARD!$Q$8)*'staging data'!T366</f>
        <v>1460.0975000000001</v>
      </c>
      <c r="AI366">
        <f>(100%+DASHBOARD!$Q$9)*'staging data'!Y366</f>
        <v>9.6</v>
      </c>
    </row>
    <row r="367" spans="1:35" x14ac:dyDescent="0.3">
      <c r="A367" s="3" t="s">
        <v>280</v>
      </c>
      <c r="B367" s="28">
        <v>45508</v>
      </c>
      <c r="C367" s="28" t="str">
        <f t="shared" si="91"/>
        <v>Q3</v>
      </c>
      <c r="D367" s="28" t="str">
        <f t="shared" si="92"/>
        <v>2024</v>
      </c>
      <c r="E367" s="28" t="str">
        <f t="shared" si="93"/>
        <v>Oct</v>
      </c>
      <c r="F367" s="5">
        <v>45573</v>
      </c>
      <c r="G367" s="5">
        <f t="shared" si="81"/>
        <v>45573</v>
      </c>
      <c r="H367" s="5">
        <v>45573</v>
      </c>
      <c r="I367" s="5" t="str">
        <f t="shared" si="94"/>
        <v>Not achieved</v>
      </c>
      <c r="J367" s="14">
        <f t="shared" si="95"/>
        <v>0</v>
      </c>
      <c r="K367" s="14">
        <f t="shared" si="82"/>
        <v>0</v>
      </c>
      <c r="L367" s="3" t="s">
        <v>648</v>
      </c>
      <c r="M367" s="3" t="s">
        <v>657</v>
      </c>
      <c r="N367" s="3" t="s">
        <v>682</v>
      </c>
      <c r="O367" s="3" t="s">
        <v>700</v>
      </c>
      <c r="P367" s="3" t="s">
        <v>707</v>
      </c>
      <c r="Q367" s="3" t="s">
        <v>717</v>
      </c>
      <c r="R367" s="3" t="s">
        <v>731</v>
      </c>
      <c r="S367" s="3" t="s">
        <v>999</v>
      </c>
      <c r="T367" s="21">
        <v>1108.1099999999999</v>
      </c>
      <c r="U367" s="21" t="str">
        <f t="shared" si="96"/>
        <v>High</v>
      </c>
      <c r="V367">
        <f t="shared" si="83"/>
        <v>2503.79</v>
      </c>
      <c r="W367" s="7">
        <v>2503.79</v>
      </c>
      <c r="X367" s="8">
        <v>0.184</v>
      </c>
      <c r="Y367" s="14">
        <v>19</v>
      </c>
      <c r="Z367" s="7">
        <f t="shared" si="84"/>
        <v>460.69736</v>
      </c>
      <c r="AA367" s="7">
        <f t="shared" si="85"/>
        <v>38818.760160000005</v>
      </c>
      <c r="AB367" s="7">
        <f t="shared" si="86"/>
        <v>38358.062800000007</v>
      </c>
      <c r="AC367" s="7">
        <f t="shared" si="87"/>
        <v>21054.089999999997</v>
      </c>
      <c r="AD367" s="7">
        <f t="shared" si="88"/>
        <v>17764.670160000009</v>
      </c>
      <c r="AE367" s="7">
        <f t="shared" si="89"/>
        <v>17303.97280000001</v>
      </c>
      <c r="AF367" s="26">
        <f t="shared" si="90"/>
        <v>1.8437633808917893</v>
      </c>
      <c r="AG367" s="8">
        <f>IF(DASHBOARD!$Q$7&gt;'staging data'!X367,'staging data'!X367,DASHBOARD!$Q$7)</f>
        <v>0.184</v>
      </c>
      <c r="AH367">
        <f>(100%+DASHBOARD!$Q$8)*'staging data'!T367</f>
        <v>1274.3264999999999</v>
      </c>
      <c r="AI367">
        <f>(100%+DASHBOARD!$Q$9)*'staging data'!Y367</f>
        <v>22.8</v>
      </c>
    </row>
    <row r="368" spans="1:35" x14ac:dyDescent="0.3">
      <c r="A368" s="3" t="s">
        <v>279</v>
      </c>
      <c r="B368" s="28">
        <v>45511</v>
      </c>
      <c r="C368" s="28" t="str">
        <f t="shared" si="91"/>
        <v>Q3</v>
      </c>
      <c r="D368" s="28" t="str">
        <f t="shared" si="92"/>
        <v>2025</v>
      </c>
      <c r="E368" s="28" t="str">
        <f t="shared" si="93"/>
        <v>Sept</v>
      </c>
      <c r="F368" s="5">
        <v>45902</v>
      </c>
      <c r="G368" s="5">
        <f t="shared" si="81"/>
        <v>45911</v>
      </c>
      <c r="H368" s="5">
        <v>45911</v>
      </c>
      <c r="I368" s="5" t="str">
        <f t="shared" si="94"/>
        <v>Achieved</v>
      </c>
      <c r="J368" s="14">
        <f t="shared" si="95"/>
        <v>9</v>
      </c>
      <c r="K368" s="14">
        <f t="shared" si="82"/>
        <v>9</v>
      </c>
      <c r="L368" s="3" t="s">
        <v>647</v>
      </c>
      <c r="M368" s="3" t="s">
        <v>652</v>
      </c>
      <c r="N368" s="3" t="s">
        <v>666</v>
      </c>
      <c r="O368" s="3" t="s">
        <v>700</v>
      </c>
      <c r="P368" s="3" t="s">
        <v>709</v>
      </c>
      <c r="Q368" s="3" t="s">
        <v>723</v>
      </c>
      <c r="R368" s="3" t="s">
        <v>727</v>
      </c>
      <c r="S368" s="3" t="s">
        <v>998</v>
      </c>
      <c r="T368" s="21">
        <v>1207.6300000000001</v>
      </c>
      <c r="U368" s="21" t="str">
        <f t="shared" si="96"/>
        <v>Medium</v>
      </c>
      <c r="V368">
        <f t="shared" si="83"/>
        <v>921.68</v>
      </c>
      <c r="W368" s="7">
        <v>921.68</v>
      </c>
      <c r="X368" s="8">
        <v>0.19600000000000001</v>
      </c>
      <c r="Y368" s="14">
        <v>17</v>
      </c>
      <c r="Z368" s="7">
        <f t="shared" si="84"/>
        <v>180.64928</v>
      </c>
      <c r="AA368" s="7">
        <f t="shared" si="85"/>
        <v>12597.52224</v>
      </c>
      <c r="AB368" s="7">
        <f t="shared" si="86"/>
        <v>12416.872960000001</v>
      </c>
      <c r="AC368" s="7">
        <f t="shared" si="87"/>
        <v>20529.710000000003</v>
      </c>
      <c r="AD368" s="7">
        <f t="shared" si="88"/>
        <v>-7932.1877600000025</v>
      </c>
      <c r="AE368" s="7">
        <f t="shared" si="89"/>
        <v>-8112.8370400000022</v>
      </c>
      <c r="AF368" s="26">
        <f t="shared" si="90"/>
        <v>0.61362397423051751</v>
      </c>
      <c r="AG368" s="8">
        <f>IF(DASHBOARD!$Q$7&gt;'staging data'!X368,'staging data'!X368,DASHBOARD!$Q$7)</f>
        <v>0.19600000000000001</v>
      </c>
      <c r="AH368">
        <f>(100%+DASHBOARD!$Q$8)*'staging data'!T368</f>
        <v>1388.7745</v>
      </c>
      <c r="AI368">
        <f>(100%+DASHBOARD!$Q$9)*'staging data'!Y368</f>
        <v>20.399999999999999</v>
      </c>
    </row>
    <row r="369" spans="1:35" x14ac:dyDescent="0.3">
      <c r="A369" s="3" t="s">
        <v>278</v>
      </c>
      <c r="B369" s="28">
        <v>45512</v>
      </c>
      <c r="C369" s="28" t="str">
        <f t="shared" si="91"/>
        <v>Q3</v>
      </c>
      <c r="D369" s="28" t="str">
        <f t="shared" si="92"/>
        <v>2025</v>
      </c>
      <c r="E369" s="28" t="str">
        <f t="shared" si="93"/>
        <v>Apr</v>
      </c>
      <c r="F369" s="5">
        <v>45763</v>
      </c>
      <c r="G369" s="5">
        <f t="shared" si="81"/>
        <v>45773</v>
      </c>
      <c r="H369" s="5">
        <v>45773</v>
      </c>
      <c r="I369" s="5" t="str">
        <f t="shared" si="94"/>
        <v>Achieved</v>
      </c>
      <c r="J369" s="14">
        <f t="shared" si="95"/>
        <v>10</v>
      </c>
      <c r="K369" s="14">
        <f t="shared" si="82"/>
        <v>10</v>
      </c>
      <c r="L369" s="3" t="s">
        <v>645</v>
      </c>
      <c r="M369" s="3" t="s">
        <v>650</v>
      </c>
      <c r="N369" s="3" t="s">
        <v>662</v>
      </c>
      <c r="O369" s="3" t="s">
        <v>705</v>
      </c>
      <c r="P369" s="3" t="s">
        <v>708</v>
      </c>
      <c r="Q369" s="3" t="s">
        <v>720</v>
      </c>
      <c r="R369" s="3" t="s">
        <v>730</v>
      </c>
      <c r="S369" s="3" t="s">
        <v>997</v>
      </c>
      <c r="T369" s="21">
        <v>1457.44</v>
      </c>
      <c r="U369" s="21" t="str">
        <f t="shared" si="96"/>
        <v>High</v>
      </c>
      <c r="V369">
        <f t="shared" si="83"/>
        <v>1996.81</v>
      </c>
      <c r="W369" s="7">
        <v>1996.81</v>
      </c>
      <c r="X369" s="8">
        <v>0.126</v>
      </c>
      <c r="Y369" s="14">
        <v>23</v>
      </c>
      <c r="Z369" s="7">
        <f t="shared" si="84"/>
        <v>251.59806</v>
      </c>
      <c r="AA369" s="7">
        <f t="shared" si="85"/>
        <v>40139.874619999995</v>
      </c>
      <c r="AB369" s="7">
        <f t="shared" si="86"/>
        <v>39888.276559999998</v>
      </c>
      <c r="AC369" s="7">
        <f t="shared" si="87"/>
        <v>33521.120000000003</v>
      </c>
      <c r="AD369" s="7">
        <f t="shared" si="88"/>
        <v>6618.7546199999924</v>
      </c>
      <c r="AE369" s="7">
        <f t="shared" si="89"/>
        <v>6367.1565599999958</v>
      </c>
      <c r="AF369" s="26">
        <f t="shared" si="90"/>
        <v>1.1974502826874518</v>
      </c>
      <c r="AG369" s="8">
        <f>IF(DASHBOARD!$Q$7&gt;'staging data'!X369,'staging data'!X369,DASHBOARD!$Q$7)</f>
        <v>0.126</v>
      </c>
      <c r="AH369">
        <f>(100%+DASHBOARD!$Q$8)*'staging data'!T369</f>
        <v>1676.056</v>
      </c>
      <c r="AI369">
        <f>(100%+DASHBOARD!$Q$9)*'staging data'!Y369</f>
        <v>27.599999999999998</v>
      </c>
    </row>
    <row r="370" spans="1:35" x14ac:dyDescent="0.3">
      <c r="A370" s="3" t="s">
        <v>277</v>
      </c>
      <c r="B370" s="28">
        <v>45514</v>
      </c>
      <c r="C370" s="28" t="str">
        <f t="shared" si="91"/>
        <v>Q3</v>
      </c>
      <c r="D370" s="28" t="str">
        <f t="shared" si="92"/>
        <v>2025</v>
      </c>
      <c r="E370" s="28" t="str">
        <f t="shared" si="93"/>
        <v>Jun</v>
      </c>
      <c r="F370" s="5">
        <v>45829</v>
      </c>
      <c r="G370" s="5">
        <f t="shared" si="81"/>
        <v>45835</v>
      </c>
      <c r="H370" s="5">
        <v>45835</v>
      </c>
      <c r="I370" s="5" t="str">
        <f t="shared" si="94"/>
        <v>Not achieved</v>
      </c>
      <c r="J370" s="14">
        <f t="shared" si="95"/>
        <v>6</v>
      </c>
      <c r="K370" s="14">
        <f t="shared" si="82"/>
        <v>6</v>
      </c>
      <c r="L370" s="3" t="s">
        <v>645</v>
      </c>
      <c r="M370" s="3" t="s">
        <v>660</v>
      </c>
      <c r="N370" s="3" t="s">
        <v>686</v>
      </c>
      <c r="O370" s="3" t="s">
        <v>705</v>
      </c>
      <c r="P370" s="3" t="s">
        <v>709</v>
      </c>
      <c r="Q370" s="3" t="s">
        <v>724</v>
      </c>
      <c r="R370" s="3" t="s">
        <v>729</v>
      </c>
      <c r="S370" s="3" t="s">
        <v>996</v>
      </c>
      <c r="T370" s="21">
        <v>93.91</v>
      </c>
      <c r="U370" s="21" t="str">
        <f t="shared" si="96"/>
        <v>Low</v>
      </c>
      <c r="V370">
        <f t="shared" si="83"/>
        <v>99.04</v>
      </c>
      <c r="W370" s="7">
        <v>99.04</v>
      </c>
      <c r="X370" s="8">
        <v>5.7000000000000002E-2</v>
      </c>
      <c r="Y370" s="14">
        <v>6</v>
      </c>
      <c r="Z370" s="7">
        <f t="shared" si="84"/>
        <v>5.6452800000000005</v>
      </c>
      <c r="AA370" s="7">
        <f t="shared" si="85"/>
        <v>560.36831999999993</v>
      </c>
      <c r="AB370" s="7">
        <f t="shared" si="86"/>
        <v>554.72303999999997</v>
      </c>
      <c r="AC370" s="7">
        <f t="shared" si="87"/>
        <v>563.46</v>
      </c>
      <c r="AD370" s="7">
        <f t="shared" si="88"/>
        <v>-3.0916800000001103</v>
      </c>
      <c r="AE370" s="7">
        <f t="shared" si="89"/>
        <v>-8.7369600000000673</v>
      </c>
      <c r="AF370" s="26">
        <f t="shared" si="90"/>
        <v>0.99451304440421662</v>
      </c>
      <c r="AG370" s="8">
        <f>IF(DASHBOARD!$Q$7&gt;'staging data'!X370,'staging data'!X370,DASHBOARD!$Q$7)</f>
        <v>5.7000000000000002E-2</v>
      </c>
      <c r="AH370">
        <f>(100%+DASHBOARD!$Q$8)*'staging data'!T370</f>
        <v>107.99649999999998</v>
      </c>
      <c r="AI370">
        <f>(100%+DASHBOARD!$Q$9)*'staging data'!Y370</f>
        <v>7.1999999999999993</v>
      </c>
    </row>
    <row r="371" spans="1:35" x14ac:dyDescent="0.3">
      <c r="A371" s="3" t="s">
        <v>275</v>
      </c>
      <c r="B371" s="28">
        <v>45516</v>
      </c>
      <c r="C371" s="28" t="str">
        <f t="shared" si="91"/>
        <v>Q3</v>
      </c>
      <c r="D371" s="28" t="str">
        <f t="shared" si="92"/>
        <v>2023</v>
      </c>
      <c r="E371" s="28" t="str">
        <f t="shared" si="93"/>
        <v>May</v>
      </c>
      <c r="F371" s="5">
        <v>45073</v>
      </c>
      <c r="G371" s="5">
        <f t="shared" si="81"/>
        <v>45096</v>
      </c>
      <c r="H371" s="5">
        <v>45096</v>
      </c>
      <c r="I371" s="5" t="str">
        <f t="shared" si="94"/>
        <v>Achieved</v>
      </c>
      <c r="J371" s="14">
        <f t="shared" si="95"/>
        <v>23</v>
      </c>
      <c r="K371" s="14">
        <f t="shared" si="82"/>
        <v>23</v>
      </c>
      <c r="L371" s="3" t="s">
        <v>648</v>
      </c>
      <c r="M371" s="3" t="s">
        <v>655</v>
      </c>
      <c r="N371" s="3" t="s">
        <v>670</v>
      </c>
      <c r="O371" s="3" t="s">
        <v>701</v>
      </c>
      <c r="P371" s="3" t="s">
        <v>706</v>
      </c>
      <c r="Q371" s="3" t="s">
        <v>718</v>
      </c>
      <c r="R371" s="3" t="s">
        <v>732</v>
      </c>
      <c r="S371" s="3" t="s">
        <v>994</v>
      </c>
      <c r="T371" s="21">
        <v>1471.58</v>
      </c>
      <c r="U371" s="21" t="str">
        <f t="shared" si="96"/>
        <v>High</v>
      </c>
      <c r="V371">
        <f t="shared" si="83"/>
        <v>2576.65</v>
      </c>
      <c r="W371" s="7">
        <v>2576.65</v>
      </c>
      <c r="X371" s="8">
        <v>4.0000000000000001E-3</v>
      </c>
      <c r="Y371" s="14">
        <v>7</v>
      </c>
      <c r="Z371" s="7">
        <f t="shared" si="84"/>
        <v>10.306600000000001</v>
      </c>
      <c r="AA371" s="7">
        <f t="shared" si="85"/>
        <v>17964.4038</v>
      </c>
      <c r="AB371" s="7">
        <f t="shared" si="86"/>
        <v>17954.0972</v>
      </c>
      <c r="AC371" s="7">
        <f t="shared" si="87"/>
        <v>10301.06</v>
      </c>
      <c r="AD371" s="7">
        <f t="shared" si="88"/>
        <v>7663.3438000000006</v>
      </c>
      <c r="AE371" s="7">
        <f t="shared" si="89"/>
        <v>7653.0372000000007</v>
      </c>
      <c r="AF371" s="26">
        <f t="shared" si="90"/>
        <v>1.7439374006170241</v>
      </c>
      <c r="AG371" s="8">
        <f>IF(DASHBOARD!$Q$7&gt;'staging data'!X371,'staging data'!X371,DASHBOARD!$Q$7)</f>
        <v>4.0000000000000001E-3</v>
      </c>
      <c r="AH371">
        <f>(100%+DASHBOARD!$Q$8)*'staging data'!T371</f>
        <v>1692.3169999999998</v>
      </c>
      <c r="AI371">
        <f>(100%+DASHBOARD!$Q$9)*'staging data'!Y371</f>
        <v>8.4</v>
      </c>
    </row>
    <row r="372" spans="1:35" x14ac:dyDescent="0.3">
      <c r="A372" s="3" t="s">
        <v>276</v>
      </c>
      <c r="B372" s="28">
        <v>45516</v>
      </c>
      <c r="C372" s="28" t="str">
        <f t="shared" si="91"/>
        <v>Q3</v>
      </c>
      <c r="D372" s="28" t="str">
        <f t="shared" si="92"/>
        <v>2023</v>
      </c>
      <c r="E372" s="28" t="str">
        <f t="shared" si="93"/>
        <v>Aug</v>
      </c>
      <c r="F372" s="5">
        <v>45142</v>
      </c>
      <c r="G372" s="5">
        <f t="shared" si="81"/>
        <v>45162</v>
      </c>
      <c r="H372" s="5">
        <v>45162</v>
      </c>
      <c r="I372" s="5" t="str">
        <f t="shared" si="94"/>
        <v>Achieved</v>
      </c>
      <c r="J372" s="14">
        <f t="shared" si="95"/>
        <v>20</v>
      </c>
      <c r="K372" s="14">
        <f t="shared" si="82"/>
        <v>20</v>
      </c>
      <c r="L372" s="3" t="s">
        <v>647</v>
      </c>
      <c r="M372" s="3" t="s">
        <v>654</v>
      </c>
      <c r="N372" s="3" t="s">
        <v>671</v>
      </c>
      <c r="O372" s="3" t="s">
        <v>702</v>
      </c>
      <c r="P372" s="3" t="s">
        <v>710</v>
      </c>
      <c r="Q372" s="3" t="s">
        <v>711</v>
      </c>
      <c r="R372" s="3" t="s">
        <v>728</v>
      </c>
      <c r="S372" s="3" t="s">
        <v>995</v>
      </c>
      <c r="T372" s="21">
        <v>582.88</v>
      </c>
      <c r="U372" s="21" t="str">
        <f t="shared" si="96"/>
        <v>Medium</v>
      </c>
      <c r="V372">
        <f t="shared" si="83"/>
        <v>1044.1400000000001</v>
      </c>
      <c r="W372" s="7">
        <v>1044.1400000000001</v>
      </c>
      <c r="X372" s="8">
        <v>0.216</v>
      </c>
      <c r="Y372" s="14">
        <v>10</v>
      </c>
      <c r="Z372" s="7">
        <f t="shared" si="84"/>
        <v>225.53424000000001</v>
      </c>
      <c r="AA372" s="7">
        <f t="shared" si="85"/>
        <v>8186.057600000001</v>
      </c>
      <c r="AB372" s="7">
        <f t="shared" si="86"/>
        <v>7960.523360000001</v>
      </c>
      <c r="AC372" s="7">
        <f t="shared" si="87"/>
        <v>5828.8</v>
      </c>
      <c r="AD372" s="7">
        <f t="shared" si="88"/>
        <v>2357.2576000000008</v>
      </c>
      <c r="AE372" s="7">
        <f t="shared" si="89"/>
        <v>2131.7233600000009</v>
      </c>
      <c r="AF372" s="26">
        <f t="shared" si="90"/>
        <v>1.4044155915454297</v>
      </c>
      <c r="AG372" s="8">
        <f>IF(DASHBOARD!$Q$7&gt;'staging data'!X372,'staging data'!X372,DASHBOARD!$Q$7)</f>
        <v>0.2</v>
      </c>
      <c r="AH372">
        <f>(100%+DASHBOARD!$Q$8)*'staging data'!T372</f>
        <v>670.3119999999999</v>
      </c>
      <c r="AI372">
        <f>(100%+DASHBOARD!$Q$9)*'staging data'!Y372</f>
        <v>12</v>
      </c>
    </row>
    <row r="373" spans="1:35" x14ac:dyDescent="0.3">
      <c r="A373" s="3" t="s">
        <v>274</v>
      </c>
      <c r="B373" s="28">
        <v>45518</v>
      </c>
      <c r="C373" s="28" t="str">
        <f t="shared" si="91"/>
        <v>Q3</v>
      </c>
      <c r="D373" s="28" t="str">
        <f t="shared" si="92"/>
        <v>2023</v>
      </c>
      <c r="E373" s="28" t="str">
        <f t="shared" si="93"/>
        <v>May</v>
      </c>
      <c r="F373" s="5">
        <v>45066</v>
      </c>
      <c r="G373" s="5">
        <f t="shared" si="81"/>
        <v>45084</v>
      </c>
      <c r="H373" s="5">
        <v>45084</v>
      </c>
      <c r="I373" s="5" t="str">
        <f t="shared" si="94"/>
        <v>Achieved</v>
      </c>
      <c r="J373" s="14">
        <f t="shared" si="95"/>
        <v>18</v>
      </c>
      <c r="K373" s="14">
        <f t="shared" si="82"/>
        <v>18</v>
      </c>
      <c r="L373" s="3" t="s">
        <v>645</v>
      </c>
      <c r="M373" s="3" t="s">
        <v>650</v>
      </c>
      <c r="N373" s="3" t="s">
        <v>662</v>
      </c>
      <c r="O373" s="3" t="s">
        <v>705</v>
      </c>
      <c r="P373" s="3" t="s">
        <v>709</v>
      </c>
      <c r="Q373" s="3" t="s">
        <v>717</v>
      </c>
      <c r="R373" s="3" t="s">
        <v>726</v>
      </c>
      <c r="S373" s="3" t="s">
        <v>993</v>
      </c>
      <c r="T373" s="21">
        <v>1120.06</v>
      </c>
      <c r="U373" s="21" t="str">
        <f t="shared" si="96"/>
        <v>High</v>
      </c>
      <c r="V373">
        <f t="shared" si="83"/>
        <v>2068.21</v>
      </c>
      <c r="W373" s="7">
        <v>2068.21</v>
      </c>
      <c r="X373" s="8">
        <v>7.8E-2</v>
      </c>
      <c r="Y373" s="14">
        <v>12</v>
      </c>
      <c r="Z373" s="7">
        <f t="shared" si="84"/>
        <v>161.32038</v>
      </c>
      <c r="AA373" s="7">
        <f t="shared" si="85"/>
        <v>22882.675440000003</v>
      </c>
      <c r="AB373" s="7">
        <f t="shared" si="86"/>
        <v>22721.355060000002</v>
      </c>
      <c r="AC373" s="7">
        <f t="shared" si="87"/>
        <v>13440.72</v>
      </c>
      <c r="AD373" s="7">
        <f t="shared" si="88"/>
        <v>9441.9554400000034</v>
      </c>
      <c r="AE373" s="7">
        <f t="shared" si="89"/>
        <v>9280.6350600000023</v>
      </c>
      <c r="AF373" s="26">
        <f t="shared" si="90"/>
        <v>1.7024888130992986</v>
      </c>
      <c r="AG373" s="8">
        <f>IF(DASHBOARD!$Q$7&gt;'staging data'!X373,'staging data'!X373,DASHBOARD!$Q$7)</f>
        <v>7.8E-2</v>
      </c>
      <c r="AH373">
        <f>(100%+DASHBOARD!$Q$8)*'staging data'!T373</f>
        <v>1288.0689999999997</v>
      </c>
      <c r="AI373">
        <f>(100%+DASHBOARD!$Q$9)*'staging data'!Y373</f>
        <v>14.399999999999999</v>
      </c>
    </row>
    <row r="374" spans="1:35" x14ac:dyDescent="0.3">
      <c r="A374" s="3" t="s">
        <v>273</v>
      </c>
      <c r="B374" s="28">
        <v>45520</v>
      </c>
      <c r="C374" s="28" t="str">
        <f t="shared" si="91"/>
        <v>Q3</v>
      </c>
      <c r="D374" s="28" t="str">
        <f t="shared" si="92"/>
        <v>2023</v>
      </c>
      <c r="E374" s="28" t="str">
        <f t="shared" si="93"/>
        <v>Oct</v>
      </c>
      <c r="F374" s="5">
        <v>45210</v>
      </c>
      <c r="G374" s="5">
        <f t="shared" si="81"/>
        <v>45212</v>
      </c>
      <c r="H374" s="5">
        <v>45212</v>
      </c>
      <c r="I374" s="5" t="str">
        <f t="shared" si="94"/>
        <v>Not achieved</v>
      </c>
      <c r="J374" s="14">
        <f t="shared" si="95"/>
        <v>2</v>
      </c>
      <c r="K374" s="14">
        <f t="shared" si="82"/>
        <v>2</v>
      </c>
      <c r="L374" s="3" t="s">
        <v>647</v>
      </c>
      <c r="M374" s="3" t="s">
        <v>654</v>
      </c>
      <c r="N374" s="3" t="s">
        <v>671</v>
      </c>
      <c r="O374" s="3" t="s">
        <v>703</v>
      </c>
      <c r="P374" s="3" t="s">
        <v>709</v>
      </c>
      <c r="Q374" s="3" t="s">
        <v>719</v>
      </c>
      <c r="R374" s="3" t="s">
        <v>732</v>
      </c>
      <c r="S374" s="3" t="s">
        <v>992</v>
      </c>
      <c r="T374" s="21">
        <v>715.94</v>
      </c>
      <c r="U374" s="21" t="str">
        <f t="shared" si="96"/>
        <v>Low</v>
      </c>
      <c r="V374">
        <f t="shared" si="83"/>
        <v>550.07000000000005</v>
      </c>
      <c r="W374" s="7">
        <v>550.07000000000005</v>
      </c>
      <c r="X374" s="8">
        <v>0.14000000000000001</v>
      </c>
      <c r="Y374" s="14">
        <v>16</v>
      </c>
      <c r="Z374" s="7">
        <f t="shared" si="84"/>
        <v>77.009800000000013</v>
      </c>
      <c r="AA374" s="7">
        <f t="shared" si="85"/>
        <v>7568.9632000000001</v>
      </c>
      <c r="AB374" s="7">
        <f t="shared" si="86"/>
        <v>7491.9534000000003</v>
      </c>
      <c r="AC374" s="7">
        <f t="shared" si="87"/>
        <v>11455.04</v>
      </c>
      <c r="AD374" s="7">
        <f t="shared" si="88"/>
        <v>-3886.0768000000007</v>
      </c>
      <c r="AE374" s="7">
        <f t="shared" si="89"/>
        <v>-3963.0866000000005</v>
      </c>
      <c r="AF374" s="26">
        <f t="shared" si="90"/>
        <v>0.66075397379668688</v>
      </c>
      <c r="AG374" s="8">
        <f>IF(DASHBOARD!$Q$7&gt;'staging data'!X374,'staging data'!X374,DASHBOARD!$Q$7)</f>
        <v>0.14000000000000001</v>
      </c>
      <c r="AH374">
        <f>(100%+DASHBOARD!$Q$8)*'staging data'!T374</f>
        <v>823.33100000000002</v>
      </c>
      <c r="AI374">
        <f>(100%+DASHBOARD!$Q$9)*'staging data'!Y374</f>
        <v>19.2</v>
      </c>
    </row>
    <row r="375" spans="1:35" x14ac:dyDescent="0.3">
      <c r="A375" s="3" t="s">
        <v>272</v>
      </c>
      <c r="B375" s="28">
        <v>45521</v>
      </c>
      <c r="C375" s="28" t="str">
        <f t="shared" si="91"/>
        <v>Q3</v>
      </c>
      <c r="D375" s="28" t="str">
        <f t="shared" si="92"/>
        <v>2025</v>
      </c>
      <c r="E375" s="28" t="str">
        <f t="shared" si="93"/>
        <v>Jun</v>
      </c>
      <c r="F375" s="5">
        <v>45835</v>
      </c>
      <c r="G375" s="5">
        <f t="shared" si="81"/>
        <v>45843</v>
      </c>
      <c r="H375" s="5">
        <v>45843</v>
      </c>
      <c r="I375" s="5" t="str">
        <f t="shared" si="94"/>
        <v>Achieved</v>
      </c>
      <c r="J375" s="14">
        <f t="shared" si="95"/>
        <v>8</v>
      </c>
      <c r="K375" s="14">
        <f t="shared" si="82"/>
        <v>8</v>
      </c>
      <c r="L375" s="3" t="s">
        <v>648</v>
      </c>
      <c r="M375" s="3" t="s">
        <v>655</v>
      </c>
      <c r="N375" s="3" t="s">
        <v>683</v>
      </c>
      <c r="O375" s="3" t="s">
        <v>704</v>
      </c>
      <c r="P375" s="3" t="s">
        <v>710</v>
      </c>
      <c r="Q375" s="3" t="s">
        <v>714</v>
      </c>
      <c r="R375" s="3" t="s">
        <v>731</v>
      </c>
      <c r="S375" s="3" t="s">
        <v>991</v>
      </c>
      <c r="T375" s="21">
        <v>314.93</v>
      </c>
      <c r="U375" s="21" t="str">
        <f t="shared" si="96"/>
        <v>Medium</v>
      </c>
      <c r="V375">
        <f t="shared" si="83"/>
        <v>687.95</v>
      </c>
      <c r="W375" s="7">
        <v>687.95</v>
      </c>
      <c r="X375" s="8">
        <v>0.20499999999999999</v>
      </c>
      <c r="Y375" s="14">
        <v>8</v>
      </c>
      <c r="Z375" s="7">
        <f t="shared" si="84"/>
        <v>141.02975000000001</v>
      </c>
      <c r="AA375" s="7">
        <f t="shared" si="85"/>
        <v>4375.3620000000001</v>
      </c>
      <c r="AB375" s="7">
        <f t="shared" si="86"/>
        <v>4234.3322500000004</v>
      </c>
      <c r="AC375" s="7">
        <f t="shared" si="87"/>
        <v>2519.44</v>
      </c>
      <c r="AD375" s="7">
        <f t="shared" si="88"/>
        <v>1855.922</v>
      </c>
      <c r="AE375" s="7">
        <f t="shared" si="89"/>
        <v>1714.8922500000003</v>
      </c>
      <c r="AF375" s="26">
        <f t="shared" si="90"/>
        <v>1.73664068205633</v>
      </c>
      <c r="AG375" s="8">
        <f>IF(DASHBOARD!$Q$7&gt;'staging data'!X375,'staging data'!X375,DASHBOARD!$Q$7)</f>
        <v>0.2</v>
      </c>
      <c r="AH375">
        <f>(100%+DASHBOARD!$Q$8)*'staging data'!T375</f>
        <v>362.16949999999997</v>
      </c>
      <c r="AI375">
        <f>(100%+DASHBOARD!$Q$9)*'staging data'!Y375</f>
        <v>9.6</v>
      </c>
    </row>
    <row r="376" spans="1:35" x14ac:dyDescent="0.3">
      <c r="A376" s="3" t="s">
        <v>271</v>
      </c>
      <c r="B376" s="28">
        <v>45522</v>
      </c>
      <c r="C376" s="28" t="str">
        <f t="shared" si="91"/>
        <v>Q3</v>
      </c>
      <c r="D376" s="28" t="str">
        <f t="shared" si="92"/>
        <v>2023</v>
      </c>
      <c r="E376" s="28" t="str">
        <f t="shared" si="93"/>
        <v>Apr</v>
      </c>
      <c r="F376" s="5">
        <v>45035</v>
      </c>
      <c r="G376" s="5">
        <f t="shared" si="81"/>
        <v>45053</v>
      </c>
      <c r="H376" s="5">
        <v>45053</v>
      </c>
      <c r="I376" s="5" t="str">
        <f t="shared" si="94"/>
        <v>Achieved</v>
      </c>
      <c r="J376" s="14">
        <f t="shared" si="95"/>
        <v>18</v>
      </c>
      <c r="K376" s="14">
        <f t="shared" si="82"/>
        <v>18</v>
      </c>
      <c r="L376" s="3" t="s">
        <v>648</v>
      </c>
      <c r="M376" s="3" t="s">
        <v>657</v>
      </c>
      <c r="N376" s="3" t="s">
        <v>682</v>
      </c>
      <c r="O376" s="3" t="s">
        <v>702</v>
      </c>
      <c r="P376" s="3" t="s">
        <v>710</v>
      </c>
      <c r="Q376" s="3" t="s">
        <v>721</v>
      </c>
      <c r="R376" s="3" t="s">
        <v>728</v>
      </c>
      <c r="S376" s="3" t="s">
        <v>990</v>
      </c>
      <c r="T376" s="21">
        <v>516.96</v>
      </c>
      <c r="U376" s="21" t="str">
        <f t="shared" si="96"/>
        <v>Medium</v>
      </c>
      <c r="V376">
        <f t="shared" si="83"/>
        <v>745.38</v>
      </c>
      <c r="W376" s="7">
        <v>745.38</v>
      </c>
      <c r="X376" s="8">
        <v>0.19700000000000001</v>
      </c>
      <c r="Y376" s="14">
        <v>4</v>
      </c>
      <c r="Z376" s="7">
        <f t="shared" si="84"/>
        <v>146.83986000000002</v>
      </c>
      <c r="AA376" s="7">
        <f t="shared" si="85"/>
        <v>2394.1605599999998</v>
      </c>
      <c r="AB376" s="7">
        <f t="shared" si="86"/>
        <v>2247.3206999999998</v>
      </c>
      <c r="AC376" s="7">
        <f t="shared" si="87"/>
        <v>2067.84</v>
      </c>
      <c r="AD376" s="7">
        <f t="shared" si="88"/>
        <v>326.32055999999966</v>
      </c>
      <c r="AE376" s="7">
        <f t="shared" si="89"/>
        <v>179.48069999999962</v>
      </c>
      <c r="AF376" s="26">
        <f t="shared" si="90"/>
        <v>1.1578074512534817</v>
      </c>
      <c r="AG376" s="8">
        <f>IF(DASHBOARD!$Q$7&gt;'staging data'!X376,'staging data'!X376,DASHBOARD!$Q$7)</f>
        <v>0.19700000000000001</v>
      </c>
      <c r="AH376">
        <f>(100%+DASHBOARD!$Q$8)*'staging data'!T376</f>
        <v>594.50400000000002</v>
      </c>
      <c r="AI376">
        <f>(100%+DASHBOARD!$Q$9)*'staging data'!Y376</f>
        <v>4.8</v>
      </c>
    </row>
    <row r="377" spans="1:35" x14ac:dyDescent="0.3">
      <c r="A377" s="3" t="s">
        <v>269</v>
      </c>
      <c r="B377" s="28">
        <v>45523</v>
      </c>
      <c r="C377" s="28" t="str">
        <f t="shared" si="91"/>
        <v>Q3</v>
      </c>
      <c r="D377" s="28" t="str">
        <f t="shared" si="92"/>
        <v>2024</v>
      </c>
      <c r="E377" s="28" t="str">
        <f t="shared" si="93"/>
        <v>Apr</v>
      </c>
      <c r="F377" s="5">
        <v>45411</v>
      </c>
      <c r="G377" s="5">
        <f t="shared" si="81"/>
        <v>45431</v>
      </c>
      <c r="H377" s="5">
        <v>45431</v>
      </c>
      <c r="I377" s="5" t="str">
        <f t="shared" si="94"/>
        <v>Achieved</v>
      </c>
      <c r="J377" s="14">
        <f t="shared" si="95"/>
        <v>20</v>
      </c>
      <c r="K377" s="14">
        <f t="shared" si="82"/>
        <v>20</v>
      </c>
      <c r="L377" s="3" t="s">
        <v>648</v>
      </c>
      <c r="M377" s="3" t="s">
        <v>655</v>
      </c>
      <c r="N377" s="3" t="s">
        <v>697</v>
      </c>
      <c r="O377" s="3" t="s">
        <v>705</v>
      </c>
      <c r="P377" s="3" t="s">
        <v>708</v>
      </c>
      <c r="Q377" s="3" t="s">
        <v>711</v>
      </c>
      <c r="R377" s="3" t="s">
        <v>730</v>
      </c>
      <c r="S377" s="3" t="s">
        <v>988</v>
      </c>
      <c r="T377" s="21">
        <v>668.97</v>
      </c>
      <c r="U377" s="21" t="str">
        <f t="shared" si="96"/>
        <v>Medium</v>
      </c>
      <c r="V377">
        <f t="shared" si="83"/>
        <v>1667.44</v>
      </c>
      <c r="W377" s="7">
        <v>1667.44</v>
      </c>
      <c r="X377" s="8">
        <v>3.4000000000000002E-2</v>
      </c>
      <c r="Y377" s="14">
        <v>15</v>
      </c>
      <c r="Z377" s="7">
        <f t="shared" si="84"/>
        <v>56.692960000000006</v>
      </c>
      <c r="AA377" s="7">
        <f t="shared" si="85"/>
        <v>24161.205600000001</v>
      </c>
      <c r="AB377" s="7">
        <f t="shared" si="86"/>
        <v>24104.512640000001</v>
      </c>
      <c r="AC377" s="7">
        <f t="shared" si="87"/>
        <v>10034.550000000001</v>
      </c>
      <c r="AD377" s="7">
        <f t="shared" si="88"/>
        <v>14126.6556</v>
      </c>
      <c r="AE377" s="7">
        <f t="shared" si="89"/>
        <v>14069.96264</v>
      </c>
      <c r="AF377" s="26">
        <f t="shared" si="90"/>
        <v>2.4078016054531592</v>
      </c>
      <c r="AG377" s="8">
        <f>IF(DASHBOARD!$Q$7&gt;'staging data'!X377,'staging data'!X377,DASHBOARD!$Q$7)</f>
        <v>3.4000000000000002E-2</v>
      </c>
      <c r="AH377">
        <f>(100%+DASHBOARD!$Q$8)*'staging data'!T377</f>
        <v>769.31549999999993</v>
      </c>
      <c r="AI377">
        <f>(100%+DASHBOARD!$Q$9)*'staging data'!Y377</f>
        <v>18</v>
      </c>
    </row>
    <row r="378" spans="1:35" x14ac:dyDescent="0.3">
      <c r="A378" s="3" t="s">
        <v>270</v>
      </c>
      <c r="B378" s="28">
        <v>45523</v>
      </c>
      <c r="C378" s="28" t="str">
        <f t="shared" si="91"/>
        <v>Q3</v>
      </c>
      <c r="D378" s="28" t="str">
        <f t="shared" si="92"/>
        <v>2023</v>
      </c>
      <c r="E378" s="28" t="str">
        <f t="shared" si="93"/>
        <v>Oct</v>
      </c>
      <c r="F378" s="5">
        <v>45204</v>
      </c>
      <c r="G378" s="5">
        <f t="shared" si="81"/>
        <v>45205</v>
      </c>
      <c r="H378" s="5">
        <v>45205</v>
      </c>
      <c r="I378" s="5" t="str">
        <f t="shared" si="94"/>
        <v>Not achieved</v>
      </c>
      <c r="J378" s="14">
        <f t="shared" si="95"/>
        <v>1</v>
      </c>
      <c r="K378" s="14">
        <f t="shared" si="82"/>
        <v>1</v>
      </c>
      <c r="L378" s="3" t="s">
        <v>646</v>
      </c>
      <c r="M378" s="3" t="s">
        <v>653</v>
      </c>
      <c r="N378" s="3" t="s">
        <v>667</v>
      </c>
      <c r="O378" s="3" t="s">
        <v>702</v>
      </c>
      <c r="P378" s="3" t="s">
        <v>707</v>
      </c>
      <c r="Q378" s="3" t="s">
        <v>713</v>
      </c>
      <c r="R378" s="3" t="s">
        <v>726</v>
      </c>
      <c r="S378" s="3" t="s">
        <v>989</v>
      </c>
      <c r="T378" s="21">
        <v>1470.26</v>
      </c>
      <c r="U378" s="21" t="str">
        <f t="shared" si="96"/>
        <v>High</v>
      </c>
      <c r="V378">
        <f t="shared" si="83"/>
        <v>2562.5500000000002</v>
      </c>
      <c r="W378" s="7">
        <v>2562.5500000000002</v>
      </c>
      <c r="X378" s="8">
        <v>0.17299999999999999</v>
      </c>
      <c r="Y378" s="14">
        <v>9</v>
      </c>
      <c r="Z378" s="7">
        <f t="shared" si="84"/>
        <v>443.32114999999999</v>
      </c>
      <c r="AA378" s="7">
        <f t="shared" si="85"/>
        <v>19073.059649999999</v>
      </c>
      <c r="AB378" s="7">
        <f t="shared" si="86"/>
        <v>18629.738499999999</v>
      </c>
      <c r="AC378" s="7">
        <f t="shared" si="87"/>
        <v>13232.34</v>
      </c>
      <c r="AD378" s="7">
        <f t="shared" si="88"/>
        <v>5840.7196499999991</v>
      </c>
      <c r="AE378" s="7">
        <f t="shared" si="89"/>
        <v>5397.3984999999993</v>
      </c>
      <c r="AF378" s="26">
        <f t="shared" si="90"/>
        <v>1.441397337885816</v>
      </c>
      <c r="AG378" s="8">
        <f>IF(DASHBOARD!$Q$7&gt;'staging data'!X378,'staging data'!X378,DASHBOARD!$Q$7)</f>
        <v>0.17299999999999999</v>
      </c>
      <c r="AH378">
        <f>(100%+DASHBOARD!$Q$8)*'staging data'!T378</f>
        <v>1690.7989999999998</v>
      </c>
      <c r="AI378">
        <f>(100%+DASHBOARD!$Q$9)*'staging data'!Y378</f>
        <v>10.799999999999999</v>
      </c>
    </row>
    <row r="379" spans="1:35" x14ac:dyDescent="0.3">
      <c r="A379" s="3" t="s">
        <v>268</v>
      </c>
      <c r="B379" s="28">
        <v>45526</v>
      </c>
      <c r="C379" s="28" t="str">
        <f t="shared" si="91"/>
        <v>Q3</v>
      </c>
      <c r="D379" s="28" t="str">
        <f t="shared" si="92"/>
        <v>2024</v>
      </c>
      <c r="E379" s="28" t="str">
        <f t="shared" si="93"/>
        <v>Oct</v>
      </c>
      <c r="F379" s="5">
        <v>45592</v>
      </c>
      <c r="G379" s="5">
        <f t="shared" si="81"/>
        <v>45616</v>
      </c>
      <c r="H379" s="5">
        <v>45616</v>
      </c>
      <c r="I379" s="5" t="str">
        <f t="shared" si="94"/>
        <v>Achieved</v>
      </c>
      <c r="J379" s="14">
        <f t="shared" si="95"/>
        <v>24</v>
      </c>
      <c r="K379" s="14">
        <f t="shared" si="82"/>
        <v>24</v>
      </c>
      <c r="L379" s="3" t="s">
        <v>646</v>
      </c>
      <c r="M379" s="3" t="s">
        <v>651</v>
      </c>
      <c r="N379" s="3" t="s">
        <v>693</v>
      </c>
      <c r="O379" s="3" t="s">
        <v>702</v>
      </c>
      <c r="P379" s="3" t="s">
        <v>707</v>
      </c>
      <c r="Q379" s="3" t="s">
        <v>721</v>
      </c>
      <c r="R379" s="3" t="s">
        <v>731</v>
      </c>
      <c r="S379" s="3" t="s">
        <v>987</v>
      </c>
      <c r="T379" s="21">
        <v>317.25</v>
      </c>
      <c r="U379" s="21" t="str">
        <f t="shared" si="96"/>
        <v>Medium</v>
      </c>
      <c r="V379">
        <f t="shared" si="83"/>
        <v>758.92</v>
      </c>
      <c r="W379" s="7">
        <v>758.92</v>
      </c>
      <c r="X379" s="8">
        <v>5.2999999999999999E-2</v>
      </c>
      <c r="Y379" s="14">
        <v>9</v>
      </c>
      <c r="Z379" s="7">
        <f t="shared" si="84"/>
        <v>40.222759999999994</v>
      </c>
      <c r="AA379" s="7">
        <f t="shared" si="85"/>
        <v>6468.2751599999992</v>
      </c>
      <c r="AB379" s="7">
        <f t="shared" si="86"/>
        <v>6428.0523999999996</v>
      </c>
      <c r="AC379" s="7">
        <f t="shared" si="87"/>
        <v>2855.25</v>
      </c>
      <c r="AD379" s="7">
        <f t="shared" si="88"/>
        <v>3613.0251599999992</v>
      </c>
      <c r="AE379" s="7">
        <f t="shared" si="89"/>
        <v>3572.8023999999996</v>
      </c>
      <c r="AF379" s="26">
        <f t="shared" si="90"/>
        <v>2.2653971315996846</v>
      </c>
      <c r="AG379" s="8">
        <f>IF(DASHBOARD!$Q$7&gt;'staging data'!X379,'staging data'!X379,DASHBOARD!$Q$7)</f>
        <v>5.2999999999999999E-2</v>
      </c>
      <c r="AH379">
        <f>(100%+DASHBOARD!$Q$8)*'staging data'!T379</f>
        <v>364.83749999999998</v>
      </c>
      <c r="AI379">
        <f>(100%+DASHBOARD!$Q$9)*'staging data'!Y379</f>
        <v>10.799999999999999</v>
      </c>
    </row>
    <row r="380" spans="1:35" x14ac:dyDescent="0.3">
      <c r="A380" s="3" t="s">
        <v>267</v>
      </c>
      <c r="B380" s="28">
        <v>45527</v>
      </c>
      <c r="C380" s="28" t="str">
        <f t="shared" si="91"/>
        <v>Q3</v>
      </c>
      <c r="D380" s="28" t="str">
        <f t="shared" si="92"/>
        <v>2024</v>
      </c>
      <c r="E380" s="28" t="str">
        <f t="shared" si="93"/>
        <v>Jul</v>
      </c>
      <c r="F380" s="5">
        <v>45502</v>
      </c>
      <c r="G380" s="5">
        <f t="shared" si="81"/>
        <v>45504</v>
      </c>
      <c r="H380" s="5">
        <v>45504</v>
      </c>
      <c r="I380" s="5" t="str">
        <f t="shared" si="94"/>
        <v>Not achieved</v>
      </c>
      <c r="J380" s="14">
        <f t="shared" si="95"/>
        <v>2</v>
      </c>
      <c r="K380" s="14">
        <f t="shared" si="82"/>
        <v>2</v>
      </c>
      <c r="L380" s="3" t="s">
        <v>647</v>
      </c>
      <c r="M380" s="3" t="s">
        <v>659</v>
      </c>
      <c r="N380" s="3" t="s">
        <v>699</v>
      </c>
      <c r="O380" s="3" t="s">
        <v>701</v>
      </c>
      <c r="P380" s="3" t="s">
        <v>708</v>
      </c>
      <c r="Q380" s="3" t="s">
        <v>713</v>
      </c>
      <c r="R380" s="3" t="s">
        <v>727</v>
      </c>
      <c r="S380" s="3" t="s">
        <v>986</v>
      </c>
      <c r="T380" s="21">
        <v>798.97</v>
      </c>
      <c r="U380" s="21" t="str">
        <f t="shared" si="96"/>
        <v>Medium</v>
      </c>
      <c r="V380">
        <f t="shared" si="83"/>
        <v>1814.06</v>
      </c>
      <c r="W380" s="7">
        <v>1814.06</v>
      </c>
      <c r="X380" s="8">
        <v>0.122</v>
      </c>
      <c r="Y380" s="14">
        <v>16</v>
      </c>
      <c r="Z380" s="7">
        <f t="shared" si="84"/>
        <v>221.31531999999999</v>
      </c>
      <c r="AA380" s="7">
        <f t="shared" si="85"/>
        <v>25483.91488</v>
      </c>
      <c r="AB380" s="7">
        <f t="shared" si="86"/>
        <v>25262.599559999999</v>
      </c>
      <c r="AC380" s="7">
        <f t="shared" si="87"/>
        <v>12783.52</v>
      </c>
      <c r="AD380" s="7">
        <f t="shared" si="88"/>
        <v>12700.39488</v>
      </c>
      <c r="AE380" s="7">
        <f t="shared" si="89"/>
        <v>12479.079559999998</v>
      </c>
      <c r="AF380" s="26">
        <f t="shared" si="90"/>
        <v>1.9934974780029286</v>
      </c>
      <c r="AG380" s="8">
        <f>IF(DASHBOARD!$Q$7&gt;'staging data'!X380,'staging data'!X380,DASHBOARD!$Q$7)</f>
        <v>0.122</v>
      </c>
      <c r="AH380">
        <f>(100%+DASHBOARD!$Q$8)*'staging data'!T380</f>
        <v>918.81549999999993</v>
      </c>
      <c r="AI380">
        <f>(100%+DASHBOARD!$Q$9)*'staging data'!Y380</f>
        <v>19.2</v>
      </c>
    </row>
    <row r="381" spans="1:35" x14ac:dyDescent="0.3">
      <c r="A381" s="3" t="s">
        <v>265</v>
      </c>
      <c r="B381" s="28">
        <v>45531</v>
      </c>
      <c r="C381" s="28" t="str">
        <f t="shared" si="91"/>
        <v>Q3</v>
      </c>
      <c r="D381" s="28" t="str">
        <f t="shared" si="92"/>
        <v>2023</v>
      </c>
      <c r="E381" s="28" t="str">
        <f t="shared" si="93"/>
        <v>Mar</v>
      </c>
      <c r="F381" s="5">
        <v>44989</v>
      </c>
      <c r="G381" s="5">
        <f t="shared" si="81"/>
        <v>45009</v>
      </c>
      <c r="H381" s="5">
        <v>45009</v>
      </c>
      <c r="I381" s="5" t="str">
        <f t="shared" si="94"/>
        <v>Achieved</v>
      </c>
      <c r="J381" s="14">
        <f t="shared" si="95"/>
        <v>20</v>
      </c>
      <c r="K381" s="14">
        <f t="shared" si="82"/>
        <v>20</v>
      </c>
      <c r="L381" s="3" t="s">
        <v>647</v>
      </c>
      <c r="M381" s="3" t="s">
        <v>652</v>
      </c>
      <c r="N381" s="3" t="s">
        <v>680</v>
      </c>
      <c r="O381" s="3" t="s">
        <v>703</v>
      </c>
      <c r="P381" s="3" t="s">
        <v>709</v>
      </c>
      <c r="Q381" s="3" t="s">
        <v>713</v>
      </c>
      <c r="R381" s="3" t="s">
        <v>730</v>
      </c>
      <c r="S381" s="3" t="s">
        <v>984</v>
      </c>
      <c r="T381" s="21">
        <v>481.71</v>
      </c>
      <c r="U381" s="21" t="str">
        <f t="shared" si="96"/>
        <v>Medium</v>
      </c>
      <c r="V381">
        <f t="shared" si="83"/>
        <v>912.45</v>
      </c>
      <c r="W381" s="7">
        <v>912.45</v>
      </c>
      <c r="X381" s="8">
        <v>0.20300000000000001</v>
      </c>
      <c r="Y381" s="14">
        <v>24</v>
      </c>
      <c r="Z381" s="7">
        <f t="shared" si="84"/>
        <v>185.22735000000003</v>
      </c>
      <c r="AA381" s="7">
        <f t="shared" si="85"/>
        <v>17453.3436</v>
      </c>
      <c r="AB381" s="7">
        <f t="shared" si="86"/>
        <v>17268.116249999999</v>
      </c>
      <c r="AC381" s="7">
        <f t="shared" si="87"/>
        <v>11561.039999999999</v>
      </c>
      <c r="AD381" s="7">
        <f t="shared" si="88"/>
        <v>5892.3036000000011</v>
      </c>
      <c r="AE381" s="7">
        <f t="shared" si="89"/>
        <v>5707.0762500000001</v>
      </c>
      <c r="AF381" s="26">
        <f t="shared" si="90"/>
        <v>1.5096689917170083</v>
      </c>
      <c r="AG381" s="8">
        <f>IF(DASHBOARD!$Q$7&gt;'staging data'!X381,'staging data'!X381,DASHBOARD!$Q$7)</f>
        <v>0.2</v>
      </c>
      <c r="AH381">
        <f>(100%+DASHBOARD!$Q$8)*'staging data'!T381</f>
        <v>553.96649999999988</v>
      </c>
      <c r="AI381">
        <f>(100%+DASHBOARD!$Q$9)*'staging data'!Y381</f>
        <v>28.799999999999997</v>
      </c>
    </row>
    <row r="382" spans="1:35" x14ac:dyDescent="0.3">
      <c r="A382" s="3" t="s">
        <v>266</v>
      </c>
      <c r="B382" s="28">
        <v>45531</v>
      </c>
      <c r="C382" s="28" t="str">
        <f t="shared" si="91"/>
        <v>Q3</v>
      </c>
      <c r="D382" s="28" t="str">
        <f t="shared" si="92"/>
        <v>2024</v>
      </c>
      <c r="E382" s="28" t="str">
        <f t="shared" si="93"/>
        <v>Mar</v>
      </c>
      <c r="F382" s="5">
        <v>45366</v>
      </c>
      <c r="G382" s="5">
        <f t="shared" si="81"/>
        <v>45391</v>
      </c>
      <c r="H382" s="5">
        <v>45391</v>
      </c>
      <c r="I382" s="5" t="str">
        <f t="shared" si="94"/>
        <v>Achieved</v>
      </c>
      <c r="J382" s="14">
        <f t="shared" si="95"/>
        <v>25</v>
      </c>
      <c r="K382" s="14">
        <f t="shared" si="82"/>
        <v>25</v>
      </c>
      <c r="L382" s="3" t="s">
        <v>647</v>
      </c>
      <c r="M382" s="3" t="s">
        <v>652</v>
      </c>
      <c r="N382" s="3" t="s">
        <v>687</v>
      </c>
      <c r="O382" s="3" t="s">
        <v>703</v>
      </c>
      <c r="P382" s="3" t="s">
        <v>707</v>
      </c>
      <c r="Q382" s="3" t="s">
        <v>720</v>
      </c>
      <c r="R382" s="3" t="s">
        <v>731</v>
      </c>
      <c r="S382" s="3" t="s">
        <v>985</v>
      </c>
      <c r="T382" s="21">
        <v>648.64</v>
      </c>
      <c r="U382" s="21" t="str">
        <f t="shared" si="96"/>
        <v>Medium</v>
      </c>
      <c r="V382">
        <f t="shared" si="83"/>
        <v>815.19</v>
      </c>
      <c r="W382" s="7">
        <v>815.19</v>
      </c>
      <c r="X382" s="8">
        <v>0.22500000000000001</v>
      </c>
      <c r="Y382" s="14">
        <v>28</v>
      </c>
      <c r="Z382" s="7">
        <f t="shared" si="84"/>
        <v>183.41775000000001</v>
      </c>
      <c r="AA382" s="7">
        <f t="shared" si="85"/>
        <v>17689.623</v>
      </c>
      <c r="AB382" s="7">
        <f t="shared" si="86"/>
        <v>17506.205249999999</v>
      </c>
      <c r="AC382" s="7">
        <f t="shared" si="87"/>
        <v>18161.919999999998</v>
      </c>
      <c r="AD382" s="7">
        <f t="shared" si="88"/>
        <v>-472.29699999999866</v>
      </c>
      <c r="AE382" s="7">
        <f t="shared" si="89"/>
        <v>-655.71474999999919</v>
      </c>
      <c r="AF382" s="26">
        <f t="shared" si="90"/>
        <v>0.97399520535273809</v>
      </c>
      <c r="AG382" s="8">
        <f>IF(DASHBOARD!$Q$7&gt;'staging data'!X382,'staging data'!X382,DASHBOARD!$Q$7)</f>
        <v>0.2</v>
      </c>
      <c r="AH382">
        <f>(100%+DASHBOARD!$Q$8)*'staging data'!T382</f>
        <v>745.93599999999992</v>
      </c>
      <c r="AI382">
        <f>(100%+DASHBOARD!$Q$9)*'staging data'!Y382</f>
        <v>33.6</v>
      </c>
    </row>
    <row r="383" spans="1:35" x14ac:dyDescent="0.3">
      <c r="A383" s="3" t="s">
        <v>264</v>
      </c>
      <c r="B383" s="28">
        <v>45532</v>
      </c>
      <c r="C383" s="28" t="str">
        <f t="shared" si="91"/>
        <v>Q3</v>
      </c>
      <c r="D383" s="28" t="str">
        <f t="shared" si="92"/>
        <v>2024</v>
      </c>
      <c r="E383" s="28" t="str">
        <f t="shared" si="93"/>
        <v>Sept</v>
      </c>
      <c r="F383" s="5">
        <v>45537</v>
      </c>
      <c r="G383" s="5">
        <f t="shared" si="81"/>
        <v>45543</v>
      </c>
      <c r="H383" s="5">
        <v>45543</v>
      </c>
      <c r="I383" s="5" t="str">
        <f t="shared" si="94"/>
        <v>Not achieved</v>
      </c>
      <c r="J383" s="14">
        <f t="shared" si="95"/>
        <v>6</v>
      </c>
      <c r="K383" s="14">
        <f t="shared" si="82"/>
        <v>6</v>
      </c>
      <c r="L383" s="3" t="s">
        <v>647</v>
      </c>
      <c r="M383" s="3" t="s">
        <v>659</v>
      </c>
      <c r="N383" s="3" t="s">
        <v>696</v>
      </c>
      <c r="O383" s="3" t="s">
        <v>703</v>
      </c>
      <c r="P383" s="3" t="s">
        <v>710</v>
      </c>
      <c r="Q383" s="3" t="s">
        <v>721</v>
      </c>
      <c r="R383" s="3" t="s">
        <v>726</v>
      </c>
      <c r="S383" s="3" t="s">
        <v>983</v>
      </c>
      <c r="T383" s="21">
        <v>462.94</v>
      </c>
      <c r="U383" s="21" t="str">
        <f t="shared" si="96"/>
        <v>Medium</v>
      </c>
      <c r="V383">
        <f t="shared" si="83"/>
        <v>1015.7</v>
      </c>
      <c r="W383" s="7">
        <v>1015.7</v>
      </c>
      <c r="X383" s="8">
        <v>0.14299999999999999</v>
      </c>
      <c r="Y383" s="14">
        <v>14</v>
      </c>
      <c r="Z383" s="7">
        <f t="shared" si="84"/>
        <v>145.24510000000001</v>
      </c>
      <c r="AA383" s="7">
        <f t="shared" si="85"/>
        <v>12186.368600000002</v>
      </c>
      <c r="AB383" s="7">
        <f t="shared" si="86"/>
        <v>12041.123500000002</v>
      </c>
      <c r="AC383" s="7">
        <f t="shared" si="87"/>
        <v>6481.16</v>
      </c>
      <c r="AD383" s="7">
        <f t="shared" si="88"/>
        <v>5705.2086000000018</v>
      </c>
      <c r="AE383" s="7">
        <f t="shared" si="89"/>
        <v>5559.9635000000017</v>
      </c>
      <c r="AF383" s="26">
        <f t="shared" si="90"/>
        <v>1.8802758456819462</v>
      </c>
      <c r="AG383" s="8">
        <f>IF(DASHBOARD!$Q$7&gt;'staging data'!X383,'staging data'!X383,DASHBOARD!$Q$7)</f>
        <v>0.14299999999999999</v>
      </c>
      <c r="AH383">
        <f>(100%+DASHBOARD!$Q$8)*'staging data'!T383</f>
        <v>532.38099999999997</v>
      </c>
      <c r="AI383">
        <f>(100%+DASHBOARD!$Q$9)*'staging data'!Y383</f>
        <v>16.8</v>
      </c>
    </row>
    <row r="384" spans="1:35" x14ac:dyDescent="0.3">
      <c r="A384" s="3" t="s">
        <v>263</v>
      </c>
      <c r="B384" s="28">
        <v>45534</v>
      </c>
      <c r="C384" s="28" t="str">
        <f t="shared" si="91"/>
        <v>Q3</v>
      </c>
      <c r="D384" s="28" t="str">
        <f t="shared" si="92"/>
        <v>2025</v>
      </c>
      <c r="E384" s="28" t="str">
        <f t="shared" si="93"/>
        <v>Sept</v>
      </c>
      <c r="F384" s="5">
        <v>45912</v>
      </c>
      <c r="G384" s="5">
        <f t="shared" si="81"/>
        <v>45930</v>
      </c>
      <c r="H384" s="5">
        <v>45930</v>
      </c>
      <c r="I384" s="5" t="str">
        <f t="shared" si="94"/>
        <v>Achieved</v>
      </c>
      <c r="J384" s="14">
        <f t="shared" si="95"/>
        <v>18</v>
      </c>
      <c r="K384" s="14">
        <f t="shared" si="82"/>
        <v>18</v>
      </c>
      <c r="L384" s="3" t="s">
        <v>646</v>
      </c>
      <c r="M384" s="3" t="s">
        <v>651</v>
      </c>
      <c r="N384" s="3" t="s">
        <v>693</v>
      </c>
      <c r="O384" s="3" t="s">
        <v>702</v>
      </c>
      <c r="P384" s="3" t="s">
        <v>708</v>
      </c>
      <c r="Q384" s="3" t="s">
        <v>720</v>
      </c>
      <c r="R384" s="3" t="s">
        <v>731</v>
      </c>
      <c r="S384" s="3" t="s">
        <v>982</v>
      </c>
      <c r="T384" s="21">
        <v>1212.99</v>
      </c>
      <c r="U384" s="21" t="str">
        <f t="shared" si="96"/>
        <v>Medium</v>
      </c>
      <c r="V384">
        <f t="shared" si="83"/>
        <v>1653.64</v>
      </c>
      <c r="W384" s="7">
        <v>1653.64</v>
      </c>
      <c r="X384" s="8">
        <v>0.107</v>
      </c>
      <c r="Y384" s="14">
        <v>8</v>
      </c>
      <c r="Z384" s="7">
        <f t="shared" si="84"/>
        <v>176.93948</v>
      </c>
      <c r="AA384" s="7">
        <f t="shared" si="85"/>
        <v>11813.604160000001</v>
      </c>
      <c r="AB384" s="7">
        <f t="shared" si="86"/>
        <v>11636.664680000002</v>
      </c>
      <c r="AC384" s="7">
        <f t="shared" si="87"/>
        <v>9703.92</v>
      </c>
      <c r="AD384" s="7">
        <f t="shared" si="88"/>
        <v>2109.6841600000007</v>
      </c>
      <c r="AE384" s="7">
        <f t="shared" si="89"/>
        <v>1932.7446800000016</v>
      </c>
      <c r="AF384" s="26">
        <f t="shared" si="90"/>
        <v>1.2174053537127265</v>
      </c>
      <c r="AG384" s="8">
        <f>IF(DASHBOARD!$Q$7&gt;'staging data'!X384,'staging data'!X384,DASHBOARD!$Q$7)</f>
        <v>0.107</v>
      </c>
      <c r="AH384">
        <f>(100%+DASHBOARD!$Q$8)*'staging data'!T384</f>
        <v>1394.9385</v>
      </c>
      <c r="AI384">
        <f>(100%+DASHBOARD!$Q$9)*'staging data'!Y384</f>
        <v>9.6</v>
      </c>
    </row>
    <row r="385" spans="1:35" x14ac:dyDescent="0.3">
      <c r="A385" s="3" t="s">
        <v>262</v>
      </c>
      <c r="B385" s="28">
        <v>45535</v>
      </c>
      <c r="C385" s="28" t="str">
        <f t="shared" si="91"/>
        <v>Q3</v>
      </c>
      <c r="D385" s="28" t="str">
        <f t="shared" si="92"/>
        <v>2024</v>
      </c>
      <c r="E385" s="28" t="str">
        <f t="shared" si="93"/>
        <v>Nov</v>
      </c>
      <c r="F385" s="5">
        <v>45604</v>
      </c>
      <c r="G385" s="5">
        <f t="shared" si="81"/>
        <v>45604</v>
      </c>
      <c r="H385" s="5">
        <v>45604</v>
      </c>
      <c r="I385" s="5" t="str">
        <f t="shared" si="94"/>
        <v>Not achieved</v>
      </c>
      <c r="J385" s="14">
        <f t="shared" si="95"/>
        <v>0</v>
      </c>
      <c r="K385" s="14">
        <f t="shared" si="82"/>
        <v>0</v>
      </c>
      <c r="L385" s="3" t="s">
        <v>645</v>
      </c>
      <c r="M385" s="3" t="s">
        <v>649</v>
      </c>
      <c r="N385" s="3" t="s">
        <v>677</v>
      </c>
      <c r="O385" s="3" t="s">
        <v>705</v>
      </c>
      <c r="P385" s="3" t="s">
        <v>708</v>
      </c>
      <c r="Q385" s="3" t="s">
        <v>723</v>
      </c>
      <c r="R385" s="3" t="s">
        <v>728</v>
      </c>
      <c r="S385" s="3" t="s">
        <v>981</v>
      </c>
      <c r="T385" s="21">
        <v>803.28</v>
      </c>
      <c r="U385" s="21" t="str">
        <f t="shared" si="96"/>
        <v>Medium</v>
      </c>
      <c r="V385">
        <f t="shared" si="83"/>
        <v>1009</v>
      </c>
      <c r="W385" s="7">
        <v>1009</v>
      </c>
      <c r="X385" s="8">
        <v>0.11</v>
      </c>
      <c r="Y385" s="14">
        <v>4</v>
      </c>
      <c r="Z385" s="7">
        <f t="shared" si="84"/>
        <v>110.99</v>
      </c>
      <c r="AA385" s="7">
        <f t="shared" si="85"/>
        <v>3592.04</v>
      </c>
      <c r="AB385" s="7">
        <f t="shared" si="86"/>
        <v>3481.05</v>
      </c>
      <c r="AC385" s="7">
        <f t="shared" si="87"/>
        <v>3213.12</v>
      </c>
      <c r="AD385" s="7">
        <f t="shared" si="88"/>
        <v>378.92000000000007</v>
      </c>
      <c r="AE385" s="7">
        <f t="shared" si="89"/>
        <v>267.93000000000029</v>
      </c>
      <c r="AF385" s="26">
        <f t="shared" si="90"/>
        <v>1.117928991136341</v>
      </c>
      <c r="AG385" s="8">
        <f>IF(DASHBOARD!$Q$7&gt;'staging data'!X385,'staging data'!X385,DASHBOARD!$Q$7)</f>
        <v>0.11</v>
      </c>
      <c r="AH385">
        <f>(100%+DASHBOARD!$Q$8)*'staging data'!T385</f>
        <v>923.77199999999993</v>
      </c>
      <c r="AI385">
        <f>(100%+DASHBOARD!$Q$9)*'staging data'!Y385</f>
        <v>4.8</v>
      </c>
    </row>
    <row r="386" spans="1:35" x14ac:dyDescent="0.3">
      <c r="A386" s="3" t="s">
        <v>261</v>
      </c>
      <c r="B386" s="28">
        <v>45537</v>
      </c>
      <c r="C386" s="28" t="str">
        <f t="shared" si="91"/>
        <v>Q3</v>
      </c>
      <c r="D386" s="28" t="str">
        <f t="shared" si="92"/>
        <v>2025</v>
      </c>
      <c r="E386" s="28" t="str">
        <f t="shared" si="93"/>
        <v>Apr</v>
      </c>
      <c r="F386" s="5">
        <v>45769</v>
      </c>
      <c r="G386" s="5">
        <f t="shared" ref="G386:G449" si="97">IF(H386&gt;=F386, H386, (H386-K386))</f>
        <v>45779</v>
      </c>
      <c r="H386" s="5">
        <v>45779</v>
      </c>
      <c r="I386" s="5" t="str">
        <f t="shared" si="94"/>
        <v>Achieved</v>
      </c>
      <c r="J386" s="14">
        <f t="shared" si="95"/>
        <v>10</v>
      </c>
      <c r="K386" s="14">
        <f t="shared" ref="K386:K449" si="98">_xlfn.DAYS(H386,F386)</f>
        <v>10</v>
      </c>
      <c r="L386" s="3" t="s">
        <v>648</v>
      </c>
      <c r="M386" s="3" t="s">
        <v>655</v>
      </c>
      <c r="N386" s="3" t="s">
        <v>670</v>
      </c>
      <c r="O386" s="3" t="s">
        <v>700</v>
      </c>
      <c r="P386" s="3" t="s">
        <v>708</v>
      </c>
      <c r="Q386" s="3" t="s">
        <v>711</v>
      </c>
      <c r="R386" s="3" t="s">
        <v>731</v>
      </c>
      <c r="S386" s="3" t="s">
        <v>980</v>
      </c>
      <c r="T386" s="21">
        <v>20.149999999999999</v>
      </c>
      <c r="U386" s="21" t="str">
        <f t="shared" si="96"/>
        <v>Low</v>
      </c>
      <c r="V386">
        <f t="shared" ref="V386:V449" si="99">ABS(W386)</f>
        <v>39.74</v>
      </c>
      <c r="W386" s="7">
        <v>39.74</v>
      </c>
      <c r="X386" s="8">
        <v>0.151</v>
      </c>
      <c r="Y386" s="14">
        <v>18</v>
      </c>
      <c r="Z386" s="7">
        <f t="shared" ref="Z386:Z449" si="100">X386*V386</f>
        <v>6.0007400000000004</v>
      </c>
      <c r="AA386" s="7">
        <f t="shared" ref="AA386:AA449" si="101">(V386*Y386)*(1-X386)</f>
        <v>607.30668000000003</v>
      </c>
      <c r="AB386" s="7">
        <f t="shared" ref="AB386:AB449" si="102">AA386-Z386</f>
        <v>601.30594000000008</v>
      </c>
      <c r="AC386" s="7">
        <f t="shared" ref="AC386:AC449" si="103">T386*Y386</f>
        <v>362.7</v>
      </c>
      <c r="AD386" s="7">
        <f t="shared" ref="AD386:AD449" si="104">AA386-AC386</f>
        <v>244.60668000000004</v>
      </c>
      <c r="AE386" s="7">
        <f t="shared" ref="AE386:AE449" si="105">AB386-AC386</f>
        <v>238.60594000000009</v>
      </c>
      <c r="AF386" s="26">
        <f t="shared" ref="AF386:AF449" si="106">IF(AA386=0,0,AA386/AC386)</f>
        <v>1.6744049627791564</v>
      </c>
      <c r="AG386" s="8">
        <f>IF(DASHBOARD!$Q$7&gt;'staging data'!X386,'staging data'!X386,DASHBOARD!$Q$7)</f>
        <v>0.151</v>
      </c>
      <c r="AH386">
        <f>(100%+DASHBOARD!$Q$8)*'staging data'!T386</f>
        <v>23.172499999999996</v>
      </c>
      <c r="AI386">
        <f>(100%+DASHBOARD!$Q$9)*'staging data'!Y386</f>
        <v>21.599999999999998</v>
      </c>
    </row>
    <row r="387" spans="1:35" x14ac:dyDescent="0.3">
      <c r="A387" s="3" t="s">
        <v>259</v>
      </c>
      <c r="B387" s="28">
        <v>45538</v>
      </c>
      <c r="C387" s="28" t="str">
        <f t="shared" ref="C387:C450" si="107">"Q" &amp; ROUNDUP(MONTH(B387)/3,0)</f>
        <v>Q3</v>
      </c>
      <c r="D387" s="28" t="str">
        <f t="shared" ref="D387:D450" si="108">TEXT(F387,"YYYY")</f>
        <v>2024</v>
      </c>
      <c r="E387" s="28" t="str">
        <f t="shared" ref="E387:E450" si="109">TEXT(F387,"MMM")</f>
        <v>Mar</v>
      </c>
      <c r="F387" s="5">
        <v>45357</v>
      </c>
      <c r="G387" s="5">
        <f t="shared" si="97"/>
        <v>45377</v>
      </c>
      <c r="H387" s="5">
        <v>45377</v>
      </c>
      <c r="I387" s="5" t="str">
        <f t="shared" ref="I387:I450" si="110">IF(J387&gt;=7,"Achieved","Not achieved")</f>
        <v>Achieved</v>
      </c>
      <c r="J387" s="14">
        <f t="shared" ref="J387:J450" si="111">_xlfn.DAYS(G387,F387)</f>
        <v>20</v>
      </c>
      <c r="K387" s="14">
        <f t="shared" si="98"/>
        <v>20</v>
      </c>
      <c r="L387" s="3" t="s">
        <v>645</v>
      </c>
      <c r="M387" s="3" t="s">
        <v>650</v>
      </c>
      <c r="N387" s="3" t="s">
        <v>662</v>
      </c>
      <c r="O387" s="3" t="s">
        <v>703</v>
      </c>
      <c r="P387" s="3" t="s">
        <v>708</v>
      </c>
      <c r="Q387" s="3" t="s">
        <v>713</v>
      </c>
      <c r="R387" s="3" t="s">
        <v>729</v>
      </c>
      <c r="S387" s="3" t="s">
        <v>978</v>
      </c>
      <c r="T387" s="21">
        <v>65.64</v>
      </c>
      <c r="U387" s="21" t="str">
        <f t="shared" si="96"/>
        <v>Low</v>
      </c>
      <c r="V387">
        <f t="shared" si="99"/>
        <v>151.88</v>
      </c>
      <c r="W387" s="7">
        <v>151.88</v>
      </c>
      <c r="X387" s="8">
        <v>0.16700000000000001</v>
      </c>
      <c r="Y387" s="14">
        <v>23</v>
      </c>
      <c r="Z387" s="7">
        <f t="shared" si="100"/>
        <v>25.363960000000002</v>
      </c>
      <c r="AA387" s="7">
        <f t="shared" si="101"/>
        <v>2909.8689199999999</v>
      </c>
      <c r="AB387" s="7">
        <f t="shared" si="102"/>
        <v>2884.5049599999998</v>
      </c>
      <c r="AC387" s="7">
        <f t="shared" si="103"/>
        <v>1509.72</v>
      </c>
      <c r="AD387" s="7">
        <f t="shared" si="104"/>
        <v>1400.1489199999999</v>
      </c>
      <c r="AE387" s="7">
        <f t="shared" si="105"/>
        <v>1374.7849599999997</v>
      </c>
      <c r="AF387" s="26">
        <f t="shared" si="106"/>
        <v>1.9274229128580134</v>
      </c>
      <c r="AG387" s="8">
        <f>IF(DASHBOARD!$Q$7&gt;'staging data'!X387,'staging data'!X387,DASHBOARD!$Q$7)</f>
        <v>0.16700000000000001</v>
      </c>
      <c r="AH387">
        <f>(100%+DASHBOARD!$Q$8)*'staging data'!T387</f>
        <v>75.48599999999999</v>
      </c>
      <c r="AI387">
        <f>(100%+DASHBOARD!$Q$9)*'staging data'!Y387</f>
        <v>27.599999999999998</v>
      </c>
    </row>
    <row r="388" spans="1:35" x14ac:dyDescent="0.3">
      <c r="A388" s="3" t="s">
        <v>260</v>
      </c>
      <c r="B388" s="28">
        <v>45538</v>
      </c>
      <c r="C388" s="28" t="str">
        <f t="shared" si="107"/>
        <v>Q3</v>
      </c>
      <c r="D388" s="28" t="str">
        <f t="shared" si="108"/>
        <v>2024</v>
      </c>
      <c r="E388" s="28" t="str">
        <f t="shared" si="109"/>
        <v>Feb</v>
      </c>
      <c r="F388" s="5">
        <v>45338</v>
      </c>
      <c r="G388" s="5">
        <f t="shared" si="97"/>
        <v>45355</v>
      </c>
      <c r="H388" s="5">
        <v>45355</v>
      </c>
      <c r="I388" s="5" t="str">
        <f t="shared" si="110"/>
        <v>Achieved</v>
      </c>
      <c r="J388" s="14">
        <f t="shared" si="111"/>
        <v>17</v>
      </c>
      <c r="K388" s="14">
        <f t="shared" si="98"/>
        <v>17</v>
      </c>
      <c r="L388" s="3" t="s">
        <v>647</v>
      </c>
      <c r="M388" s="3" t="s">
        <v>652</v>
      </c>
      <c r="N388" s="3" t="s">
        <v>680</v>
      </c>
      <c r="O388" s="3" t="s">
        <v>702</v>
      </c>
      <c r="P388" s="3" t="s">
        <v>706</v>
      </c>
      <c r="Q388" s="3" t="s">
        <v>725</v>
      </c>
      <c r="R388" s="3" t="s">
        <v>730</v>
      </c>
      <c r="S388" s="3" t="s">
        <v>979</v>
      </c>
      <c r="T388" s="21">
        <v>1350.98</v>
      </c>
      <c r="U388" s="21" t="str">
        <f t="shared" ref="U388:U451" si="112">IF(V388&lt;=QUARTILE(V388:V1017,1),"Low",IF(V388&gt;=QUARTILE(V388:V1017,3),"High","Medium"))</f>
        <v>High</v>
      </c>
      <c r="V388">
        <f t="shared" si="99"/>
        <v>2210.4</v>
      </c>
      <c r="W388" s="7">
        <v>2210.4</v>
      </c>
      <c r="X388" s="8">
        <v>0.26300000000000001</v>
      </c>
      <c r="Y388" s="14">
        <v>6</v>
      </c>
      <c r="Z388" s="7">
        <f t="shared" si="100"/>
        <v>581.3352000000001</v>
      </c>
      <c r="AA388" s="7">
        <f t="shared" si="101"/>
        <v>9774.3888000000006</v>
      </c>
      <c r="AB388" s="7">
        <f t="shared" si="102"/>
        <v>9193.0536000000011</v>
      </c>
      <c r="AC388" s="7">
        <f t="shared" si="103"/>
        <v>8105.88</v>
      </c>
      <c r="AD388" s="7">
        <f t="shared" si="104"/>
        <v>1668.5088000000005</v>
      </c>
      <c r="AE388" s="7">
        <f t="shared" si="105"/>
        <v>1087.173600000001</v>
      </c>
      <c r="AF388" s="26">
        <f t="shared" si="106"/>
        <v>1.2058393166442138</v>
      </c>
      <c r="AG388" s="8">
        <f>IF(DASHBOARD!$Q$7&gt;'staging data'!X388,'staging data'!X388,DASHBOARD!$Q$7)</f>
        <v>0.2</v>
      </c>
      <c r="AH388">
        <f>(100%+DASHBOARD!$Q$8)*'staging data'!T388</f>
        <v>1553.627</v>
      </c>
      <c r="AI388">
        <f>(100%+DASHBOARD!$Q$9)*'staging data'!Y388</f>
        <v>7.1999999999999993</v>
      </c>
    </row>
    <row r="389" spans="1:35" x14ac:dyDescent="0.3">
      <c r="A389" s="3" t="s">
        <v>258</v>
      </c>
      <c r="B389" s="28">
        <v>45540</v>
      </c>
      <c r="C389" s="28" t="str">
        <f t="shared" si="107"/>
        <v>Q3</v>
      </c>
      <c r="D389" s="28" t="str">
        <f t="shared" si="108"/>
        <v>2023</v>
      </c>
      <c r="E389" s="28" t="str">
        <f t="shared" si="109"/>
        <v>Apr</v>
      </c>
      <c r="F389" s="5">
        <v>45035</v>
      </c>
      <c r="G389" s="5">
        <f t="shared" si="97"/>
        <v>45044</v>
      </c>
      <c r="H389" s="5">
        <v>45044</v>
      </c>
      <c r="I389" s="5" t="str">
        <f t="shared" si="110"/>
        <v>Achieved</v>
      </c>
      <c r="J389" s="14">
        <f t="shared" si="111"/>
        <v>9</v>
      </c>
      <c r="K389" s="14">
        <f t="shared" si="98"/>
        <v>9</v>
      </c>
      <c r="L389" s="3" t="s">
        <v>647</v>
      </c>
      <c r="M389" s="3" t="s">
        <v>654</v>
      </c>
      <c r="N389" s="3" t="s">
        <v>691</v>
      </c>
      <c r="O389" s="3" t="s">
        <v>700</v>
      </c>
      <c r="P389" s="3" t="s">
        <v>709</v>
      </c>
      <c r="Q389" s="3" t="s">
        <v>723</v>
      </c>
      <c r="R389" s="3" t="s">
        <v>729</v>
      </c>
      <c r="S389" s="3" t="s">
        <v>977</v>
      </c>
      <c r="T389" s="21">
        <v>1013.54</v>
      </c>
      <c r="U389" s="21" t="str">
        <f t="shared" si="112"/>
        <v>Medium</v>
      </c>
      <c r="V389">
        <f t="shared" si="99"/>
        <v>927.93</v>
      </c>
      <c r="W389" s="7">
        <v>927.93</v>
      </c>
      <c r="X389" s="8">
        <v>0.17499999999999999</v>
      </c>
      <c r="Y389" s="14">
        <v>16</v>
      </c>
      <c r="Z389" s="7">
        <f t="shared" si="100"/>
        <v>162.38774999999998</v>
      </c>
      <c r="AA389" s="7">
        <f t="shared" si="101"/>
        <v>12248.675999999999</v>
      </c>
      <c r="AB389" s="7">
        <f t="shared" si="102"/>
        <v>12086.28825</v>
      </c>
      <c r="AC389" s="7">
        <f t="shared" si="103"/>
        <v>16216.64</v>
      </c>
      <c r="AD389" s="7">
        <f t="shared" si="104"/>
        <v>-3967.9639999999999</v>
      </c>
      <c r="AE389" s="7">
        <f t="shared" si="105"/>
        <v>-4130.3517499999998</v>
      </c>
      <c r="AF389" s="26">
        <f t="shared" si="106"/>
        <v>0.75531528109398738</v>
      </c>
      <c r="AG389" s="8">
        <f>IF(DASHBOARD!$Q$7&gt;'staging data'!X389,'staging data'!X389,DASHBOARD!$Q$7)</f>
        <v>0.17499999999999999</v>
      </c>
      <c r="AH389">
        <f>(100%+DASHBOARD!$Q$8)*'staging data'!T389</f>
        <v>1165.5709999999999</v>
      </c>
      <c r="AI389">
        <f>(100%+DASHBOARD!$Q$9)*'staging data'!Y389</f>
        <v>19.2</v>
      </c>
    </row>
    <row r="390" spans="1:35" x14ac:dyDescent="0.3">
      <c r="A390" s="3" t="s">
        <v>256</v>
      </c>
      <c r="B390" s="28">
        <v>45541</v>
      </c>
      <c r="C390" s="28" t="str">
        <f t="shared" si="107"/>
        <v>Q3</v>
      </c>
      <c r="D390" s="28" t="str">
        <f t="shared" si="108"/>
        <v>2025</v>
      </c>
      <c r="E390" s="28" t="str">
        <f t="shared" si="109"/>
        <v>Aug</v>
      </c>
      <c r="F390" s="5">
        <v>45871</v>
      </c>
      <c r="G390" s="5">
        <f t="shared" si="97"/>
        <v>45877</v>
      </c>
      <c r="H390" s="5">
        <v>45877</v>
      </c>
      <c r="I390" s="5" t="str">
        <f t="shared" si="110"/>
        <v>Not achieved</v>
      </c>
      <c r="J390" s="14">
        <f t="shared" si="111"/>
        <v>6</v>
      </c>
      <c r="K390" s="14">
        <f t="shared" si="98"/>
        <v>6</v>
      </c>
      <c r="L390" s="3" t="s">
        <v>646</v>
      </c>
      <c r="M390" s="3" t="s">
        <v>651</v>
      </c>
      <c r="N390" s="3" t="s">
        <v>665</v>
      </c>
      <c r="O390" s="3" t="s">
        <v>703</v>
      </c>
      <c r="P390" s="3" t="s">
        <v>710</v>
      </c>
      <c r="Q390" s="3" t="s">
        <v>724</v>
      </c>
      <c r="R390" s="3" t="s">
        <v>730</v>
      </c>
      <c r="S390" s="3" t="s">
        <v>975</v>
      </c>
      <c r="T390" s="21">
        <v>1225.94</v>
      </c>
      <c r="U390" s="21" t="str">
        <f t="shared" si="112"/>
        <v>Medium</v>
      </c>
      <c r="V390">
        <f t="shared" si="99"/>
        <v>1793.08</v>
      </c>
      <c r="W390" s="7">
        <v>1793.08</v>
      </c>
      <c r="X390" s="8">
        <v>0.13600000000000001</v>
      </c>
      <c r="Y390" s="14">
        <v>22</v>
      </c>
      <c r="Z390" s="7">
        <f t="shared" si="100"/>
        <v>243.85888</v>
      </c>
      <c r="AA390" s="7">
        <f t="shared" si="101"/>
        <v>34082.864639999993</v>
      </c>
      <c r="AB390" s="7">
        <f t="shared" si="102"/>
        <v>33839.005759999993</v>
      </c>
      <c r="AC390" s="7">
        <f t="shared" si="103"/>
        <v>26970.68</v>
      </c>
      <c r="AD390" s="7">
        <f t="shared" si="104"/>
        <v>7112.1846399999922</v>
      </c>
      <c r="AE390" s="7">
        <f t="shared" si="105"/>
        <v>6868.3257599999924</v>
      </c>
      <c r="AF390" s="26">
        <f t="shared" si="106"/>
        <v>1.2637006052498487</v>
      </c>
      <c r="AG390" s="8">
        <f>IF(DASHBOARD!$Q$7&gt;'staging data'!X390,'staging data'!X390,DASHBOARD!$Q$7)</f>
        <v>0.13600000000000001</v>
      </c>
      <c r="AH390">
        <f>(100%+DASHBOARD!$Q$8)*'staging data'!T390</f>
        <v>1409.8309999999999</v>
      </c>
      <c r="AI390">
        <f>(100%+DASHBOARD!$Q$9)*'staging data'!Y390</f>
        <v>26.4</v>
      </c>
    </row>
    <row r="391" spans="1:35" x14ac:dyDescent="0.3">
      <c r="A391" s="3" t="s">
        <v>257</v>
      </c>
      <c r="B391" s="28">
        <v>45541</v>
      </c>
      <c r="C391" s="28" t="str">
        <f t="shared" si="107"/>
        <v>Q3</v>
      </c>
      <c r="D391" s="28" t="str">
        <f t="shared" si="108"/>
        <v>2024</v>
      </c>
      <c r="E391" s="28" t="str">
        <f t="shared" si="109"/>
        <v>Dec</v>
      </c>
      <c r="F391" s="5">
        <v>45630</v>
      </c>
      <c r="G391" s="5">
        <f t="shared" si="97"/>
        <v>45638</v>
      </c>
      <c r="H391" s="5">
        <v>45638</v>
      </c>
      <c r="I391" s="5" t="str">
        <f t="shared" si="110"/>
        <v>Achieved</v>
      </c>
      <c r="J391" s="14">
        <f t="shared" si="111"/>
        <v>8</v>
      </c>
      <c r="K391" s="14">
        <f t="shared" si="98"/>
        <v>8</v>
      </c>
      <c r="L391" s="3" t="s">
        <v>648</v>
      </c>
      <c r="M391" s="3" t="s">
        <v>655</v>
      </c>
      <c r="N391" s="3" t="s">
        <v>697</v>
      </c>
      <c r="O391" s="3" t="s">
        <v>705</v>
      </c>
      <c r="P391" s="3" t="s">
        <v>708</v>
      </c>
      <c r="Q391" s="3" t="s">
        <v>716</v>
      </c>
      <c r="R391" s="3" t="s">
        <v>727</v>
      </c>
      <c r="S391" s="3" t="s">
        <v>976</v>
      </c>
      <c r="T391" s="21">
        <v>72.06</v>
      </c>
      <c r="U391" s="21" t="str">
        <f t="shared" si="112"/>
        <v>Low</v>
      </c>
      <c r="V391">
        <f t="shared" si="99"/>
        <v>122.74</v>
      </c>
      <c r="W391" s="7">
        <v>122.74</v>
      </c>
      <c r="X391" s="8">
        <v>0.23799999999999999</v>
      </c>
      <c r="Y391" s="14">
        <v>8</v>
      </c>
      <c r="Z391" s="7">
        <f t="shared" si="100"/>
        <v>29.212119999999999</v>
      </c>
      <c r="AA391" s="7">
        <f t="shared" si="101"/>
        <v>748.22303999999997</v>
      </c>
      <c r="AB391" s="7">
        <f t="shared" si="102"/>
        <v>719.01091999999994</v>
      </c>
      <c r="AC391" s="7">
        <f t="shared" si="103"/>
        <v>576.48</v>
      </c>
      <c r="AD391" s="7">
        <f t="shared" si="104"/>
        <v>171.74303999999995</v>
      </c>
      <c r="AE391" s="7">
        <f t="shared" si="105"/>
        <v>142.53091999999992</v>
      </c>
      <c r="AF391" s="26">
        <f t="shared" si="106"/>
        <v>1.2979167360532888</v>
      </c>
      <c r="AG391" s="8">
        <f>IF(DASHBOARD!$Q$7&gt;'staging data'!X391,'staging data'!X391,DASHBOARD!$Q$7)</f>
        <v>0.2</v>
      </c>
      <c r="AH391">
        <f>(100%+DASHBOARD!$Q$8)*'staging data'!T391</f>
        <v>82.869</v>
      </c>
      <c r="AI391">
        <f>(100%+DASHBOARD!$Q$9)*'staging data'!Y391</f>
        <v>9.6</v>
      </c>
    </row>
    <row r="392" spans="1:35" x14ac:dyDescent="0.3">
      <c r="A392" s="3" t="s">
        <v>254</v>
      </c>
      <c r="B392" s="28">
        <v>45542</v>
      </c>
      <c r="C392" s="28" t="str">
        <f t="shared" si="107"/>
        <v>Q3</v>
      </c>
      <c r="D392" s="28" t="str">
        <f t="shared" si="108"/>
        <v>2023</v>
      </c>
      <c r="E392" s="28" t="str">
        <f t="shared" si="109"/>
        <v>Sept</v>
      </c>
      <c r="F392" s="5">
        <v>45188</v>
      </c>
      <c r="G392" s="5">
        <f t="shared" si="97"/>
        <v>45207</v>
      </c>
      <c r="H392" s="5">
        <v>45207</v>
      </c>
      <c r="I392" s="5" t="str">
        <f t="shared" si="110"/>
        <v>Achieved</v>
      </c>
      <c r="J392" s="14">
        <f t="shared" si="111"/>
        <v>19</v>
      </c>
      <c r="K392" s="14">
        <f t="shared" si="98"/>
        <v>19</v>
      </c>
      <c r="L392" s="3" t="s">
        <v>646</v>
      </c>
      <c r="M392" s="3" t="s">
        <v>653</v>
      </c>
      <c r="N392" s="3" t="s">
        <v>667</v>
      </c>
      <c r="O392" s="3" t="s">
        <v>701</v>
      </c>
      <c r="P392" s="3" t="s">
        <v>710</v>
      </c>
      <c r="Q392" s="3" t="s">
        <v>712</v>
      </c>
      <c r="R392" s="3" t="s">
        <v>727</v>
      </c>
      <c r="S392" s="3" t="s">
        <v>973</v>
      </c>
      <c r="T392" s="21">
        <v>385.32</v>
      </c>
      <c r="U392" s="21" t="str">
        <f t="shared" si="112"/>
        <v>Medium</v>
      </c>
      <c r="V392">
        <f t="shared" si="99"/>
        <v>606.76</v>
      </c>
      <c r="W392" s="7">
        <v>606.76</v>
      </c>
      <c r="X392" s="8">
        <v>8.5999999999999993E-2</v>
      </c>
      <c r="Y392" s="14">
        <v>8</v>
      </c>
      <c r="Z392" s="7">
        <f t="shared" si="100"/>
        <v>52.181359999999998</v>
      </c>
      <c r="AA392" s="7">
        <f t="shared" si="101"/>
        <v>4436.6291200000005</v>
      </c>
      <c r="AB392" s="7">
        <f t="shared" si="102"/>
        <v>4384.4477600000009</v>
      </c>
      <c r="AC392" s="7">
        <f t="shared" si="103"/>
        <v>3082.56</v>
      </c>
      <c r="AD392" s="7">
        <f t="shared" si="104"/>
        <v>1354.0691200000006</v>
      </c>
      <c r="AE392" s="7">
        <f t="shared" si="105"/>
        <v>1301.887760000001</v>
      </c>
      <c r="AF392" s="26">
        <f t="shared" si="106"/>
        <v>1.4392677255268351</v>
      </c>
      <c r="AG392" s="8">
        <f>IF(DASHBOARD!$Q$7&gt;'staging data'!X392,'staging data'!X392,DASHBOARD!$Q$7)</f>
        <v>8.5999999999999993E-2</v>
      </c>
      <c r="AH392">
        <f>(100%+DASHBOARD!$Q$8)*'staging data'!T392</f>
        <v>443.11799999999994</v>
      </c>
      <c r="AI392">
        <f>(100%+DASHBOARD!$Q$9)*'staging data'!Y392</f>
        <v>9.6</v>
      </c>
    </row>
    <row r="393" spans="1:35" x14ac:dyDescent="0.3">
      <c r="A393" s="3" t="s">
        <v>255</v>
      </c>
      <c r="B393" s="28">
        <v>45542</v>
      </c>
      <c r="C393" s="28" t="str">
        <f t="shared" si="107"/>
        <v>Q3</v>
      </c>
      <c r="D393" s="28" t="str">
        <f t="shared" si="108"/>
        <v>2025</v>
      </c>
      <c r="E393" s="28" t="str">
        <f t="shared" si="109"/>
        <v>May</v>
      </c>
      <c r="F393" s="5">
        <v>45793</v>
      </c>
      <c r="G393" s="5">
        <f t="shared" si="97"/>
        <v>45804</v>
      </c>
      <c r="H393" s="5">
        <v>45804</v>
      </c>
      <c r="I393" s="5" t="str">
        <f t="shared" si="110"/>
        <v>Achieved</v>
      </c>
      <c r="J393" s="14">
        <f t="shared" si="111"/>
        <v>11</v>
      </c>
      <c r="K393" s="14">
        <f t="shared" si="98"/>
        <v>11</v>
      </c>
      <c r="L393" s="3" t="s">
        <v>646</v>
      </c>
      <c r="M393" s="3" t="s">
        <v>658</v>
      </c>
      <c r="N393" s="3" t="s">
        <v>698</v>
      </c>
      <c r="O393" s="3" t="s">
        <v>705</v>
      </c>
      <c r="P393" s="3" t="s">
        <v>707</v>
      </c>
      <c r="Q393" s="3" t="s">
        <v>720</v>
      </c>
      <c r="R393" s="3" t="s">
        <v>729</v>
      </c>
      <c r="S393" s="3" t="s">
        <v>974</v>
      </c>
      <c r="T393" s="21">
        <v>918.12</v>
      </c>
      <c r="U393" s="21" t="str">
        <f t="shared" si="112"/>
        <v>Medium</v>
      </c>
      <c r="V393">
        <f t="shared" si="99"/>
        <v>1337.69</v>
      </c>
      <c r="W393" s="7">
        <v>1337.69</v>
      </c>
      <c r="X393" s="8">
        <v>9.5000000000000001E-2</v>
      </c>
      <c r="Y393" s="14">
        <v>8</v>
      </c>
      <c r="Z393" s="7">
        <f t="shared" si="100"/>
        <v>127.08055</v>
      </c>
      <c r="AA393" s="7">
        <f t="shared" si="101"/>
        <v>9684.8756000000012</v>
      </c>
      <c r="AB393" s="7">
        <f t="shared" si="102"/>
        <v>9557.7950500000006</v>
      </c>
      <c r="AC393" s="7">
        <f t="shared" si="103"/>
        <v>7344.96</v>
      </c>
      <c r="AD393" s="7">
        <f t="shared" si="104"/>
        <v>2339.9156000000012</v>
      </c>
      <c r="AE393" s="7">
        <f t="shared" si="105"/>
        <v>2212.8350500000006</v>
      </c>
      <c r="AF393" s="26">
        <f t="shared" si="106"/>
        <v>1.31857431490437</v>
      </c>
      <c r="AG393" s="8">
        <f>IF(DASHBOARD!$Q$7&gt;'staging data'!X393,'staging data'!X393,DASHBOARD!$Q$7)</f>
        <v>9.5000000000000001E-2</v>
      </c>
      <c r="AH393">
        <f>(100%+DASHBOARD!$Q$8)*'staging data'!T393</f>
        <v>1055.838</v>
      </c>
      <c r="AI393">
        <f>(100%+DASHBOARD!$Q$9)*'staging data'!Y393</f>
        <v>9.6</v>
      </c>
    </row>
    <row r="394" spans="1:35" x14ac:dyDescent="0.3">
      <c r="A394" s="3" t="s">
        <v>251</v>
      </c>
      <c r="B394" s="28">
        <v>45544</v>
      </c>
      <c r="C394" s="28" t="str">
        <f t="shared" si="107"/>
        <v>Q3</v>
      </c>
      <c r="D394" s="28" t="str">
        <f t="shared" si="108"/>
        <v>2025</v>
      </c>
      <c r="E394" s="28" t="str">
        <f t="shared" si="109"/>
        <v>Jul</v>
      </c>
      <c r="F394" s="5">
        <v>45855</v>
      </c>
      <c r="G394" s="5">
        <f t="shared" si="97"/>
        <v>45861</v>
      </c>
      <c r="H394" s="5">
        <v>45861</v>
      </c>
      <c r="I394" s="5" t="str">
        <f t="shared" si="110"/>
        <v>Not achieved</v>
      </c>
      <c r="J394" s="14">
        <f t="shared" si="111"/>
        <v>6</v>
      </c>
      <c r="K394" s="14">
        <f t="shared" si="98"/>
        <v>6</v>
      </c>
      <c r="L394" s="3" t="s">
        <v>647</v>
      </c>
      <c r="M394" s="3" t="s">
        <v>652</v>
      </c>
      <c r="N394" s="3" t="s">
        <v>687</v>
      </c>
      <c r="O394" s="3" t="s">
        <v>703</v>
      </c>
      <c r="P394" s="3" t="s">
        <v>707</v>
      </c>
      <c r="Q394" s="3" t="s">
        <v>721</v>
      </c>
      <c r="R394" s="3" t="s">
        <v>726</v>
      </c>
      <c r="S394" s="3" t="s">
        <v>970</v>
      </c>
      <c r="T394" s="21">
        <v>1364.89</v>
      </c>
      <c r="U394" s="21" t="str">
        <f t="shared" si="112"/>
        <v>High</v>
      </c>
      <c r="V394">
        <f t="shared" si="99"/>
        <v>2757.54</v>
      </c>
      <c r="W394" s="7">
        <v>2757.54</v>
      </c>
      <c r="X394" s="8">
        <v>0.17199999999999999</v>
      </c>
      <c r="Y394" s="14">
        <v>61</v>
      </c>
      <c r="Z394" s="7">
        <f t="shared" si="100"/>
        <v>474.29687999999993</v>
      </c>
      <c r="AA394" s="7">
        <f t="shared" si="101"/>
        <v>139277.83032000001</v>
      </c>
      <c r="AB394" s="7">
        <f t="shared" si="102"/>
        <v>138803.53344</v>
      </c>
      <c r="AC394" s="7">
        <f t="shared" si="103"/>
        <v>83258.290000000008</v>
      </c>
      <c r="AD394" s="7">
        <f t="shared" si="104"/>
        <v>56019.54032</v>
      </c>
      <c r="AE394" s="7">
        <f t="shared" si="105"/>
        <v>55545.243439999991</v>
      </c>
      <c r="AF394" s="26">
        <f t="shared" si="106"/>
        <v>1.672840390068064</v>
      </c>
      <c r="AG394" s="8">
        <f>IF(DASHBOARD!$Q$7&gt;'staging data'!X394,'staging data'!X394,DASHBOARD!$Q$7)</f>
        <v>0.17199999999999999</v>
      </c>
      <c r="AH394">
        <f>(100%+DASHBOARD!$Q$8)*'staging data'!T394</f>
        <v>1569.6234999999999</v>
      </c>
      <c r="AI394">
        <f>(100%+DASHBOARD!$Q$9)*'staging data'!Y394</f>
        <v>73.2</v>
      </c>
    </row>
    <row r="395" spans="1:35" x14ac:dyDescent="0.3">
      <c r="A395" s="3" t="s">
        <v>252</v>
      </c>
      <c r="B395" s="28">
        <v>45544</v>
      </c>
      <c r="C395" s="28" t="str">
        <f t="shared" si="107"/>
        <v>Q3</v>
      </c>
      <c r="D395" s="28" t="str">
        <f t="shared" si="108"/>
        <v>2023</v>
      </c>
      <c r="E395" s="28" t="str">
        <f t="shared" si="109"/>
        <v>Nov</v>
      </c>
      <c r="F395" s="5">
        <v>45258</v>
      </c>
      <c r="G395" s="5">
        <f t="shared" si="97"/>
        <v>45267</v>
      </c>
      <c r="H395" s="5">
        <v>45267</v>
      </c>
      <c r="I395" s="5" t="str">
        <f t="shared" si="110"/>
        <v>Achieved</v>
      </c>
      <c r="J395" s="14">
        <f t="shared" si="111"/>
        <v>9</v>
      </c>
      <c r="K395" s="14">
        <f t="shared" si="98"/>
        <v>9</v>
      </c>
      <c r="L395" s="3" t="s">
        <v>646</v>
      </c>
      <c r="M395" s="3" t="s">
        <v>653</v>
      </c>
      <c r="N395" s="3" t="s">
        <v>679</v>
      </c>
      <c r="O395" s="3" t="s">
        <v>705</v>
      </c>
      <c r="P395" s="3" t="s">
        <v>708</v>
      </c>
      <c r="Q395" s="3" t="s">
        <v>715</v>
      </c>
      <c r="R395" s="3" t="s">
        <v>729</v>
      </c>
      <c r="S395" s="3" t="s">
        <v>971</v>
      </c>
      <c r="T395" s="21">
        <v>699.33</v>
      </c>
      <c r="U395" s="21" t="str">
        <f t="shared" si="112"/>
        <v>Medium</v>
      </c>
      <c r="V395">
        <f t="shared" si="99"/>
        <v>873.75</v>
      </c>
      <c r="W395" s="7">
        <v>873.75</v>
      </c>
      <c r="X395" s="8">
        <v>0.23499999999999999</v>
      </c>
      <c r="Y395" s="14">
        <v>10</v>
      </c>
      <c r="Z395" s="7">
        <f t="shared" si="100"/>
        <v>205.33124999999998</v>
      </c>
      <c r="AA395" s="7">
        <f t="shared" si="101"/>
        <v>6684.1875</v>
      </c>
      <c r="AB395" s="7">
        <f t="shared" si="102"/>
        <v>6478.8562499999998</v>
      </c>
      <c r="AC395" s="7">
        <f t="shared" si="103"/>
        <v>6993.3</v>
      </c>
      <c r="AD395" s="7">
        <f t="shared" si="104"/>
        <v>-309.11250000000018</v>
      </c>
      <c r="AE395" s="7">
        <f t="shared" si="105"/>
        <v>-514.44375000000036</v>
      </c>
      <c r="AF395" s="26">
        <f t="shared" si="106"/>
        <v>0.95579876453176604</v>
      </c>
      <c r="AG395" s="8">
        <f>IF(DASHBOARD!$Q$7&gt;'staging data'!X395,'staging data'!X395,DASHBOARD!$Q$7)</f>
        <v>0.2</v>
      </c>
      <c r="AH395">
        <f>(100%+DASHBOARD!$Q$8)*'staging data'!T395</f>
        <v>804.22950000000003</v>
      </c>
      <c r="AI395">
        <f>(100%+DASHBOARD!$Q$9)*'staging data'!Y395</f>
        <v>12</v>
      </c>
    </row>
    <row r="396" spans="1:35" x14ac:dyDescent="0.3">
      <c r="A396" s="3" t="s">
        <v>253</v>
      </c>
      <c r="B396" s="28">
        <v>45544</v>
      </c>
      <c r="C396" s="28" t="str">
        <f t="shared" si="107"/>
        <v>Q3</v>
      </c>
      <c r="D396" s="28" t="str">
        <f t="shared" si="108"/>
        <v>2024</v>
      </c>
      <c r="E396" s="28" t="str">
        <f t="shared" si="109"/>
        <v>Mar</v>
      </c>
      <c r="F396" s="5">
        <v>45381</v>
      </c>
      <c r="G396" s="5">
        <f t="shared" si="97"/>
        <v>45406</v>
      </c>
      <c r="H396" s="5">
        <v>45406</v>
      </c>
      <c r="I396" s="5" t="str">
        <f t="shared" si="110"/>
        <v>Achieved</v>
      </c>
      <c r="J396" s="14">
        <f t="shared" si="111"/>
        <v>25</v>
      </c>
      <c r="K396" s="14">
        <f t="shared" si="98"/>
        <v>25</v>
      </c>
      <c r="L396" s="3" t="s">
        <v>647</v>
      </c>
      <c r="M396" s="3" t="s">
        <v>659</v>
      </c>
      <c r="N396" s="3" t="s">
        <v>696</v>
      </c>
      <c r="O396" s="3" t="s">
        <v>702</v>
      </c>
      <c r="P396" s="3" t="s">
        <v>707</v>
      </c>
      <c r="Q396" s="3" t="s">
        <v>714</v>
      </c>
      <c r="R396" s="3" t="s">
        <v>730</v>
      </c>
      <c r="S396" s="3" t="s">
        <v>972</v>
      </c>
      <c r="T396" s="21">
        <v>160.82</v>
      </c>
      <c r="U396" s="21" t="str">
        <f t="shared" si="112"/>
        <v>Low</v>
      </c>
      <c r="V396">
        <f t="shared" si="99"/>
        <v>258.52</v>
      </c>
      <c r="W396" s="7">
        <v>258.52</v>
      </c>
      <c r="X396" s="8">
        <v>0.13</v>
      </c>
      <c r="Y396" s="14">
        <v>17</v>
      </c>
      <c r="Z396" s="7">
        <f t="shared" si="100"/>
        <v>33.607599999999998</v>
      </c>
      <c r="AA396" s="7">
        <f t="shared" si="101"/>
        <v>3823.5108</v>
      </c>
      <c r="AB396" s="7">
        <f t="shared" si="102"/>
        <v>3789.9032000000002</v>
      </c>
      <c r="AC396" s="7">
        <f t="shared" si="103"/>
        <v>2733.94</v>
      </c>
      <c r="AD396" s="7">
        <f t="shared" si="104"/>
        <v>1089.5708</v>
      </c>
      <c r="AE396" s="7">
        <f t="shared" si="105"/>
        <v>1055.9632000000001</v>
      </c>
      <c r="AF396" s="26">
        <f t="shared" si="106"/>
        <v>1.3985350080835717</v>
      </c>
      <c r="AG396" s="8">
        <f>IF(DASHBOARD!$Q$7&gt;'staging data'!X396,'staging data'!X396,DASHBOARD!$Q$7)</f>
        <v>0.13</v>
      </c>
      <c r="AH396">
        <f>(100%+DASHBOARD!$Q$8)*'staging data'!T396</f>
        <v>184.94299999999998</v>
      </c>
      <c r="AI396">
        <f>(100%+DASHBOARD!$Q$9)*'staging data'!Y396</f>
        <v>20.399999999999999</v>
      </c>
    </row>
    <row r="397" spans="1:35" x14ac:dyDescent="0.3">
      <c r="A397" s="3" t="s">
        <v>250</v>
      </c>
      <c r="B397" s="28">
        <v>45545</v>
      </c>
      <c r="C397" s="28" t="str">
        <f t="shared" si="107"/>
        <v>Q3</v>
      </c>
      <c r="D397" s="28" t="str">
        <f t="shared" si="108"/>
        <v>2024</v>
      </c>
      <c r="E397" s="28" t="str">
        <f t="shared" si="109"/>
        <v>Sept</v>
      </c>
      <c r="F397" s="5">
        <v>45548</v>
      </c>
      <c r="G397" s="5">
        <f t="shared" si="97"/>
        <v>45567</v>
      </c>
      <c r="H397" s="5">
        <v>45567</v>
      </c>
      <c r="I397" s="5" t="str">
        <f t="shared" si="110"/>
        <v>Achieved</v>
      </c>
      <c r="J397" s="14">
        <f t="shared" si="111"/>
        <v>19</v>
      </c>
      <c r="K397" s="14">
        <f t="shared" si="98"/>
        <v>19</v>
      </c>
      <c r="L397" s="3" t="s">
        <v>645</v>
      </c>
      <c r="M397" s="3" t="s">
        <v>649</v>
      </c>
      <c r="N397" s="3" t="s">
        <v>674</v>
      </c>
      <c r="O397" s="3" t="s">
        <v>704</v>
      </c>
      <c r="P397" s="3" t="s">
        <v>706</v>
      </c>
      <c r="Q397" s="3" t="s">
        <v>723</v>
      </c>
      <c r="R397" s="3" t="s">
        <v>729</v>
      </c>
      <c r="S397" s="3" t="s">
        <v>969</v>
      </c>
      <c r="T397" s="21">
        <v>1338.99</v>
      </c>
      <c r="U397" s="21" t="str">
        <f t="shared" si="112"/>
        <v>Medium</v>
      </c>
      <c r="V397">
        <f t="shared" si="99"/>
        <v>1765.76</v>
      </c>
      <c r="W397" s="7">
        <v>1765.76</v>
      </c>
      <c r="X397" s="8">
        <v>0.126</v>
      </c>
      <c r="Y397" s="14">
        <v>24</v>
      </c>
      <c r="Z397" s="7">
        <f t="shared" si="100"/>
        <v>222.48576</v>
      </c>
      <c r="AA397" s="7">
        <f t="shared" si="101"/>
        <v>37038.581760000001</v>
      </c>
      <c r="AB397" s="7">
        <f t="shared" si="102"/>
        <v>36816.095999999998</v>
      </c>
      <c r="AC397" s="7">
        <f t="shared" si="103"/>
        <v>32135.760000000002</v>
      </c>
      <c r="AD397" s="7">
        <f t="shared" si="104"/>
        <v>4902.8217599999989</v>
      </c>
      <c r="AE397" s="7">
        <f t="shared" si="105"/>
        <v>4680.3359999999957</v>
      </c>
      <c r="AF397" s="26">
        <f t="shared" si="106"/>
        <v>1.152565919088268</v>
      </c>
      <c r="AG397" s="8">
        <f>IF(DASHBOARD!$Q$7&gt;'staging data'!X397,'staging data'!X397,DASHBOARD!$Q$7)</f>
        <v>0.126</v>
      </c>
      <c r="AH397">
        <f>(100%+DASHBOARD!$Q$8)*'staging data'!T397</f>
        <v>1539.8384999999998</v>
      </c>
      <c r="AI397">
        <f>(100%+DASHBOARD!$Q$9)*'staging data'!Y397</f>
        <v>28.799999999999997</v>
      </c>
    </row>
    <row r="398" spans="1:35" x14ac:dyDescent="0.3">
      <c r="A398" s="3" t="s">
        <v>249</v>
      </c>
      <c r="B398" s="28">
        <v>45548</v>
      </c>
      <c r="C398" s="28" t="str">
        <f t="shared" si="107"/>
        <v>Q3</v>
      </c>
      <c r="D398" s="28" t="str">
        <f t="shared" si="108"/>
        <v>2024</v>
      </c>
      <c r="E398" s="28" t="str">
        <f t="shared" si="109"/>
        <v>Jan</v>
      </c>
      <c r="F398" s="5">
        <v>45302</v>
      </c>
      <c r="G398" s="5">
        <f t="shared" si="97"/>
        <v>45324</v>
      </c>
      <c r="H398" s="5">
        <v>45324</v>
      </c>
      <c r="I398" s="5" t="str">
        <f t="shared" si="110"/>
        <v>Achieved</v>
      </c>
      <c r="J398" s="14">
        <f t="shared" si="111"/>
        <v>22</v>
      </c>
      <c r="K398" s="14">
        <f t="shared" si="98"/>
        <v>22</v>
      </c>
      <c r="L398" s="3" t="s">
        <v>646</v>
      </c>
      <c r="M398" s="3" t="s">
        <v>651</v>
      </c>
      <c r="N398" s="3" t="s">
        <v>693</v>
      </c>
      <c r="O398" s="3" t="s">
        <v>704</v>
      </c>
      <c r="P398" s="3" t="s">
        <v>707</v>
      </c>
      <c r="Q398" s="3" t="s">
        <v>725</v>
      </c>
      <c r="R398" s="3" t="s">
        <v>727</v>
      </c>
      <c r="S398" s="3" t="s">
        <v>968</v>
      </c>
      <c r="T398" s="21">
        <v>1237.68</v>
      </c>
      <c r="U398" s="21" t="str">
        <f t="shared" si="112"/>
        <v>Medium</v>
      </c>
      <c r="V398">
        <f t="shared" si="99"/>
        <v>1432.8</v>
      </c>
      <c r="W398" s="7">
        <v>1432.8</v>
      </c>
      <c r="X398" s="8">
        <v>6.8000000000000005E-2</v>
      </c>
      <c r="Y398" s="14">
        <v>13</v>
      </c>
      <c r="Z398" s="7">
        <f t="shared" si="100"/>
        <v>97.430400000000006</v>
      </c>
      <c r="AA398" s="7">
        <f t="shared" si="101"/>
        <v>17359.804799999998</v>
      </c>
      <c r="AB398" s="7">
        <f t="shared" si="102"/>
        <v>17262.374399999997</v>
      </c>
      <c r="AC398" s="7">
        <f t="shared" si="103"/>
        <v>16089.84</v>
      </c>
      <c r="AD398" s="7">
        <f t="shared" si="104"/>
        <v>1269.9647999999979</v>
      </c>
      <c r="AE398" s="7">
        <f t="shared" si="105"/>
        <v>1172.5343999999968</v>
      </c>
      <c r="AF398" s="26">
        <f t="shared" si="106"/>
        <v>1.0789296102385106</v>
      </c>
      <c r="AG398" s="8">
        <f>IF(DASHBOARD!$Q$7&gt;'staging data'!X398,'staging data'!X398,DASHBOARD!$Q$7)</f>
        <v>6.8000000000000005E-2</v>
      </c>
      <c r="AH398">
        <f>(100%+DASHBOARD!$Q$8)*'staging data'!T398</f>
        <v>1423.3319999999999</v>
      </c>
      <c r="AI398">
        <f>(100%+DASHBOARD!$Q$9)*'staging data'!Y398</f>
        <v>15.6</v>
      </c>
    </row>
    <row r="399" spans="1:35" x14ac:dyDescent="0.3">
      <c r="A399" s="3" t="s">
        <v>248</v>
      </c>
      <c r="B399" s="28">
        <v>45549</v>
      </c>
      <c r="C399" s="28" t="str">
        <f t="shared" si="107"/>
        <v>Q3</v>
      </c>
      <c r="D399" s="28" t="str">
        <f t="shared" si="108"/>
        <v>2023</v>
      </c>
      <c r="E399" s="28" t="str">
        <f t="shared" si="109"/>
        <v>Mar</v>
      </c>
      <c r="F399" s="5">
        <v>44999</v>
      </c>
      <c r="G399" s="5">
        <f t="shared" si="97"/>
        <v>45015</v>
      </c>
      <c r="H399" s="5">
        <v>45015</v>
      </c>
      <c r="I399" s="5" t="str">
        <f t="shared" si="110"/>
        <v>Achieved</v>
      </c>
      <c r="J399" s="14">
        <f t="shared" si="111"/>
        <v>16</v>
      </c>
      <c r="K399" s="14">
        <f t="shared" si="98"/>
        <v>16</v>
      </c>
      <c r="L399" s="3" t="s">
        <v>645</v>
      </c>
      <c r="M399" s="3" t="s">
        <v>660</v>
      </c>
      <c r="N399" s="3" t="s">
        <v>694</v>
      </c>
      <c r="O399" s="3" t="s">
        <v>703</v>
      </c>
      <c r="P399" s="3" t="s">
        <v>709</v>
      </c>
      <c r="Q399" s="3" t="s">
        <v>722</v>
      </c>
      <c r="R399" s="3" t="s">
        <v>726</v>
      </c>
      <c r="S399" s="3" t="s">
        <v>967</v>
      </c>
      <c r="T399" s="21">
        <v>1309.77</v>
      </c>
      <c r="U399" s="21" t="str">
        <f t="shared" si="112"/>
        <v>Medium</v>
      </c>
      <c r="V399">
        <f t="shared" si="99"/>
        <v>1589.07</v>
      </c>
      <c r="W399" s="7">
        <v>1589.07</v>
      </c>
      <c r="X399" s="8">
        <v>0.10199999999999999</v>
      </c>
      <c r="Y399" s="14">
        <v>10</v>
      </c>
      <c r="Z399" s="7">
        <f t="shared" si="100"/>
        <v>162.08514</v>
      </c>
      <c r="AA399" s="7">
        <f t="shared" si="101"/>
        <v>14269.848599999999</v>
      </c>
      <c r="AB399" s="7">
        <f t="shared" si="102"/>
        <v>14107.76346</v>
      </c>
      <c r="AC399" s="7">
        <f t="shared" si="103"/>
        <v>13097.7</v>
      </c>
      <c r="AD399" s="7">
        <f t="shared" si="104"/>
        <v>1172.1485999999986</v>
      </c>
      <c r="AE399" s="7">
        <f t="shared" si="105"/>
        <v>1010.0634599999994</v>
      </c>
      <c r="AF399" s="26">
        <f t="shared" si="106"/>
        <v>1.0894927048260381</v>
      </c>
      <c r="AG399" s="8">
        <f>IF(DASHBOARD!$Q$7&gt;'staging data'!X399,'staging data'!X399,DASHBOARD!$Q$7)</f>
        <v>0.10199999999999999</v>
      </c>
      <c r="AH399">
        <f>(100%+DASHBOARD!$Q$8)*'staging data'!T399</f>
        <v>1506.2354999999998</v>
      </c>
      <c r="AI399">
        <f>(100%+DASHBOARD!$Q$9)*'staging data'!Y399</f>
        <v>12</v>
      </c>
    </row>
    <row r="400" spans="1:35" x14ac:dyDescent="0.3">
      <c r="A400" s="3" t="s">
        <v>247</v>
      </c>
      <c r="B400" s="28">
        <v>45554</v>
      </c>
      <c r="C400" s="28" t="str">
        <f t="shared" si="107"/>
        <v>Q3</v>
      </c>
      <c r="D400" s="28" t="str">
        <f t="shared" si="108"/>
        <v>2024</v>
      </c>
      <c r="E400" s="28" t="str">
        <f t="shared" si="109"/>
        <v>Sept</v>
      </c>
      <c r="F400" s="5">
        <v>45540</v>
      </c>
      <c r="G400" s="5">
        <f t="shared" si="97"/>
        <v>45560</v>
      </c>
      <c r="H400" s="5">
        <v>45560</v>
      </c>
      <c r="I400" s="5" t="str">
        <f t="shared" si="110"/>
        <v>Achieved</v>
      </c>
      <c r="J400" s="14">
        <f t="shared" si="111"/>
        <v>20</v>
      </c>
      <c r="K400" s="14">
        <f t="shared" si="98"/>
        <v>20</v>
      </c>
      <c r="L400" s="3" t="s">
        <v>646</v>
      </c>
      <c r="M400" s="3" t="s">
        <v>651</v>
      </c>
      <c r="N400" s="3" t="s">
        <v>665</v>
      </c>
      <c r="O400" s="3" t="s">
        <v>705</v>
      </c>
      <c r="P400" s="3" t="s">
        <v>709</v>
      </c>
      <c r="Q400" s="3" t="s">
        <v>725</v>
      </c>
      <c r="R400" s="3" t="s">
        <v>731</v>
      </c>
      <c r="S400" s="3" t="s">
        <v>966</v>
      </c>
      <c r="T400" s="21">
        <v>195.54</v>
      </c>
      <c r="U400" s="21" t="str">
        <f t="shared" si="112"/>
        <v>Low</v>
      </c>
      <c r="V400">
        <f t="shared" si="99"/>
        <v>405.97</v>
      </c>
      <c r="W400" s="7">
        <v>405.97</v>
      </c>
      <c r="X400" s="8">
        <v>0.187</v>
      </c>
      <c r="Y400" s="14">
        <v>16</v>
      </c>
      <c r="Z400" s="7">
        <f t="shared" si="100"/>
        <v>75.916390000000007</v>
      </c>
      <c r="AA400" s="7">
        <f t="shared" si="101"/>
        <v>5280.8577599999999</v>
      </c>
      <c r="AB400" s="7">
        <f t="shared" si="102"/>
        <v>5204.9413699999996</v>
      </c>
      <c r="AC400" s="7">
        <f t="shared" si="103"/>
        <v>3128.64</v>
      </c>
      <c r="AD400" s="7">
        <f t="shared" si="104"/>
        <v>2152.21776</v>
      </c>
      <c r="AE400" s="7">
        <f t="shared" si="105"/>
        <v>2076.3013699999997</v>
      </c>
      <c r="AF400" s="26">
        <f t="shared" si="106"/>
        <v>1.6879084074869593</v>
      </c>
      <c r="AG400" s="8">
        <f>IF(DASHBOARD!$Q$7&gt;'staging data'!X400,'staging data'!X400,DASHBOARD!$Q$7)</f>
        <v>0.187</v>
      </c>
      <c r="AH400">
        <f>(100%+DASHBOARD!$Q$8)*'staging data'!T400</f>
        <v>224.87099999999998</v>
      </c>
      <c r="AI400">
        <f>(100%+DASHBOARD!$Q$9)*'staging data'!Y400</f>
        <v>19.2</v>
      </c>
    </row>
    <row r="401" spans="1:35" x14ac:dyDescent="0.3">
      <c r="A401" s="3" t="s">
        <v>246</v>
      </c>
      <c r="B401" s="28">
        <v>45557</v>
      </c>
      <c r="C401" s="28" t="str">
        <f t="shared" si="107"/>
        <v>Q3</v>
      </c>
      <c r="D401" s="28" t="str">
        <f t="shared" si="108"/>
        <v>2024</v>
      </c>
      <c r="E401" s="28" t="str">
        <f t="shared" si="109"/>
        <v>Sept</v>
      </c>
      <c r="F401" s="5">
        <v>45538</v>
      </c>
      <c r="G401" s="5">
        <f t="shared" si="97"/>
        <v>45543</v>
      </c>
      <c r="H401" s="5">
        <v>45543</v>
      </c>
      <c r="I401" s="5" t="str">
        <f t="shared" si="110"/>
        <v>Not achieved</v>
      </c>
      <c r="J401" s="14">
        <f t="shared" si="111"/>
        <v>5</v>
      </c>
      <c r="K401" s="14">
        <f t="shared" si="98"/>
        <v>5</v>
      </c>
      <c r="L401" s="3" t="s">
        <v>645</v>
      </c>
      <c r="M401" s="3" t="s">
        <v>650</v>
      </c>
      <c r="N401" s="3" t="s">
        <v>664</v>
      </c>
      <c r="O401" s="3" t="s">
        <v>704</v>
      </c>
      <c r="P401" s="3" t="s">
        <v>710</v>
      </c>
      <c r="Q401" s="3" t="s">
        <v>722</v>
      </c>
      <c r="R401" s="3" t="s">
        <v>727</v>
      </c>
      <c r="S401" s="3" t="s">
        <v>965</v>
      </c>
      <c r="T401" s="21">
        <v>197.63</v>
      </c>
      <c r="U401" s="21" t="str">
        <f t="shared" si="112"/>
        <v>Low</v>
      </c>
      <c r="V401">
        <f t="shared" si="99"/>
        <v>325.79000000000002</v>
      </c>
      <c r="W401" s="7">
        <v>325.79000000000002</v>
      </c>
      <c r="X401" s="8">
        <v>0.11600000000000001</v>
      </c>
      <c r="Y401" s="14">
        <v>10</v>
      </c>
      <c r="Z401" s="7">
        <f t="shared" si="100"/>
        <v>37.791640000000001</v>
      </c>
      <c r="AA401" s="7">
        <f t="shared" si="101"/>
        <v>2879.9836</v>
      </c>
      <c r="AB401" s="7">
        <f t="shared" si="102"/>
        <v>2842.1919600000001</v>
      </c>
      <c r="AC401" s="7">
        <f t="shared" si="103"/>
        <v>1976.3</v>
      </c>
      <c r="AD401" s="7">
        <f t="shared" si="104"/>
        <v>903.68360000000007</v>
      </c>
      <c r="AE401" s="7">
        <f t="shared" si="105"/>
        <v>865.89196000000015</v>
      </c>
      <c r="AF401" s="26">
        <f t="shared" si="106"/>
        <v>1.4572603349693873</v>
      </c>
      <c r="AG401" s="8">
        <f>IF(DASHBOARD!$Q$7&gt;'staging data'!X401,'staging data'!X401,DASHBOARD!$Q$7)</f>
        <v>0.11600000000000001</v>
      </c>
      <c r="AH401">
        <f>(100%+DASHBOARD!$Q$8)*'staging data'!T401</f>
        <v>227.27449999999999</v>
      </c>
      <c r="AI401">
        <f>(100%+DASHBOARD!$Q$9)*'staging data'!Y401</f>
        <v>12</v>
      </c>
    </row>
    <row r="402" spans="1:35" x14ac:dyDescent="0.3">
      <c r="A402" s="3" t="s">
        <v>245</v>
      </c>
      <c r="B402" s="28">
        <v>45558</v>
      </c>
      <c r="C402" s="28" t="str">
        <f t="shared" si="107"/>
        <v>Q3</v>
      </c>
      <c r="D402" s="28" t="str">
        <f t="shared" si="108"/>
        <v>2025</v>
      </c>
      <c r="E402" s="28" t="str">
        <f t="shared" si="109"/>
        <v>Apr</v>
      </c>
      <c r="F402" s="5">
        <v>45771</v>
      </c>
      <c r="G402" s="5">
        <f t="shared" si="97"/>
        <v>45783</v>
      </c>
      <c r="H402" s="5">
        <v>45783</v>
      </c>
      <c r="I402" s="5" t="str">
        <f t="shared" si="110"/>
        <v>Achieved</v>
      </c>
      <c r="J402" s="14">
        <f t="shared" si="111"/>
        <v>12</v>
      </c>
      <c r="K402" s="14">
        <f t="shared" si="98"/>
        <v>12</v>
      </c>
      <c r="L402" s="3" t="s">
        <v>647</v>
      </c>
      <c r="M402" s="3" t="s">
        <v>654</v>
      </c>
      <c r="N402" s="3" t="s">
        <v>671</v>
      </c>
      <c r="O402" s="3" t="s">
        <v>703</v>
      </c>
      <c r="P402" s="3" t="s">
        <v>707</v>
      </c>
      <c r="Q402" s="3" t="s">
        <v>711</v>
      </c>
      <c r="R402" s="3" t="s">
        <v>729</v>
      </c>
      <c r="S402" s="3" t="s">
        <v>964</v>
      </c>
      <c r="T402" s="21">
        <v>394.13</v>
      </c>
      <c r="U402" s="21" t="str">
        <f t="shared" si="112"/>
        <v>Medium</v>
      </c>
      <c r="V402">
        <f t="shared" si="99"/>
        <v>932.29</v>
      </c>
      <c r="W402" s="7">
        <v>932.29</v>
      </c>
      <c r="X402" s="8">
        <v>0.109</v>
      </c>
      <c r="Y402" s="14">
        <v>7</v>
      </c>
      <c r="Z402" s="7">
        <f t="shared" si="100"/>
        <v>101.61960999999999</v>
      </c>
      <c r="AA402" s="7">
        <f t="shared" si="101"/>
        <v>5814.6927299999998</v>
      </c>
      <c r="AB402" s="7">
        <f t="shared" si="102"/>
        <v>5713.07312</v>
      </c>
      <c r="AC402" s="7">
        <f t="shared" si="103"/>
        <v>2758.91</v>
      </c>
      <c r="AD402" s="7">
        <f t="shared" si="104"/>
        <v>3055.7827299999999</v>
      </c>
      <c r="AE402" s="7">
        <f t="shared" si="105"/>
        <v>2954.1631200000002</v>
      </c>
      <c r="AF402" s="26">
        <f t="shared" si="106"/>
        <v>2.1076050795422829</v>
      </c>
      <c r="AG402" s="8">
        <f>IF(DASHBOARD!$Q$7&gt;'staging data'!X402,'staging data'!X402,DASHBOARD!$Q$7)</f>
        <v>0.109</v>
      </c>
      <c r="AH402">
        <f>(100%+DASHBOARD!$Q$8)*'staging data'!T402</f>
        <v>453.24949999999995</v>
      </c>
      <c r="AI402">
        <f>(100%+DASHBOARD!$Q$9)*'staging data'!Y402</f>
        <v>8.4</v>
      </c>
    </row>
    <row r="403" spans="1:35" x14ac:dyDescent="0.3">
      <c r="A403" s="3" t="s">
        <v>244</v>
      </c>
      <c r="B403" s="28">
        <v>45560</v>
      </c>
      <c r="C403" s="28" t="str">
        <f t="shared" si="107"/>
        <v>Q3</v>
      </c>
      <c r="D403" s="28" t="str">
        <f t="shared" si="108"/>
        <v>2023</v>
      </c>
      <c r="E403" s="28" t="str">
        <f t="shared" si="109"/>
        <v>May</v>
      </c>
      <c r="F403" s="5">
        <v>45069</v>
      </c>
      <c r="G403" s="5">
        <f t="shared" si="97"/>
        <v>45087</v>
      </c>
      <c r="H403" s="5">
        <v>45087</v>
      </c>
      <c r="I403" s="5" t="str">
        <f t="shared" si="110"/>
        <v>Achieved</v>
      </c>
      <c r="J403" s="14">
        <f t="shared" si="111"/>
        <v>18</v>
      </c>
      <c r="K403" s="14">
        <f t="shared" si="98"/>
        <v>18</v>
      </c>
      <c r="L403" s="3" t="s">
        <v>646</v>
      </c>
      <c r="M403" s="3" t="s">
        <v>658</v>
      </c>
      <c r="N403" s="3" t="s">
        <v>684</v>
      </c>
      <c r="O403" s="3" t="s">
        <v>700</v>
      </c>
      <c r="P403" s="3" t="s">
        <v>709</v>
      </c>
      <c r="Q403" s="3" t="s">
        <v>717</v>
      </c>
      <c r="R403" s="3" t="s">
        <v>726</v>
      </c>
      <c r="S403" s="3" t="s">
        <v>963</v>
      </c>
      <c r="T403" s="21">
        <v>54.62</v>
      </c>
      <c r="U403" s="21" t="str">
        <f t="shared" si="112"/>
        <v>Low</v>
      </c>
      <c r="V403">
        <f t="shared" si="99"/>
        <v>48.94</v>
      </c>
      <c r="W403" s="7">
        <v>48.94</v>
      </c>
      <c r="X403" s="8">
        <v>0.14799999999999999</v>
      </c>
      <c r="Y403" s="14">
        <v>16</v>
      </c>
      <c r="Z403" s="7">
        <f t="shared" si="100"/>
        <v>7.2431199999999993</v>
      </c>
      <c r="AA403" s="7">
        <f t="shared" si="101"/>
        <v>667.15008</v>
      </c>
      <c r="AB403" s="7">
        <f t="shared" si="102"/>
        <v>659.90696000000003</v>
      </c>
      <c r="AC403" s="7">
        <f t="shared" si="103"/>
        <v>873.92</v>
      </c>
      <c r="AD403" s="7">
        <f t="shared" si="104"/>
        <v>-206.76991999999996</v>
      </c>
      <c r="AE403" s="7">
        <f t="shared" si="105"/>
        <v>-214.01303999999993</v>
      </c>
      <c r="AF403" s="26">
        <f t="shared" si="106"/>
        <v>0.76339948736726482</v>
      </c>
      <c r="AG403" s="8">
        <f>IF(DASHBOARD!$Q$7&gt;'staging data'!X403,'staging data'!X403,DASHBOARD!$Q$7)</f>
        <v>0.14799999999999999</v>
      </c>
      <c r="AH403">
        <f>(100%+DASHBOARD!$Q$8)*'staging data'!T403</f>
        <v>62.812999999999995</v>
      </c>
      <c r="AI403">
        <f>(100%+DASHBOARD!$Q$9)*'staging data'!Y403</f>
        <v>19.2</v>
      </c>
    </row>
    <row r="404" spans="1:35" x14ac:dyDescent="0.3">
      <c r="A404" s="3" t="s">
        <v>243</v>
      </c>
      <c r="B404" s="28">
        <v>45567</v>
      </c>
      <c r="C404" s="28" t="str">
        <f t="shared" si="107"/>
        <v>Q4</v>
      </c>
      <c r="D404" s="28" t="str">
        <f t="shared" si="108"/>
        <v>2023</v>
      </c>
      <c r="E404" s="28" t="str">
        <f t="shared" si="109"/>
        <v>Mar</v>
      </c>
      <c r="F404" s="5">
        <v>44992</v>
      </c>
      <c r="G404" s="5">
        <f t="shared" si="97"/>
        <v>45017</v>
      </c>
      <c r="H404" s="5">
        <v>45017</v>
      </c>
      <c r="I404" s="5" t="str">
        <f t="shared" si="110"/>
        <v>Achieved</v>
      </c>
      <c r="J404" s="14">
        <f t="shared" si="111"/>
        <v>25</v>
      </c>
      <c r="K404" s="14">
        <f t="shared" si="98"/>
        <v>25</v>
      </c>
      <c r="L404" s="3" t="s">
        <v>645</v>
      </c>
      <c r="M404" s="3" t="s">
        <v>649</v>
      </c>
      <c r="N404" s="3" t="s">
        <v>663</v>
      </c>
      <c r="O404" s="3" t="s">
        <v>703</v>
      </c>
      <c r="P404" s="3" t="s">
        <v>708</v>
      </c>
      <c r="Q404" s="3" t="s">
        <v>725</v>
      </c>
      <c r="R404" s="3" t="s">
        <v>727</v>
      </c>
      <c r="S404" s="3" t="s">
        <v>962</v>
      </c>
      <c r="T404" s="21">
        <v>1024.0999999999999</v>
      </c>
      <c r="U404" s="21" t="str">
        <f t="shared" si="112"/>
        <v>Medium</v>
      </c>
      <c r="V404">
        <f t="shared" si="99"/>
        <v>918.19</v>
      </c>
      <c r="W404" s="7">
        <v>918.19</v>
      </c>
      <c r="X404" s="8">
        <v>0.189</v>
      </c>
      <c r="Y404" s="14">
        <v>10</v>
      </c>
      <c r="Z404" s="7">
        <f t="shared" si="100"/>
        <v>173.53791000000001</v>
      </c>
      <c r="AA404" s="7">
        <f t="shared" si="101"/>
        <v>7446.5209000000004</v>
      </c>
      <c r="AB404" s="7">
        <f t="shared" si="102"/>
        <v>7272.9829900000004</v>
      </c>
      <c r="AC404" s="7">
        <f t="shared" si="103"/>
        <v>10241</v>
      </c>
      <c r="AD404" s="7">
        <f t="shared" si="104"/>
        <v>-2794.4790999999996</v>
      </c>
      <c r="AE404" s="7">
        <f t="shared" si="105"/>
        <v>-2968.0170099999996</v>
      </c>
      <c r="AF404" s="26">
        <f t="shared" si="106"/>
        <v>0.72712829801777179</v>
      </c>
      <c r="AG404" s="8">
        <f>IF(DASHBOARD!$Q$7&gt;'staging data'!X404,'staging data'!X404,DASHBOARD!$Q$7)</f>
        <v>0.189</v>
      </c>
      <c r="AH404">
        <f>(100%+DASHBOARD!$Q$8)*'staging data'!T404</f>
        <v>1177.7149999999997</v>
      </c>
      <c r="AI404">
        <f>(100%+DASHBOARD!$Q$9)*'staging data'!Y404</f>
        <v>12</v>
      </c>
    </row>
    <row r="405" spans="1:35" x14ac:dyDescent="0.3">
      <c r="A405" s="3" t="s">
        <v>242</v>
      </c>
      <c r="B405" s="28">
        <v>45568</v>
      </c>
      <c r="C405" s="28" t="str">
        <f t="shared" si="107"/>
        <v>Q4</v>
      </c>
      <c r="D405" s="28" t="str">
        <f t="shared" si="108"/>
        <v>2025</v>
      </c>
      <c r="E405" s="28" t="str">
        <f t="shared" si="109"/>
        <v>Aug</v>
      </c>
      <c r="F405" s="5">
        <v>45879</v>
      </c>
      <c r="G405" s="5">
        <f t="shared" si="97"/>
        <v>45899</v>
      </c>
      <c r="H405" s="5">
        <v>45899</v>
      </c>
      <c r="I405" s="5" t="str">
        <f t="shared" si="110"/>
        <v>Achieved</v>
      </c>
      <c r="J405" s="14">
        <f t="shared" si="111"/>
        <v>20</v>
      </c>
      <c r="K405" s="14">
        <f t="shared" si="98"/>
        <v>20</v>
      </c>
      <c r="L405" s="3" t="s">
        <v>647</v>
      </c>
      <c r="M405" s="3" t="s">
        <v>659</v>
      </c>
      <c r="N405" s="3" t="s">
        <v>685</v>
      </c>
      <c r="O405" s="3" t="s">
        <v>700</v>
      </c>
      <c r="P405" s="3" t="s">
        <v>708</v>
      </c>
      <c r="Q405" s="3" t="s">
        <v>722</v>
      </c>
      <c r="R405" s="3" t="s">
        <v>727</v>
      </c>
      <c r="S405" s="3" t="s">
        <v>961</v>
      </c>
      <c r="T405" s="21">
        <v>933.29</v>
      </c>
      <c r="U405" s="21" t="str">
        <f t="shared" si="112"/>
        <v>Medium</v>
      </c>
      <c r="V405">
        <f t="shared" si="99"/>
        <v>1456.81</v>
      </c>
      <c r="W405" s="7">
        <v>1456.81</v>
      </c>
      <c r="X405" s="8">
        <v>0.123</v>
      </c>
      <c r="Y405" s="14">
        <v>13</v>
      </c>
      <c r="Z405" s="7">
        <f t="shared" si="100"/>
        <v>179.18762999999998</v>
      </c>
      <c r="AA405" s="7">
        <f t="shared" si="101"/>
        <v>16609.090809999998</v>
      </c>
      <c r="AB405" s="7">
        <f t="shared" si="102"/>
        <v>16429.903179999998</v>
      </c>
      <c r="AC405" s="7">
        <f t="shared" si="103"/>
        <v>12132.77</v>
      </c>
      <c r="AD405" s="7">
        <f t="shared" si="104"/>
        <v>4476.3208099999974</v>
      </c>
      <c r="AE405" s="7">
        <f t="shared" si="105"/>
        <v>4297.1331799999971</v>
      </c>
      <c r="AF405" s="26">
        <f t="shared" si="106"/>
        <v>1.3689446688596254</v>
      </c>
      <c r="AG405" s="8">
        <f>IF(DASHBOARD!$Q$7&gt;'staging data'!X405,'staging data'!X405,DASHBOARD!$Q$7)</f>
        <v>0.123</v>
      </c>
      <c r="AH405">
        <f>(100%+DASHBOARD!$Q$8)*'staging data'!T405</f>
        <v>1073.2834999999998</v>
      </c>
      <c r="AI405">
        <f>(100%+DASHBOARD!$Q$9)*'staging data'!Y405</f>
        <v>15.6</v>
      </c>
    </row>
    <row r="406" spans="1:35" x14ac:dyDescent="0.3">
      <c r="A406" s="3" t="s">
        <v>241</v>
      </c>
      <c r="B406" s="28">
        <v>45569</v>
      </c>
      <c r="C406" s="28" t="str">
        <f t="shared" si="107"/>
        <v>Q4</v>
      </c>
      <c r="D406" s="28" t="str">
        <f t="shared" si="108"/>
        <v>2023</v>
      </c>
      <c r="E406" s="28" t="str">
        <f t="shared" si="109"/>
        <v>Oct</v>
      </c>
      <c r="F406" s="5">
        <v>45203</v>
      </c>
      <c r="G406" s="5">
        <f t="shared" si="97"/>
        <v>45228</v>
      </c>
      <c r="H406" s="5">
        <v>45228</v>
      </c>
      <c r="I406" s="5" t="str">
        <f t="shared" si="110"/>
        <v>Achieved</v>
      </c>
      <c r="J406" s="14">
        <f t="shared" si="111"/>
        <v>25</v>
      </c>
      <c r="K406" s="14">
        <f t="shared" si="98"/>
        <v>25</v>
      </c>
      <c r="L406" s="3" t="s">
        <v>647</v>
      </c>
      <c r="M406" s="3" t="s">
        <v>659</v>
      </c>
      <c r="N406" s="3" t="s">
        <v>685</v>
      </c>
      <c r="O406" s="3" t="s">
        <v>704</v>
      </c>
      <c r="P406" s="3" t="s">
        <v>709</v>
      </c>
      <c r="Q406" s="3" t="s">
        <v>718</v>
      </c>
      <c r="R406" s="3" t="s">
        <v>732</v>
      </c>
      <c r="S406" s="3" t="s">
        <v>960</v>
      </c>
      <c r="T406" s="21">
        <v>1239.8399999999999</v>
      </c>
      <c r="U406" s="21" t="str">
        <f t="shared" si="112"/>
        <v>Medium</v>
      </c>
      <c r="V406">
        <f t="shared" si="99"/>
        <v>1482.75</v>
      </c>
      <c r="W406" s="7">
        <v>1482.75</v>
      </c>
      <c r="X406" s="8">
        <v>6.7000000000000004E-2</v>
      </c>
      <c r="Y406" s="14">
        <v>4</v>
      </c>
      <c r="Z406" s="7">
        <f t="shared" si="100"/>
        <v>99.344250000000002</v>
      </c>
      <c r="AA406" s="7">
        <f t="shared" si="101"/>
        <v>5533.6230000000005</v>
      </c>
      <c r="AB406" s="7">
        <f t="shared" si="102"/>
        <v>5434.2787500000004</v>
      </c>
      <c r="AC406" s="7">
        <f t="shared" si="103"/>
        <v>4959.3599999999997</v>
      </c>
      <c r="AD406" s="7">
        <f t="shared" si="104"/>
        <v>574.26300000000083</v>
      </c>
      <c r="AE406" s="7">
        <f t="shared" si="105"/>
        <v>474.91875000000073</v>
      </c>
      <c r="AF406" s="26">
        <f t="shared" si="106"/>
        <v>1.1157937717770037</v>
      </c>
      <c r="AG406" s="8">
        <f>IF(DASHBOARD!$Q$7&gt;'staging data'!X406,'staging data'!X406,DASHBOARD!$Q$7)</f>
        <v>6.7000000000000004E-2</v>
      </c>
      <c r="AH406">
        <f>(100%+DASHBOARD!$Q$8)*'staging data'!T406</f>
        <v>1425.8159999999998</v>
      </c>
      <c r="AI406">
        <f>(100%+DASHBOARD!$Q$9)*'staging data'!Y406</f>
        <v>4.8</v>
      </c>
    </row>
    <row r="407" spans="1:35" x14ac:dyDescent="0.3">
      <c r="A407" s="3" t="s">
        <v>240</v>
      </c>
      <c r="B407" s="28">
        <v>45573</v>
      </c>
      <c r="C407" s="28" t="str">
        <f t="shared" si="107"/>
        <v>Q4</v>
      </c>
      <c r="D407" s="28" t="str">
        <f t="shared" si="108"/>
        <v>2023</v>
      </c>
      <c r="E407" s="28" t="str">
        <f t="shared" si="109"/>
        <v>Jul</v>
      </c>
      <c r="F407" s="5">
        <v>45137</v>
      </c>
      <c r="G407" s="5">
        <f t="shared" si="97"/>
        <v>45145</v>
      </c>
      <c r="H407" s="5">
        <v>45145</v>
      </c>
      <c r="I407" s="5" t="str">
        <f t="shared" si="110"/>
        <v>Achieved</v>
      </c>
      <c r="J407" s="14">
        <f t="shared" si="111"/>
        <v>8</v>
      </c>
      <c r="K407" s="14">
        <f t="shared" si="98"/>
        <v>8</v>
      </c>
      <c r="L407" s="3" t="s">
        <v>646</v>
      </c>
      <c r="M407" s="3" t="s">
        <v>651</v>
      </c>
      <c r="N407" s="3" t="s">
        <v>693</v>
      </c>
      <c r="O407" s="3" t="s">
        <v>701</v>
      </c>
      <c r="P407" s="3" t="s">
        <v>708</v>
      </c>
      <c r="Q407" s="3" t="s">
        <v>719</v>
      </c>
      <c r="R407" s="3" t="s">
        <v>728</v>
      </c>
      <c r="S407" s="3" t="s">
        <v>959</v>
      </c>
      <c r="T407" s="21">
        <v>1352.44</v>
      </c>
      <c r="U407" s="21" t="str">
        <f t="shared" si="112"/>
        <v>High</v>
      </c>
      <c r="V407">
        <f t="shared" si="99"/>
        <v>2698.01</v>
      </c>
      <c r="W407" s="7">
        <v>2698.01</v>
      </c>
      <c r="X407" s="8">
        <v>0.13100000000000001</v>
      </c>
      <c r="Y407" s="14">
        <v>13</v>
      </c>
      <c r="Z407" s="7">
        <f t="shared" si="100"/>
        <v>353.43931000000003</v>
      </c>
      <c r="AA407" s="7">
        <f t="shared" si="101"/>
        <v>30479.418970000002</v>
      </c>
      <c r="AB407" s="7">
        <f t="shared" si="102"/>
        <v>30125.979660000001</v>
      </c>
      <c r="AC407" s="7">
        <f t="shared" si="103"/>
        <v>17581.72</v>
      </c>
      <c r="AD407" s="7">
        <f t="shared" si="104"/>
        <v>12897.698970000001</v>
      </c>
      <c r="AE407" s="7">
        <f t="shared" si="105"/>
        <v>12544.25966</v>
      </c>
      <c r="AF407" s="26">
        <f t="shared" si="106"/>
        <v>1.7335857339327438</v>
      </c>
      <c r="AG407" s="8">
        <f>IF(DASHBOARD!$Q$7&gt;'staging data'!X407,'staging data'!X407,DASHBOARD!$Q$7)</f>
        <v>0.13100000000000001</v>
      </c>
      <c r="AH407">
        <f>(100%+DASHBOARD!$Q$8)*'staging data'!T407</f>
        <v>1555.306</v>
      </c>
      <c r="AI407">
        <f>(100%+DASHBOARD!$Q$9)*'staging data'!Y407</f>
        <v>15.6</v>
      </c>
    </row>
    <row r="408" spans="1:35" x14ac:dyDescent="0.3">
      <c r="A408" s="3" t="s">
        <v>239</v>
      </c>
      <c r="B408" s="28">
        <v>45574</v>
      </c>
      <c r="C408" s="28" t="str">
        <f t="shared" si="107"/>
        <v>Q4</v>
      </c>
      <c r="D408" s="28" t="str">
        <f t="shared" si="108"/>
        <v>2023</v>
      </c>
      <c r="E408" s="28" t="str">
        <f t="shared" si="109"/>
        <v>Dec</v>
      </c>
      <c r="F408" s="5">
        <v>45279</v>
      </c>
      <c r="G408" s="5">
        <f t="shared" si="97"/>
        <v>45280</v>
      </c>
      <c r="H408" s="5">
        <v>45280</v>
      </c>
      <c r="I408" s="5" t="str">
        <f t="shared" si="110"/>
        <v>Not achieved</v>
      </c>
      <c r="J408" s="14">
        <f t="shared" si="111"/>
        <v>1</v>
      </c>
      <c r="K408" s="14">
        <f t="shared" si="98"/>
        <v>1</v>
      </c>
      <c r="L408" s="3" t="s">
        <v>647</v>
      </c>
      <c r="M408" s="3" t="s">
        <v>654</v>
      </c>
      <c r="N408" s="3" t="s">
        <v>691</v>
      </c>
      <c r="O408" s="3" t="s">
        <v>703</v>
      </c>
      <c r="P408" s="3" t="s">
        <v>709</v>
      </c>
      <c r="Q408" s="3" t="s">
        <v>712</v>
      </c>
      <c r="R408" s="3" t="s">
        <v>729</v>
      </c>
      <c r="S408" s="3" t="s">
        <v>958</v>
      </c>
      <c r="T408" s="21">
        <v>1080.43</v>
      </c>
      <c r="U408" s="21" t="str">
        <f t="shared" si="112"/>
        <v>High</v>
      </c>
      <c r="V408">
        <f t="shared" si="99"/>
        <v>2529.15</v>
      </c>
      <c r="W408" s="7">
        <v>2529.15</v>
      </c>
      <c r="X408" s="8">
        <v>0.14699999999999999</v>
      </c>
      <c r="Y408" s="14">
        <v>10</v>
      </c>
      <c r="Z408" s="7">
        <f t="shared" si="100"/>
        <v>371.78505000000001</v>
      </c>
      <c r="AA408" s="7">
        <f t="shared" si="101"/>
        <v>21573.6495</v>
      </c>
      <c r="AB408" s="7">
        <f t="shared" si="102"/>
        <v>21201.864450000001</v>
      </c>
      <c r="AC408" s="7">
        <f t="shared" si="103"/>
        <v>10804.300000000001</v>
      </c>
      <c r="AD408" s="7">
        <f t="shared" si="104"/>
        <v>10769.349499999998</v>
      </c>
      <c r="AE408" s="7">
        <f t="shared" si="105"/>
        <v>10397.56445</v>
      </c>
      <c r="AF408" s="26">
        <f t="shared" si="106"/>
        <v>1.9967651305498735</v>
      </c>
      <c r="AG408" s="8">
        <f>IF(DASHBOARD!$Q$7&gt;'staging data'!X408,'staging data'!X408,DASHBOARD!$Q$7)</f>
        <v>0.14699999999999999</v>
      </c>
      <c r="AH408">
        <f>(100%+DASHBOARD!$Q$8)*'staging data'!T408</f>
        <v>1242.4945</v>
      </c>
      <c r="AI408">
        <f>(100%+DASHBOARD!$Q$9)*'staging data'!Y408</f>
        <v>12</v>
      </c>
    </row>
    <row r="409" spans="1:35" x14ac:dyDescent="0.3">
      <c r="A409" s="3" t="s">
        <v>238</v>
      </c>
      <c r="B409" s="28">
        <v>45575</v>
      </c>
      <c r="C409" s="28" t="str">
        <f t="shared" si="107"/>
        <v>Q4</v>
      </c>
      <c r="D409" s="28" t="str">
        <f t="shared" si="108"/>
        <v>2023</v>
      </c>
      <c r="E409" s="28" t="str">
        <f t="shared" si="109"/>
        <v>Apr</v>
      </c>
      <c r="F409" s="5">
        <v>45035</v>
      </c>
      <c r="G409" s="5">
        <f t="shared" si="97"/>
        <v>45053</v>
      </c>
      <c r="H409" s="5">
        <v>45053</v>
      </c>
      <c r="I409" s="5" t="str">
        <f t="shared" si="110"/>
        <v>Achieved</v>
      </c>
      <c r="J409" s="14">
        <f t="shared" si="111"/>
        <v>18</v>
      </c>
      <c r="K409" s="14">
        <f t="shared" si="98"/>
        <v>18</v>
      </c>
      <c r="L409" s="3" t="s">
        <v>648</v>
      </c>
      <c r="M409" s="3" t="s">
        <v>657</v>
      </c>
      <c r="N409" s="3" t="s">
        <v>673</v>
      </c>
      <c r="O409" s="3" t="s">
        <v>705</v>
      </c>
      <c r="P409" s="3" t="s">
        <v>706</v>
      </c>
      <c r="Q409" s="3" t="s">
        <v>724</v>
      </c>
      <c r="R409" s="3" t="s">
        <v>730</v>
      </c>
      <c r="S409" s="3" t="s">
        <v>957</v>
      </c>
      <c r="T409" s="21">
        <v>1089.1500000000001</v>
      </c>
      <c r="U409" s="21" t="str">
        <f t="shared" si="112"/>
        <v>Medium</v>
      </c>
      <c r="V409">
        <f t="shared" si="99"/>
        <v>1088.2</v>
      </c>
      <c r="W409" s="7">
        <v>1088.2</v>
      </c>
      <c r="X409" s="8">
        <v>5.0999999999999997E-2</v>
      </c>
      <c r="Y409" s="14">
        <v>15</v>
      </c>
      <c r="Z409" s="7">
        <f t="shared" si="100"/>
        <v>55.498199999999997</v>
      </c>
      <c r="AA409" s="7">
        <f t="shared" si="101"/>
        <v>15490.527</v>
      </c>
      <c r="AB409" s="7">
        <f t="shared" si="102"/>
        <v>15435.0288</v>
      </c>
      <c r="AC409" s="7">
        <f t="shared" si="103"/>
        <v>16337.250000000002</v>
      </c>
      <c r="AD409" s="7">
        <f t="shared" si="104"/>
        <v>-846.72300000000178</v>
      </c>
      <c r="AE409" s="7">
        <f t="shared" si="105"/>
        <v>-902.22120000000177</v>
      </c>
      <c r="AF409" s="26">
        <f t="shared" si="106"/>
        <v>0.94817224441077896</v>
      </c>
      <c r="AG409" s="8">
        <f>IF(DASHBOARD!$Q$7&gt;'staging data'!X409,'staging data'!X409,DASHBOARD!$Q$7)</f>
        <v>5.0999999999999997E-2</v>
      </c>
      <c r="AH409">
        <f>(100%+DASHBOARD!$Q$8)*'staging data'!T409</f>
        <v>1252.5225</v>
      </c>
      <c r="AI409">
        <f>(100%+DASHBOARD!$Q$9)*'staging data'!Y409</f>
        <v>18</v>
      </c>
    </row>
    <row r="410" spans="1:35" x14ac:dyDescent="0.3">
      <c r="A410" s="3" t="s">
        <v>237</v>
      </c>
      <c r="B410" s="28">
        <v>45576</v>
      </c>
      <c r="C410" s="28" t="str">
        <f t="shared" si="107"/>
        <v>Q4</v>
      </c>
      <c r="D410" s="28" t="str">
        <f t="shared" si="108"/>
        <v>2025</v>
      </c>
      <c r="E410" s="28" t="str">
        <f t="shared" si="109"/>
        <v>Jul</v>
      </c>
      <c r="F410" s="5">
        <v>45854</v>
      </c>
      <c r="G410" s="5">
        <f t="shared" si="97"/>
        <v>45855</v>
      </c>
      <c r="H410" s="5">
        <v>45855</v>
      </c>
      <c r="I410" s="5" t="str">
        <f t="shared" si="110"/>
        <v>Not achieved</v>
      </c>
      <c r="J410" s="14">
        <f t="shared" si="111"/>
        <v>1</v>
      </c>
      <c r="K410" s="14">
        <f t="shared" si="98"/>
        <v>1</v>
      </c>
      <c r="L410" s="3" t="s">
        <v>645</v>
      </c>
      <c r="M410" s="3" t="s">
        <v>660</v>
      </c>
      <c r="N410" s="3" t="s">
        <v>686</v>
      </c>
      <c r="O410" s="3" t="s">
        <v>704</v>
      </c>
      <c r="P410" s="3" t="s">
        <v>709</v>
      </c>
      <c r="Q410" s="3" t="s">
        <v>716</v>
      </c>
      <c r="R410" s="3" t="s">
        <v>728</v>
      </c>
      <c r="S410" s="3" t="s">
        <v>956</v>
      </c>
      <c r="T410" s="21">
        <v>1198.9000000000001</v>
      </c>
      <c r="U410" s="21" t="str">
        <f t="shared" si="112"/>
        <v>High</v>
      </c>
      <c r="V410">
        <f t="shared" si="99"/>
        <v>2941.2</v>
      </c>
      <c r="W410" s="7">
        <v>2941.2</v>
      </c>
      <c r="X410" s="8">
        <v>5.0999999999999997E-2</v>
      </c>
      <c r="Y410" s="14">
        <v>24</v>
      </c>
      <c r="Z410" s="7">
        <f t="shared" si="100"/>
        <v>150.00119999999998</v>
      </c>
      <c r="AA410" s="7">
        <f t="shared" si="101"/>
        <v>66988.771199999988</v>
      </c>
      <c r="AB410" s="7">
        <f t="shared" si="102"/>
        <v>66838.76999999999</v>
      </c>
      <c r="AC410" s="7">
        <f t="shared" si="103"/>
        <v>28773.600000000002</v>
      </c>
      <c r="AD410" s="7">
        <f t="shared" si="104"/>
        <v>38215.171199999982</v>
      </c>
      <c r="AE410" s="7">
        <f t="shared" si="105"/>
        <v>38065.169999999984</v>
      </c>
      <c r="AF410" s="26">
        <f t="shared" si="106"/>
        <v>2.3281331220285257</v>
      </c>
      <c r="AG410" s="8">
        <f>IF(DASHBOARD!$Q$7&gt;'staging data'!X410,'staging data'!X410,DASHBOARD!$Q$7)</f>
        <v>5.0999999999999997E-2</v>
      </c>
      <c r="AH410">
        <f>(100%+DASHBOARD!$Q$8)*'staging data'!T410</f>
        <v>1378.7349999999999</v>
      </c>
      <c r="AI410">
        <f>(100%+DASHBOARD!$Q$9)*'staging data'!Y410</f>
        <v>28.799999999999997</v>
      </c>
    </row>
    <row r="411" spans="1:35" x14ac:dyDescent="0.3">
      <c r="A411" s="3" t="s">
        <v>236</v>
      </c>
      <c r="B411" s="28">
        <v>45578</v>
      </c>
      <c r="C411" s="28" t="str">
        <f t="shared" si="107"/>
        <v>Q4</v>
      </c>
      <c r="D411" s="28" t="str">
        <f t="shared" si="108"/>
        <v>2023</v>
      </c>
      <c r="E411" s="28" t="str">
        <f t="shared" si="109"/>
        <v>Aug</v>
      </c>
      <c r="F411" s="5">
        <v>45164</v>
      </c>
      <c r="G411" s="5">
        <f t="shared" si="97"/>
        <v>45179</v>
      </c>
      <c r="H411" s="5">
        <v>45179</v>
      </c>
      <c r="I411" s="5" t="str">
        <f t="shared" si="110"/>
        <v>Achieved</v>
      </c>
      <c r="J411" s="14">
        <f t="shared" si="111"/>
        <v>15</v>
      </c>
      <c r="K411" s="14">
        <f t="shared" si="98"/>
        <v>15</v>
      </c>
      <c r="L411" s="3" t="s">
        <v>645</v>
      </c>
      <c r="M411" s="3" t="s">
        <v>660</v>
      </c>
      <c r="N411" s="3" t="s">
        <v>694</v>
      </c>
      <c r="O411" s="3" t="s">
        <v>702</v>
      </c>
      <c r="P411" s="3" t="s">
        <v>710</v>
      </c>
      <c r="Q411" s="3" t="s">
        <v>724</v>
      </c>
      <c r="R411" s="3" t="s">
        <v>726</v>
      </c>
      <c r="S411" s="3" t="s">
        <v>955</v>
      </c>
      <c r="T411" s="21">
        <v>241.14</v>
      </c>
      <c r="U411" s="21" t="str">
        <f t="shared" si="112"/>
        <v>Low</v>
      </c>
      <c r="V411">
        <f t="shared" si="99"/>
        <v>496.52</v>
      </c>
      <c r="W411" s="7">
        <v>496.52</v>
      </c>
      <c r="X411" s="8">
        <v>9.2999999999999999E-2</v>
      </c>
      <c r="Y411" s="14">
        <v>10</v>
      </c>
      <c r="Z411" s="7">
        <f t="shared" si="100"/>
        <v>46.176359999999995</v>
      </c>
      <c r="AA411" s="7">
        <f t="shared" si="101"/>
        <v>4503.4363999999996</v>
      </c>
      <c r="AB411" s="7">
        <f t="shared" si="102"/>
        <v>4457.2600399999992</v>
      </c>
      <c r="AC411" s="7">
        <f t="shared" si="103"/>
        <v>2411.3999999999996</v>
      </c>
      <c r="AD411" s="7">
        <f t="shared" si="104"/>
        <v>2092.0364</v>
      </c>
      <c r="AE411" s="7">
        <f t="shared" si="105"/>
        <v>2045.8600399999996</v>
      </c>
      <c r="AF411" s="26">
        <f t="shared" si="106"/>
        <v>1.8675609189682343</v>
      </c>
      <c r="AG411" s="8">
        <f>IF(DASHBOARD!$Q$7&gt;'staging data'!X411,'staging data'!X411,DASHBOARD!$Q$7)</f>
        <v>9.2999999999999999E-2</v>
      </c>
      <c r="AH411">
        <f>(100%+DASHBOARD!$Q$8)*'staging data'!T411</f>
        <v>277.31099999999998</v>
      </c>
      <c r="AI411">
        <f>(100%+DASHBOARD!$Q$9)*'staging data'!Y411</f>
        <v>12</v>
      </c>
    </row>
    <row r="412" spans="1:35" x14ac:dyDescent="0.3">
      <c r="A412" s="3" t="s">
        <v>235</v>
      </c>
      <c r="B412" s="28">
        <v>45579</v>
      </c>
      <c r="C412" s="28" t="str">
        <f t="shared" si="107"/>
        <v>Q4</v>
      </c>
      <c r="D412" s="28" t="str">
        <f t="shared" si="108"/>
        <v>2023</v>
      </c>
      <c r="E412" s="28" t="str">
        <f t="shared" si="109"/>
        <v>Sept</v>
      </c>
      <c r="F412" s="5">
        <v>45194</v>
      </c>
      <c r="G412" s="5">
        <f t="shared" si="97"/>
        <v>45201</v>
      </c>
      <c r="H412" s="5">
        <v>45201</v>
      </c>
      <c r="I412" s="5" t="str">
        <f t="shared" si="110"/>
        <v>Achieved</v>
      </c>
      <c r="J412" s="14">
        <f t="shared" si="111"/>
        <v>7</v>
      </c>
      <c r="K412" s="14">
        <f t="shared" si="98"/>
        <v>7</v>
      </c>
      <c r="L412" s="3" t="s">
        <v>647</v>
      </c>
      <c r="M412" s="3" t="s">
        <v>659</v>
      </c>
      <c r="N412" s="3" t="s">
        <v>699</v>
      </c>
      <c r="O412" s="3" t="s">
        <v>701</v>
      </c>
      <c r="P412" s="3" t="s">
        <v>708</v>
      </c>
      <c r="Q412" s="3" t="s">
        <v>713</v>
      </c>
      <c r="R412" s="3" t="s">
        <v>732</v>
      </c>
      <c r="S412" s="3" t="s">
        <v>954</v>
      </c>
      <c r="T412" s="21">
        <v>145.58000000000001</v>
      </c>
      <c r="U412" s="21" t="str">
        <f t="shared" si="112"/>
        <v>Low</v>
      </c>
      <c r="V412">
        <f t="shared" si="99"/>
        <v>228.15</v>
      </c>
      <c r="W412" s="7">
        <v>228.15</v>
      </c>
      <c r="X412" s="8">
        <v>0.20399999999999999</v>
      </c>
      <c r="Y412" s="14">
        <v>5</v>
      </c>
      <c r="Z412" s="7">
        <f t="shared" si="100"/>
        <v>46.5426</v>
      </c>
      <c r="AA412" s="7">
        <f t="shared" si="101"/>
        <v>908.03700000000003</v>
      </c>
      <c r="AB412" s="7">
        <f t="shared" si="102"/>
        <v>861.49440000000004</v>
      </c>
      <c r="AC412" s="7">
        <f t="shared" si="103"/>
        <v>727.90000000000009</v>
      </c>
      <c r="AD412" s="7">
        <f t="shared" si="104"/>
        <v>180.13699999999994</v>
      </c>
      <c r="AE412" s="7">
        <f t="shared" si="105"/>
        <v>133.59439999999995</v>
      </c>
      <c r="AF412" s="26">
        <f t="shared" si="106"/>
        <v>1.2474749278747079</v>
      </c>
      <c r="AG412" s="8">
        <f>IF(DASHBOARD!$Q$7&gt;'staging data'!X412,'staging data'!X412,DASHBOARD!$Q$7)</f>
        <v>0.2</v>
      </c>
      <c r="AH412">
        <f>(100%+DASHBOARD!$Q$8)*'staging data'!T412</f>
        <v>167.417</v>
      </c>
      <c r="AI412">
        <f>(100%+DASHBOARD!$Q$9)*'staging data'!Y412</f>
        <v>6</v>
      </c>
    </row>
    <row r="413" spans="1:35" x14ac:dyDescent="0.3">
      <c r="A413" s="3" t="s">
        <v>234</v>
      </c>
      <c r="B413" s="28">
        <v>45581</v>
      </c>
      <c r="C413" s="28" t="str">
        <f t="shared" si="107"/>
        <v>Q4</v>
      </c>
      <c r="D413" s="28" t="str">
        <f t="shared" si="108"/>
        <v>2025</v>
      </c>
      <c r="E413" s="28" t="str">
        <f t="shared" si="109"/>
        <v>Aug</v>
      </c>
      <c r="F413" s="5">
        <v>45894</v>
      </c>
      <c r="G413" s="5">
        <f t="shared" si="97"/>
        <v>45924</v>
      </c>
      <c r="H413" s="5">
        <v>45924</v>
      </c>
      <c r="I413" s="5" t="str">
        <f t="shared" si="110"/>
        <v>Achieved</v>
      </c>
      <c r="J413" s="14">
        <f t="shared" si="111"/>
        <v>30</v>
      </c>
      <c r="K413" s="14">
        <f t="shared" si="98"/>
        <v>30</v>
      </c>
      <c r="L413" s="3" t="s">
        <v>645</v>
      </c>
      <c r="M413" s="3" t="s">
        <v>649</v>
      </c>
      <c r="N413" s="3" t="s">
        <v>663</v>
      </c>
      <c r="O413" s="3" t="s">
        <v>703</v>
      </c>
      <c r="P413" s="3" t="s">
        <v>710</v>
      </c>
      <c r="Q413" s="3" t="s">
        <v>716</v>
      </c>
      <c r="R413" s="3" t="s">
        <v>726</v>
      </c>
      <c r="S413" s="3" t="s">
        <v>953</v>
      </c>
      <c r="T413" s="21">
        <v>589.14</v>
      </c>
      <c r="U413" s="21" t="str">
        <f t="shared" si="112"/>
        <v>Medium</v>
      </c>
      <c r="V413">
        <f t="shared" si="99"/>
        <v>1300.58</v>
      </c>
      <c r="W413" s="7">
        <v>1300.58</v>
      </c>
      <c r="X413" s="8">
        <v>5.5E-2</v>
      </c>
      <c r="Y413" s="14">
        <v>11</v>
      </c>
      <c r="Z413" s="7">
        <f t="shared" si="100"/>
        <v>71.531899999999993</v>
      </c>
      <c r="AA413" s="7">
        <f t="shared" si="101"/>
        <v>13519.529099999998</v>
      </c>
      <c r="AB413" s="7">
        <f t="shared" si="102"/>
        <v>13447.997199999998</v>
      </c>
      <c r="AC413" s="7">
        <f t="shared" si="103"/>
        <v>6480.54</v>
      </c>
      <c r="AD413" s="7">
        <f t="shared" si="104"/>
        <v>7038.989099999998</v>
      </c>
      <c r="AE413" s="7">
        <f t="shared" si="105"/>
        <v>6967.457199999998</v>
      </c>
      <c r="AF413" s="26">
        <f t="shared" si="106"/>
        <v>2.0861732355637028</v>
      </c>
      <c r="AG413" s="8">
        <f>IF(DASHBOARD!$Q$7&gt;'staging data'!X413,'staging data'!X413,DASHBOARD!$Q$7)</f>
        <v>5.5E-2</v>
      </c>
      <c r="AH413">
        <f>(100%+DASHBOARD!$Q$8)*'staging data'!T413</f>
        <v>677.51099999999997</v>
      </c>
      <c r="AI413">
        <f>(100%+DASHBOARD!$Q$9)*'staging data'!Y413</f>
        <v>13.2</v>
      </c>
    </row>
    <row r="414" spans="1:35" x14ac:dyDescent="0.3">
      <c r="A414" s="3" t="s">
        <v>233</v>
      </c>
      <c r="B414" s="28">
        <v>45582</v>
      </c>
      <c r="C414" s="28" t="str">
        <f t="shared" si="107"/>
        <v>Q4</v>
      </c>
      <c r="D414" s="28" t="str">
        <f t="shared" si="108"/>
        <v>2024</v>
      </c>
      <c r="E414" s="28" t="str">
        <f t="shared" si="109"/>
        <v>Sept</v>
      </c>
      <c r="F414" s="5">
        <v>45554</v>
      </c>
      <c r="G414" s="5">
        <f t="shared" si="97"/>
        <v>45579</v>
      </c>
      <c r="H414" s="5">
        <v>45579</v>
      </c>
      <c r="I414" s="5" t="str">
        <f t="shared" si="110"/>
        <v>Achieved</v>
      </c>
      <c r="J414" s="14">
        <f t="shared" si="111"/>
        <v>25</v>
      </c>
      <c r="K414" s="14">
        <f t="shared" si="98"/>
        <v>25</v>
      </c>
      <c r="L414" s="3" t="s">
        <v>647</v>
      </c>
      <c r="M414" s="3" t="s">
        <v>654</v>
      </c>
      <c r="N414" s="3" t="s">
        <v>691</v>
      </c>
      <c r="O414" s="3" t="s">
        <v>704</v>
      </c>
      <c r="P414" s="3" t="s">
        <v>706</v>
      </c>
      <c r="Q414" s="3" t="s">
        <v>722</v>
      </c>
      <c r="R414" s="3" t="s">
        <v>727</v>
      </c>
      <c r="S414" s="3" t="s">
        <v>952</v>
      </c>
      <c r="T414" s="21">
        <v>386.96</v>
      </c>
      <c r="U414" s="21" t="str">
        <f t="shared" si="112"/>
        <v>Medium</v>
      </c>
      <c r="V414">
        <f t="shared" si="99"/>
        <v>937.46</v>
      </c>
      <c r="W414" s="7">
        <v>937.46</v>
      </c>
      <c r="X414" s="8">
        <v>0.26600000000000001</v>
      </c>
      <c r="Y414" s="14">
        <v>41</v>
      </c>
      <c r="Z414" s="7">
        <f t="shared" si="100"/>
        <v>249.36436000000003</v>
      </c>
      <c r="AA414" s="7">
        <f t="shared" si="101"/>
        <v>28211.92124</v>
      </c>
      <c r="AB414" s="7">
        <f t="shared" si="102"/>
        <v>27962.55688</v>
      </c>
      <c r="AC414" s="7">
        <f t="shared" si="103"/>
        <v>15865.359999999999</v>
      </c>
      <c r="AD414" s="7">
        <f t="shared" si="104"/>
        <v>12346.561240000001</v>
      </c>
      <c r="AE414" s="7">
        <f t="shared" si="105"/>
        <v>12097.196880000001</v>
      </c>
      <c r="AF414" s="26">
        <f t="shared" si="106"/>
        <v>1.7782087037419889</v>
      </c>
      <c r="AG414" s="8">
        <f>IF(DASHBOARD!$Q$7&gt;'staging data'!X414,'staging data'!X414,DASHBOARD!$Q$7)</f>
        <v>0.2</v>
      </c>
      <c r="AH414">
        <f>(100%+DASHBOARD!$Q$8)*'staging data'!T414</f>
        <v>445.00399999999996</v>
      </c>
      <c r="AI414">
        <f>(100%+DASHBOARD!$Q$9)*'staging data'!Y414</f>
        <v>49.199999999999996</v>
      </c>
    </row>
    <row r="415" spans="1:35" x14ac:dyDescent="0.3">
      <c r="A415" s="3" t="s">
        <v>232</v>
      </c>
      <c r="B415" s="28">
        <v>45584</v>
      </c>
      <c r="C415" s="28" t="str">
        <f t="shared" si="107"/>
        <v>Q4</v>
      </c>
      <c r="D415" s="28" t="str">
        <f t="shared" si="108"/>
        <v>2024</v>
      </c>
      <c r="E415" s="28" t="str">
        <f t="shared" si="109"/>
        <v>Oct</v>
      </c>
      <c r="F415" s="5">
        <v>45576</v>
      </c>
      <c r="G415" s="5">
        <f t="shared" si="97"/>
        <v>45605</v>
      </c>
      <c r="H415" s="5">
        <v>45605</v>
      </c>
      <c r="I415" s="5" t="str">
        <f t="shared" si="110"/>
        <v>Achieved</v>
      </c>
      <c r="J415" s="14">
        <f t="shared" si="111"/>
        <v>29</v>
      </c>
      <c r="K415" s="14">
        <f t="shared" si="98"/>
        <v>29</v>
      </c>
      <c r="L415" s="3" t="s">
        <v>646</v>
      </c>
      <c r="M415" s="3" t="s">
        <v>658</v>
      </c>
      <c r="N415" s="3" t="s">
        <v>684</v>
      </c>
      <c r="O415" s="3" t="s">
        <v>702</v>
      </c>
      <c r="P415" s="3" t="s">
        <v>707</v>
      </c>
      <c r="Q415" s="3" t="s">
        <v>720</v>
      </c>
      <c r="R415" s="3" t="s">
        <v>727</v>
      </c>
      <c r="S415" s="3" t="s">
        <v>951</v>
      </c>
      <c r="T415" s="21">
        <v>391.64</v>
      </c>
      <c r="U415" s="21" t="str">
        <f t="shared" si="112"/>
        <v>Low</v>
      </c>
      <c r="V415">
        <f t="shared" si="99"/>
        <v>504.76</v>
      </c>
      <c r="W415" s="7">
        <v>504.76</v>
      </c>
      <c r="X415" s="8">
        <v>4.0000000000000001E-3</v>
      </c>
      <c r="Y415" s="14">
        <v>13</v>
      </c>
      <c r="Z415" s="7">
        <f t="shared" si="100"/>
        <v>2.0190399999999999</v>
      </c>
      <c r="AA415" s="7">
        <f t="shared" si="101"/>
        <v>6535.6324800000002</v>
      </c>
      <c r="AB415" s="7">
        <f t="shared" si="102"/>
        <v>6533.6134400000001</v>
      </c>
      <c r="AC415" s="7">
        <f t="shared" si="103"/>
        <v>5091.32</v>
      </c>
      <c r="AD415" s="7">
        <f t="shared" si="104"/>
        <v>1444.3124800000005</v>
      </c>
      <c r="AE415" s="7">
        <f t="shared" si="105"/>
        <v>1442.2934400000004</v>
      </c>
      <c r="AF415" s="26">
        <f t="shared" si="106"/>
        <v>1.2836813400061282</v>
      </c>
      <c r="AG415" s="8">
        <f>IF(DASHBOARD!$Q$7&gt;'staging data'!X415,'staging data'!X415,DASHBOARD!$Q$7)</f>
        <v>4.0000000000000001E-3</v>
      </c>
      <c r="AH415">
        <f>(100%+DASHBOARD!$Q$8)*'staging data'!T415</f>
        <v>450.38599999999997</v>
      </c>
      <c r="AI415">
        <f>(100%+DASHBOARD!$Q$9)*'staging data'!Y415</f>
        <v>15.6</v>
      </c>
    </row>
    <row r="416" spans="1:35" x14ac:dyDescent="0.3">
      <c r="A416" s="3" t="s">
        <v>231</v>
      </c>
      <c r="B416" s="28">
        <v>45587</v>
      </c>
      <c r="C416" s="28" t="str">
        <f t="shared" si="107"/>
        <v>Q4</v>
      </c>
      <c r="D416" s="28" t="str">
        <f t="shared" si="108"/>
        <v>2023</v>
      </c>
      <c r="E416" s="28" t="str">
        <f t="shared" si="109"/>
        <v>Jan</v>
      </c>
      <c r="F416" s="5">
        <v>44948</v>
      </c>
      <c r="G416" s="5">
        <f t="shared" si="97"/>
        <v>44948</v>
      </c>
      <c r="H416" s="5">
        <v>44947</v>
      </c>
      <c r="I416" s="5" t="str">
        <f t="shared" si="110"/>
        <v>Not achieved</v>
      </c>
      <c r="J416" s="14">
        <f t="shared" si="111"/>
        <v>0</v>
      </c>
      <c r="K416" s="14">
        <f t="shared" si="98"/>
        <v>-1</v>
      </c>
      <c r="L416" s="3" t="s">
        <v>648</v>
      </c>
      <c r="M416" s="3" t="s">
        <v>655</v>
      </c>
      <c r="N416" s="3" t="s">
        <v>683</v>
      </c>
      <c r="O416" s="3" t="s">
        <v>700</v>
      </c>
      <c r="P416" s="3" t="s">
        <v>710</v>
      </c>
      <c r="Q416" s="3" t="s">
        <v>720</v>
      </c>
      <c r="R416" s="3" t="s">
        <v>731</v>
      </c>
      <c r="S416" s="3" t="s">
        <v>950</v>
      </c>
      <c r="T416" s="21">
        <v>150.86000000000001</v>
      </c>
      <c r="U416" s="21" t="str">
        <f t="shared" si="112"/>
        <v>Low</v>
      </c>
      <c r="V416">
        <f t="shared" si="99"/>
        <v>346.96</v>
      </c>
      <c r="W416" s="7">
        <v>346.96</v>
      </c>
      <c r="X416" s="8">
        <v>0.19600000000000001</v>
      </c>
      <c r="Y416" s="14">
        <v>8</v>
      </c>
      <c r="Z416" s="7">
        <f t="shared" si="100"/>
        <v>68.004159999999999</v>
      </c>
      <c r="AA416" s="7">
        <f t="shared" si="101"/>
        <v>2231.6467200000002</v>
      </c>
      <c r="AB416" s="7">
        <f t="shared" si="102"/>
        <v>2163.6425600000002</v>
      </c>
      <c r="AC416" s="7">
        <f t="shared" si="103"/>
        <v>1206.8800000000001</v>
      </c>
      <c r="AD416" s="7">
        <f t="shared" si="104"/>
        <v>1024.7667200000001</v>
      </c>
      <c r="AE416" s="7">
        <f t="shared" si="105"/>
        <v>956.76256000000012</v>
      </c>
      <c r="AF416" s="26">
        <f t="shared" si="106"/>
        <v>1.8491040699986743</v>
      </c>
      <c r="AG416" s="8">
        <f>IF(DASHBOARD!$Q$7&gt;'staging data'!X416,'staging data'!X416,DASHBOARD!$Q$7)</f>
        <v>0.19600000000000001</v>
      </c>
      <c r="AH416">
        <f>(100%+DASHBOARD!$Q$8)*'staging data'!T416</f>
        <v>173.489</v>
      </c>
      <c r="AI416">
        <f>(100%+DASHBOARD!$Q$9)*'staging data'!Y416</f>
        <v>9.6</v>
      </c>
    </row>
    <row r="417" spans="1:35" x14ac:dyDescent="0.3">
      <c r="A417" s="3" t="s">
        <v>229</v>
      </c>
      <c r="B417" s="28">
        <v>45588</v>
      </c>
      <c r="C417" s="28" t="str">
        <f t="shared" si="107"/>
        <v>Q4</v>
      </c>
      <c r="D417" s="28" t="str">
        <f t="shared" si="108"/>
        <v>2024</v>
      </c>
      <c r="E417" s="28" t="str">
        <f t="shared" si="109"/>
        <v>Feb</v>
      </c>
      <c r="F417" s="5">
        <v>45351</v>
      </c>
      <c r="G417" s="5">
        <f t="shared" si="97"/>
        <v>45381</v>
      </c>
      <c r="H417" s="5">
        <v>45381</v>
      </c>
      <c r="I417" s="5" t="str">
        <f t="shared" si="110"/>
        <v>Achieved</v>
      </c>
      <c r="J417" s="14">
        <f t="shared" si="111"/>
        <v>30</v>
      </c>
      <c r="K417" s="14">
        <f t="shared" si="98"/>
        <v>30</v>
      </c>
      <c r="L417" s="3" t="s">
        <v>646</v>
      </c>
      <c r="M417" s="3" t="s">
        <v>651</v>
      </c>
      <c r="N417" s="3" t="s">
        <v>693</v>
      </c>
      <c r="O417" s="3" t="s">
        <v>704</v>
      </c>
      <c r="P417" s="3" t="s">
        <v>710</v>
      </c>
      <c r="Q417" s="3" t="s">
        <v>713</v>
      </c>
      <c r="R417" s="3" t="s">
        <v>728</v>
      </c>
      <c r="S417" s="3" t="s">
        <v>948</v>
      </c>
      <c r="T417" s="21">
        <v>231.11</v>
      </c>
      <c r="U417" s="21" t="str">
        <f t="shared" si="112"/>
        <v>Low</v>
      </c>
      <c r="V417">
        <f t="shared" si="99"/>
        <v>318.17</v>
      </c>
      <c r="W417" s="7">
        <v>318.17</v>
      </c>
      <c r="X417" s="8">
        <v>0.20100000000000001</v>
      </c>
      <c r="Y417" s="14">
        <v>60</v>
      </c>
      <c r="Z417" s="7">
        <f t="shared" si="100"/>
        <v>63.95217000000001</v>
      </c>
      <c r="AA417" s="7">
        <f t="shared" si="101"/>
        <v>15253.069799999999</v>
      </c>
      <c r="AB417" s="7">
        <f t="shared" si="102"/>
        <v>15189.117629999999</v>
      </c>
      <c r="AC417" s="7">
        <f t="shared" si="103"/>
        <v>13866.6</v>
      </c>
      <c r="AD417" s="7">
        <f t="shared" si="104"/>
        <v>1386.4697999999989</v>
      </c>
      <c r="AE417" s="7">
        <f t="shared" si="105"/>
        <v>1322.5176299999985</v>
      </c>
      <c r="AF417" s="26">
        <f t="shared" si="106"/>
        <v>1.0999862835879017</v>
      </c>
      <c r="AG417" s="8">
        <f>IF(DASHBOARD!$Q$7&gt;'staging data'!X417,'staging data'!X417,DASHBOARD!$Q$7)</f>
        <v>0.2</v>
      </c>
      <c r="AH417">
        <f>(100%+DASHBOARD!$Q$8)*'staging data'!T417</f>
        <v>265.7765</v>
      </c>
      <c r="AI417">
        <f>(100%+DASHBOARD!$Q$9)*'staging data'!Y417</f>
        <v>72</v>
      </c>
    </row>
    <row r="418" spans="1:35" x14ac:dyDescent="0.3">
      <c r="A418" s="3" t="s">
        <v>230</v>
      </c>
      <c r="B418" s="28">
        <v>45588</v>
      </c>
      <c r="C418" s="28" t="str">
        <f t="shared" si="107"/>
        <v>Q4</v>
      </c>
      <c r="D418" s="28" t="str">
        <f t="shared" si="108"/>
        <v>2023</v>
      </c>
      <c r="E418" s="28" t="str">
        <f t="shared" si="109"/>
        <v>Dec</v>
      </c>
      <c r="F418" s="5">
        <v>45280</v>
      </c>
      <c r="G418" s="5">
        <f t="shared" si="97"/>
        <v>45305</v>
      </c>
      <c r="H418" s="5">
        <v>45305</v>
      </c>
      <c r="I418" s="5" t="str">
        <f t="shared" si="110"/>
        <v>Achieved</v>
      </c>
      <c r="J418" s="14">
        <f t="shared" si="111"/>
        <v>25</v>
      </c>
      <c r="K418" s="14">
        <f t="shared" si="98"/>
        <v>25</v>
      </c>
      <c r="L418" s="3" t="s">
        <v>646</v>
      </c>
      <c r="M418" s="3" t="s">
        <v>653</v>
      </c>
      <c r="N418" s="3" t="s">
        <v>690</v>
      </c>
      <c r="O418" s="3" t="s">
        <v>702</v>
      </c>
      <c r="P418" s="3" t="s">
        <v>708</v>
      </c>
      <c r="Q418" s="3" t="s">
        <v>715</v>
      </c>
      <c r="R418" s="3" t="s">
        <v>731</v>
      </c>
      <c r="S418" s="3" t="s">
        <v>949</v>
      </c>
      <c r="T418" s="21">
        <v>1085.6099999999999</v>
      </c>
      <c r="U418" s="21" t="str">
        <f t="shared" si="112"/>
        <v>Medium</v>
      </c>
      <c r="V418">
        <f t="shared" si="99"/>
        <v>1246.4100000000001</v>
      </c>
      <c r="W418" s="7">
        <v>1246.4100000000001</v>
      </c>
      <c r="X418" s="8">
        <v>0.113</v>
      </c>
      <c r="Y418" s="14">
        <v>7</v>
      </c>
      <c r="Z418" s="7">
        <f t="shared" si="100"/>
        <v>140.84433000000001</v>
      </c>
      <c r="AA418" s="7">
        <f t="shared" si="101"/>
        <v>7738.9596900000006</v>
      </c>
      <c r="AB418" s="7">
        <f t="shared" si="102"/>
        <v>7598.1153600000007</v>
      </c>
      <c r="AC418" s="7">
        <f t="shared" si="103"/>
        <v>7599.2699999999995</v>
      </c>
      <c r="AD418" s="7">
        <f t="shared" si="104"/>
        <v>139.68969000000106</v>
      </c>
      <c r="AE418" s="7">
        <f t="shared" si="105"/>
        <v>-1.1546399999988353</v>
      </c>
      <c r="AF418" s="26">
        <f t="shared" si="106"/>
        <v>1.0183819880067428</v>
      </c>
      <c r="AG418" s="8">
        <f>IF(DASHBOARD!$Q$7&gt;'staging data'!X418,'staging data'!X418,DASHBOARD!$Q$7)</f>
        <v>0.113</v>
      </c>
      <c r="AH418">
        <f>(100%+DASHBOARD!$Q$8)*'staging data'!T418</f>
        <v>1248.4514999999999</v>
      </c>
      <c r="AI418">
        <f>(100%+DASHBOARD!$Q$9)*'staging data'!Y418</f>
        <v>8.4</v>
      </c>
    </row>
    <row r="419" spans="1:35" x14ac:dyDescent="0.3">
      <c r="A419" s="3" t="s">
        <v>228</v>
      </c>
      <c r="B419" s="28">
        <v>45589</v>
      </c>
      <c r="C419" s="28" t="str">
        <f t="shared" si="107"/>
        <v>Q4</v>
      </c>
      <c r="D419" s="28" t="str">
        <f t="shared" si="108"/>
        <v>2023</v>
      </c>
      <c r="E419" s="28" t="str">
        <f t="shared" si="109"/>
        <v>Nov</v>
      </c>
      <c r="F419" s="5">
        <v>45240</v>
      </c>
      <c r="G419" s="5">
        <f t="shared" si="97"/>
        <v>45258</v>
      </c>
      <c r="H419" s="5">
        <v>45258</v>
      </c>
      <c r="I419" s="5" t="str">
        <f t="shared" si="110"/>
        <v>Achieved</v>
      </c>
      <c r="J419" s="14">
        <f t="shared" si="111"/>
        <v>18</v>
      </c>
      <c r="K419" s="14">
        <f t="shared" si="98"/>
        <v>18</v>
      </c>
      <c r="L419" s="3" t="s">
        <v>647</v>
      </c>
      <c r="M419" s="3" t="s">
        <v>654</v>
      </c>
      <c r="N419" s="3" t="s">
        <v>671</v>
      </c>
      <c r="O419" s="3" t="s">
        <v>701</v>
      </c>
      <c r="P419" s="3" t="s">
        <v>708</v>
      </c>
      <c r="Q419" s="3" t="s">
        <v>715</v>
      </c>
      <c r="R419" s="3" t="s">
        <v>732</v>
      </c>
      <c r="S419" s="3" t="s">
        <v>947</v>
      </c>
      <c r="T419" s="21">
        <v>388.51</v>
      </c>
      <c r="U419" s="21" t="str">
        <f t="shared" si="112"/>
        <v>Medium</v>
      </c>
      <c r="V419">
        <f t="shared" si="99"/>
        <v>776.46</v>
      </c>
      <c r="W419" s="7">
        <v>776.46</v>
      </c>
      <c r="X419" s="8">
        <v>0.157</v>
      </c>
      <c r="Y419" s="14">
        <v>12</v>
      </c>
      <c r="Z419" s="7">
        <f t="shared" si="100"/>
        <v>121.90422000000001</v>
      </c>
      <c r="AA419" s="7">
        <f t="shared" si="101"/>
        <v>7854.6693599999999</v>
      </c>
      <c r="AB419" s="7">
        <f t="shared" si="102"/>
        <v>7732.7651399999995</v>
      </c>
      <c r="AC419" s="7">
        <f t="shared" si="103"/>
        <v>4662.12</v>
      </c>
      <c r="AD419" s="7">
        <f t="shared" si="104"/>
        <v>3192.54936</v>
      </c>
      <c r="AE419" s="7">
        <f t="shared" si="105"/>
        <v>3070.6451399999996</v>
      </c>
      <c r="AF419" s="26">
        <f t="shared" si="106"/>
        <v>1.6847848961416694</v>
      </c>
      <c r="AG419" s="8">
        <f>IF(DASHBOARD!$Q$7&gt;'staging data'!X419,'staging data'!X419,DASHBOARD!$Q$7)</f>
        <v>0.157</v>
      </c>
      <c r="AH419">
        <f>(100%+DASHBOARD!$Q$8)*'staging data'!T419</f>
        <v>446.78649999999993</v>
      </c>
      <c r="AI419">
        <f>(100%+DASHBOARD!$Q$9)*'staging data'!Y419</f>
        <v>14.399999999999999</v>
      </c>
    </row>
    <row r="420" spans="1:35" x14ac:dyDescent="0.3">
      <c r="A420" s="3" t="s">
        <v>226</v>
      </c>
      <c r="B420" s="28">
        <v>45590</v>
      </c>
      <c r="C420" s="28" t="str">
        <f t="shared" si="107"/>
        <v>Q4</v>
      </c>
      <c r="D420" s="28" t="str">
        <f t="shared" si="108"/>
        <v>2024</v>
      </c>
      <c r="E420" s="28" t="str">
        <f t="shared" si="109"/>
        <v>Sept</v>
      </c>
      <c r="F420" s="5">
        <v>45544</v>
      </c>
      <c r="G420" s="5">
        <f t="shared" si="97"/>
        <v>45566</v>
      </c>
      <c r="H420" s="5">
        <v>45566</v>
      </c>
      <c r="I420" s="5" t="str">
        <f t="shared" si="110"/>
        <v>Achieved</v>
      </c>
      <c r="J420" s="14">
        <f t="shared" si="111"/>
        <v>22</v>
      </c>
      <c r="K420" s="14">
        <f t="shared" si="98"/>
        <v>22</v>
      </c>
      <c r="L420" s="3" t="s">
        <v>646</v>
      </c>
      <c r="M420" s="3" t="s">
        <v>658</v>
      </c>
      <c r="N420" s="3" t="s">
        <v>675</v>
      </c>
      <c r="O420" s="3" t="s">
        <v>703</v>
      </c>
      <c r="P420" s="3" t="s">
        <v>710</v>
      </c>
      <c r="Q420" s="3" t="s">
        <v>715</v>
      </c>
      <c r="R420" s="3" t="s">
        <v>727</v>
      </c>
      <c r="S420" s="3" t="s">
        <v>945</v>
      </c>
      <c r="T420" s="21">
        <v>1166.18</v>
      </c>
      <c r="U420" s="21" t="str">
        <f t="shared" si="112"/>
        <v>Medium</v>
      </c>
      <c r="V420">
        <f t="shared" si="99"/>
        <v>1335.02</v>
      </c>
      <c r="W420" s="7">
        <v>1335.02</v>
      </c>
      <c r="X420" s="8">
        <v>0.128</v>
      </c>
      <c r="Y420" s="14">
        <v>6</v>
      </c>
      <c r="Z420" s="7">
        <f t="shared" si="100"/>
        <v>170.88256000000001</v>
      </c>
      <c r="AA420" s="7">
        <f t="shared" si="101"/>
        <v>6984.8246399999998</v>
      </c>
      <c r="AB420" s="7">
        <f t="shared" si="102"/>
        <v>6813.9420799999998</v>
      </c>
      <c r="AC420" s="7">
        <f t="shared" si="103"/>
        <v>6997.08</v>
      </c>
      <c r="AD420" s="7">
        <f t="shared" si="104"/>
        <v>-12.25536000000011</v>
      </c>
      <c r="AE420" s="7">
        <f t="shared" si="105"/>
        <v>-183.13792000000012</v>
      </c>
      <c r="AF420" s="26">
        <f t="shared" si="106"/>
        <v>0.9982485036615274</v>
      </c>
      <c r="AG420" s="8">
        <f>IF(DASHBOARD!$Q$7&gt;'staging data'!X420,'staging data'!X420,DASHBOARD!$Q$7)</f>
        <v>0.128</v>
      </c>
      <c r="AH420">
        <f>(100%+DASHBOARD!$Q$8)*'staging data'!T420</f>
        <v>1341.107</v>
      </c>
      <c r="AI420">
        <f>(100%+DASHBOARD!$Q$9)*'staging data'!Y420</f>
        <v>7.1999999999999993</v>
      </c>
    </row>
    <row r="421" spans="1:35" x14ac:dyDescent="0.3">
      <c r="A421" s="3" t="s">
        <v>227</v>
      </c>
      <c r="B421" s="28">
        <v>45590</v>
      </c>
      <c r="C421" s="28" t="str">
        <f t="shared" si="107"/>
        <v>Q4</v>
      </c>
      <c r="D421" s="28" t="str">
        <f t="shared" si="108"/>
        <v>2025</v>
      </c>
      <c r="E421" s="28" t="str">
        <f t="shared" si="109"/>
        <v>Jan</v>
      </c>
      <c r="F421" s="5">
        <v>45686</v>
      </c>
      <c r="G421" s="5">
        <f t="shared" si="97"/>
        <v>45694</v>
      </c>
      <c r="H421" s="5">
        <v>45694</v>
      </c>
      <c r="I421" s="5" t="str">
        <f t="shared" si="110"/>
        <v>Achieved</v>
      </c>
      <c r="J421" s="14">
        <f t="shared" si="111"/>
        <v>8</v>
      </c>
      <c r="K421" s="14">
        <f t="shared" si="98"/>
        <v>8</v>
      </c>
      <c r="L421" s="3" t="s">
        <v>645</v>
      </c>
      <c r="M421" s="3" t="s">
        <v>649</v>
      </c>
      <c r="N421" s="3" t="s">
        <v>661</v>
      </c>
      <c r="O421" s="3" t="s">
        <v>701</v>
      </c>
      <c r="P421" s="3" t="s">
        <v>706</v>
      </c>
      <c r="Q421" s="3" t="s">
        <v>716</v>
      </c>
      <c r="R421" s="3" t="s">
        <v>729</v>
      </c>
      <c r="S421" s="3" t="s">
        <v>946</v>
      </c>
      <c r="T421" s="21">
        <v>1445.27</v>
      </c>
      <c r="U421" s="21" t="str">
        <f t="shared" si="112"/>
        <v>High</v>
      </c>
      <c r="V421">
        <f t="shared" si="99"/>
        <v>2691.45</v>
      </c>
      <c r="W421" s="7">
        <v>2691.45</v>
      </c>
      <c r="X421" s="8">
        <v>0</v>
      </c>
      <c r="Y421" s="14">
        <v>9</v>
      </c>
      <c r="Z421" s="7">
        <f t="shared" si="100"/>
        <v>0</v>
      </c>
      <c r="AA421" s="7">
        <f t="shared" si="101"/>
        <v>24223.05</v>
      </c>
      <c r="AB421" s="7">
        <f t="shared" si="102"/>
        <v>24223.05</v>
      </c>
      <c r="AC421" s="7">
        <f t="shared" si="103"/>
        <v>13007.43</v>
      </c>
      <c r="AD421" s="7">
        <f t="shared" si="104"/>
        <v>11215.619999999999</v>
      </c>
      <c r="AE421" s="7">
        <f t="shared" si="105"/>
        <v>11215.619999999999</v>
      </c>
      <c r="AF421" s="26">
        <f t="shared" si="106"/>
        <v>1.8622471925660948</v>
      </c>
      <c r="AG421" s="8">
        <f>IF(DASHBOARD!$Q$7&gt;'staging data'!X421,'staging data'!X421,DASHBOARD!$Q$7)</f>
        <v>0</v>
      </c>
      <c r="AH421">
        <f>(100%+DASHBOARD!$Q$8)*'staging data'!T421</f>
        <v>1662.0604999999998</v>
      </c>
      <c r="AI421">
        <f>(100%+DASHBOARD!$Q$9)*'staging data'!Y421</f>
        <v>10.799999999999999</v>
      </c>
    </row>
    <row r="422" spans="1:35" x14ac:dyDescent="0.3">
      <c r="A422" s="3" t="s">
        <v>225</v>
      </c>
      <c r="B422" s="28">
        <v>45592</v>
      </c>
      <c r="C422" s="28" t="str">
        <f t="shared" si="107"/>
        <v>Q4</v>
      </c>
      <c r="D422" s="28" t="str">
        <f t="shared" si="108"/>
        <v>2025</v>
      </c>
      <c r="E422" s="28" t="str">
        <f t="shared" si="109"/>
        <v>Jul</v>
      </c>
      <c r="F422" s="5">
        <v>45852</v>
      </c>
      <c r="G422" s="5">
        <f t="shared" si="97"/>
        <v>45873</v>
      </c>
      <c r="H422" s="5">
        <v>45873</v>
      </c>
      <c r="I422" s="5" t="str">
        <f t="shared" si="110"/>
        <v>Achieved</v>
      </c>
      <c r="J422" s="14">
        <f t="shared" si="111"/>
        <v>21</v>
      </c>
      <c r="K422" s="14">
        <f t="shared" si="98"/>
        <v>21</v>
      </c>
      <c r="L422" s="3" t="s">
        <v>647</v>
      </c>
      <c r="M422" s="3" t="s">
        <v>652</v>
      </c>
      <c r="N422" s="3" t="s">
        <v>680</v>
      </c>
      <c r="O422" s="3" t="s">
        <v>703</v>
      </c>
      <c r="P422" s="3" t="s">
        <v>707</v>
      </c>
      <c r="Q422" s="3" t="s">
        <v>721</v>
      </c>
      <c r="R422" s="3" t="s">
        <v>731</v>
      </c>
      <c r="S422" s="3" t="s">
        <v>944</v>
      </c>
      <c r="T422" s="21">
        <v>90.3</v>
      </c>
      <c r="U422" s="21" t="str">
        <f t="shared" si="112"/>
        <v>Low</v>
      </c>
      <c r="V422">
        <f t="shared" si="99"/>
        <v>131.76</v>
      </c>
      <c r="W422" s="7">
        <v>131.76</v>
      </c>
      <c r="X422" s="8">
        <v>0.10199999999999999</v>
      </c>
      <c r="Y422" s="14">
        <v>15</v>
      </c>
      <c r="Z422" s="7">
        <f t="shared" si="100"/>
        <v>13.439519999999998</v>
      </c>
      <c r="AA422" s="7">
        <f t="shared" si="101"/>
        <v>1774.8072</v>
      </c>
      <c r="AB422" s="7">
        <f t="shared" si="102"/>
        <v>1761.3676800000001</v>
      </c>
      <c r="AC422" s="7">
        <f t="shared" si="103"/>
        <v>1354.5</v>
      </c>
      <c r="AD422" s="7">
        <f t="shared" si="104"/>
        <v>420.30719999999997</v>
      </c>
      <c r="AE422" s="7">
        <f t="shared" si="105"/>
        <v>406.86768000000006</v>
      </c>
      <c r="AF422" s="26">
        <f t="shared" si="106"/>
        <v>1.310304318936877</v>
      </c>
      <c r="AG422" s="8">
        <f>IF(DASHBOARD!$Q$7&gt;'staging data'!X422,'staging data'!X422,DASHBOARD!$Q$7)</f>
        <v>0.10199999999999999</v>
      </c>
      <c r="AH422">
        <f>(100%+DASHBOARD!$Q$8)*'staging data'!T422</f>
        <v>103.84499999999998</v>
      </c>
      <c r="AI422">
        <f>(100%+DASHBOARD!$Q$9)*'staging data'!Y422</f>
        <v>18</v>
      </c>
    </row>
    <row r="423" spans="1:35" x14ac:dyDescent="0.3">
      <c r="A423" s="3" t="s">
        <v>224</v>
      </c>
      <c r="B423" s="28">
        <v>45594</v>
      </c>
      <c r="C423" s="28" t="str">
        <f t="shared" si="107"/>
        <v>Q4</v>
      </c>
      <c r="D423" s="28" t="str">
        <f t="shared" si="108"/>
        <v>2024</v>
      </c>
      <c r="E423" s="28" t="str">
        <f t="shared" si="109"/>
        <v>Oct</v>
      </c>
      <c r="F423" s="5">
        <v>45567</v>
      </c>
      <c r="G423" s="5">
        <f t="shared" si="97"/>
        <v>45588</v>
      </c>
      <c r="H423" s="5">
        <v>45588</v>
      </c>
      <c r="I423" s="5" t="str">
        <f t="shared" si="110"/>
        <v>Achieved</v>
      </c>
      <c r="J423" s="14">
        <f t="shared" si="111"/>
        <v>21</v>
      </c>
      <c r="K423" s="14">
        <f t="shared" si="98"/>
        <v>21</v>
      </c>
      <c r="L423" s="3" t="s">
        <v>645</v>
      </c>
      <c r="M423" s="3" t="s">
        <v>660</v>
      </c>
      <c r="N423" s="3" t="s">
        <v>686</v>
      </c>
      <c r="O423" s="3" t="s">
        <v>700</v>
      </c>
      <c r="P423" s="3" t="s">
        <v>708</v>
      </c>
      <c r="Q423" s="3" t="s">
        <v>719</v>
      </c>
      <c r="R423" s="3" t="s">
        <v>726</v>
      </c>
      <c r="S423" s="3" t="s">
        <v>943</v>
      </c>
      <c r="T423" s="21">
        <v>1095.6099999999999</v>
      </c>
      <c r="U423" s="21" t="str">
        <f t="shared" si="112"/>
        <v>High</v>
      </c>
      <c r="V423">
        <f t="shared" si="99"/>
        <v>2366.5100000000002</v>
      </c>
      <c r="W423" s="7">
        <v>2366.5100000000002</v>
      </c>
      <c r="X423" s="8">
        <v>0.152</v>
      </c>
      <c r="Y423" s="14">
        <v>9</v>
      </c>
      <c r="Z423" s="7">
        <f t="shared" si="100"/>
        <v>359.70952</v>
      </c>
      <c r="AA423" s="7">
        <f t="shared" si="101"/>
        <v>18061.204320000004</v>
      </c>
      <c r="AB423" s="7">
        <f t="shared" si="102"/>
        <v>17701.494800000004</v>
      </c>
      <c r="AC423" s="7">
        <f t="shared" si="103"/>
        <v>9860.49</v>
      </c>
      <c r="AD423" s="7">
        <f t="shared" si="104"/>
        <v>8200.7143200000046</v>
      </c>
      <c r="AE423" s="7">
        <f t="shared" si="105"/>
        <v>7841.0048000000043</v>
      </c>
      <c r="AF423" s="26">
        <f t="shared" si="106"/>
        <v>1.8316741176148452</v>
      </c>
      <c r="AG423" s="8">
        <f>IF(DASHBOARD!$Q$7&gt;'staging data'!X423,'staging data'!X423,DASHBOARD!$Q$7)</f>
        <v>0.152</v>
      </c>
      <c r="AH423">
        <f>(100%+DASHBOARD!$Q$8)*'staging data'!T423</f>
        <v>1259.9514999999999</v>
      </c>
      <c r="AI423">
        <f>(100%+DASHBOARD!$Q$9)*'staging data'!Y423</f>
        <v>10.799999999999999</v>
      </c>
    </row>
    <row r="424" spans="1:35" x14ac:dyDescent="0.3">
      <c r="A424" s="3" t="s">
        <v>223</v>
      </c>
      <c r="B424" s="28">
        <v>45595</v>
      </c>
      <c r="C424" s="28" t="str">
        <f t="shared" si="107"/>
        <v>Q4</v>
      </c>
      <c r="D424" s="28" t="str">
        <f t="shared" si="108"/>
        <v>2025</v>
      </c>
      <c r="E424" s="28" t="str">
        <f t="shared" si="109"/>
        <v>Jul</v>
      </c>
      <c r="F424" s="5">
        <v>45859</v>
      </c>
      <c r="G424" s="5">
        <f t="shared" si="97"/>
        <v>45876</v>
      </c>
      <c r="H424" s="5">
        <v>45876</v>
      </c>
      <c r="I424" s="5" t="str">
        <f t="shared" si="110"/>
        <v>Achieved</v>
      </c>
      <c r="J424" s="14">
        <f t="shared" si="111"/>
        <v>17</v>
      </c>
      <c r="K424" s="14">
        <f t="shared" si="98"/>
        <v>17</v>
      </c>
      <c r="L424" s="3" t="s">
        <v>645</v>
      </c>
      <c r="M424" s="3" t="s">
        <v>650</v>
      </c>
      <c r="N424" s="3" t="s">
        <v>664</v>
      </c>
      <c r="O424" s="3" t="s">
        <v>705</v>
      </c>
      <c r="P424" s="3" t="s">
        <v>710</v>
      </c>
      <c r="Q424" s="3" t="s">
        <v>723</v>
      </c>
      <c r="R424" s="3" t="s">
        <v>732</v>
      </c>
      <c r="S424" s="3" t="s">
        <v>942</v>
      </c>
      <c r="T424" s="21">
        <v>1204.95</v>
      </c>
      <c r="U424" s="21" t="str">
        <f t="shared" si="112"/>
        <v>High</v>
      </c>
      <c r="V424">
        <f t="shared" si="99"/>
        <v>2065.73</v>
      </c>
      <c r="W424" s="7">
        <v>2065.73</v>
      </c>
      <c r="X424" s="8">
        <v>0.13600000000000001</v>
      </c>
      <c r="Y424" s="14">
        <v>10</v>
      </c>
      <c r="Z424" s="7">
        <f t="shared" si="100"/>
        <v>280.93928</v>
      </c>
      <c r="AA424" s="7">
        <f t="shared" si="101"/>
        <v>17847.907199999998</v>
      </c>
      <c r="AB424" s="7">
        <f t="shared" si="102"/>
        <v>17566.967919999999</v>
      </c>
      <c r="AC424" s="7">
        <f t="shared" si="103"/>
        <v>12049.5</v>
      </c>
      <c r="AD424" s="7">
        <f t="shared" si="104"/>
        <v>5798.4071999999978</v>
      </c>
      <c r="AE424" s="7">
        <f t="shared" si="105"/>
        <v>5517.4679199999991</v>
      </c>
      <c r="AF424" s="26">
        <f t="shared" si="106"/>
        <v>1.4812155857089504</v>
      </c>
      <c r="AG424" s="8">
        <f>IF(DASHBOARD!$Q$7&gt;'staging data'!X424,'staging data'!X424,DASHBOARD!$Q$7)</f>
        <v>0.13600000000000001</v>
      </c>
      <c r="AH424">
        <f>(100%+DASHBOARD!$Q$8)*'staging data'!T424</f>
        <v>1385.6924999999999</v>
      </c>
      <c r="AI424">
        <f>(100%+DASHBOARD!$Q$9)*'staging data'!Y424</f>
        <v>12</v>
      </c>
    </row>
    <row r="425" spans="1:35" x14ac:dyDescent="0.3">
      <c r="A425" s="3" t="s">
        <v>222</v>
      </c>
      <c r="B425" s="28">
        <v>45597</v>
      </c>
      <c r="C425" s="28" t="str">
        <f t="shared" si="107"/>
        <v>Q4</v>
      </c>
      <c r="D425" s="28" t="str">
        <f t="shared" si="108"/>
        <v>2024</v>
      </c>
      <c r="E425" s="28" t="str">
        <f t="shared" si="109"/>
        <v>Sept</v>
      </c>
      <c r="F425" s="5">
        <v>45545</v>
      </c>
      <c r="G425" s="5">
        <f t="shared" si="97"/>
        <v>45572</v>
      </c>
      <c r="H425" s="5">
        <v>45572</v>
      </c>
      <c r="I425" s="5" t="str">
        <f t="shared" si="110"/>
        <v>Achieved</v>
      </c>
      <c r="J425" s="14">
        <f t="shared" si="111"/>
        <v>27</v>
      </c>
      <c r="K425" s="14">
        <f t="shared" si="98"/>
        <v>27</v>
      </c>
      <c r="L425" s="3" t="s">
        <v>645</v>
      </c>
      <c r="M425" s="3" t="s">
        <v>649</v>
      </c>
      <c r="N425" s="3" t="s">
        <v>661</v>
      </c>
      <c r="O425" s="3" t="s">
        <v>703</v>
      </c>
      <c r="P425" s="3" t="s">
        <v>706</v>
      </c>
      <c r="Q425" s="3" t="s">
        <v>715</v>
      </c>
      <c r="R425" s="3" t="s">
        <v>727</v>
      </c>
      <c r="S425" s="3" t="s">
        <v>941</v>
      </c>
      <c r="T425" s="21">
        <v>1248.3900000000001</v>
      </c>
      <c r="U425" s="21" t="str">
        <f t="shared" si="112"/>
        <v>Medium</v>
      </c>
      <c r="V425">
        <f t="shared" si="99"/>
        <v>1805.11</v>
      </c>
      <c r="W425" s="7">
        <v>1805.11</v>
      </c>
      <c r="X425" s="8">
        <v>0.20300000000000001</v>
      </c>
      <c r="Y425" s="14">
        <v>11</v>
      </c>
      <c r="Z425" s="7">
        <f t="shared" si="100"/>
        <v>366.43733000000003</v>
      </c>
      <c r="AA425" s="7">
        <f t="shared" si="101"/>
        <v>15825.399369999997</v>
      </c>
      <c r="AB425" s="7">
        <f t="shared" si="102"/>
        <v>15458.962039999997</v>
      </c>
      <c r="AC425" s="7">
        <f t="shared" si="103"/>
        <v>13732.29</v>
      </c>
      <c r="AD425" s="7">
        <f t="shared" si="104"/>
        <v>2093.1093699999965</v>
      </c>
      <c r="AE425" s="7">
        <f t="shared" si="105"/>
        <v>1726.6720399999958</v>
      </c>
      <c r="AF425" s="26">
        <f t="shared" si="106"/>
        <v>1.1524224561234868</v>
      </c>
      <c r="AG425" s="8">
        <f>IF(DASHBOARD!$Q$7&gt;'staging data'!X425,'staging data'!X425,DASHBOARD!$Q$7)</f>
        <v>0.2</v>
      </c>
      <c r="AH425">
        <f>(100%+DASHBOARD!$Q$8)*'staging data'!T425</f>
        <v>1435.6485</v>
      </c>
      <c r="AI425">
        <f>(100%+DASHBOARD!$Q$9)*'staging data'!Y425</f>
        <v>13.2</v>
      </c>
    </row>
    <row r="426" spans="1:35" x14ac:dyDescent="0.3">
      <c r="A426" s="3" t="s">
        <v>220</v>
      </c>
      <c r="B426" s="28">
        <v>45598</v>
      </c>
      <c r="C426" s="28" t="str">
        <f t="shared" si="107"/>
        <v>Q4</v>
      </c>
      <c r="D426" s="28" t="str">
        <f t="shared" si="108"/>
        <v>2023</v>
      </c>
      <c r="E426" s="28" t="str">
        <f t="shared" si="109"/>
        <v>Jul</v>
      </c>
      <c r="F426" s="5">
        <v>45109</v>
      </c>
      <c r="G426" s="5">
        <f t="shared" si="97"/>
        <v>45139</v>
      </c>
      <c r="H426" s="5">
        <v>45139</v>
      </c>
      <c r="I426" s="5" t="str">
        <f t="shared" si="110"/>
        <v>Achieved</v>
      </c>
      <c r="J426" s="14">
        <f t="shared" si="111"/>
        <v>30</v>
      </c>
      <c r="K426" s="14">
        <f t="shared" si="98"/>
        <v>30</v>
      </c>
      <c r="L426" s="3" t="s">
        <v>648</v>
      </c>
      <c r="M426" s="3" t="s">
        <v>657</v>
      </c>
      <c r="N426" s="3" t="s">
        <v>673</v>
      </c>
      <c r="O426" s="3" t="s">
        <v>704</v>
      </c>
      <c r="P426" s="3" t="s">
        <v>706</v>
      </c>
      <c r="Q426" s="3" t="s">
        <v>716</v>
      </c>
      <c r="R426" s="3" t="s">
        <v>726</v>
      </c>
      <c r="S426" s="3" t="s">
        <v>939</v>
      </c>
      <c r="T426" s="21">
        <v>137.46</v>
      </c>
      <c r="U426" s="21" t="str">
        <f t="shared" si="112"/>
        <v>Low</v>
      </c>
      <c r="V426">
        <f t="shared" si="99"/>
        <v>188.3</v>
      </c>
      <c r="W426" s="7">
        <v>188.3</v>
      </c>
      <c r="X426" s="8">
        <v>3.7999999999999999E-2</v>
      </c>
      <c r="Y426" s="14">
        <v>37</v>
      </c>
      <c r="Z426" s="7">
        <f t="shared" si="100"/>
        <v>7.1554000000000002</v>
      </c>
      <c r="AA426" s="7">
        <f t="shared" si="101"/>
        <v>6702.3501999999999</v>
      </c>
      <c r="AB426" s="7">
        <f t="shared" si="102"/>
        <v>6695.1948000000002</v>
      </c>
      <c r="AC426" s="7">
        <f t="shared" si="103"/>
        <v>5086.0200000000004</v>
      </c>
      <c r="AD426" s="7">
        <f t="shared" si="104"/>
        <v>1616.3301999999994</v>
      </c>
      <c r="AE426" s="7">
        <f t="shared" si="105"/>
        <v>1609.1747999999998</v>
      </c>
      <c r="AF426" s="26">
        <f t="shared" si="106"/>
        <v>1.3177986323294049</v>
      </c>
      <c r="AG426" s="8">
        <f>IF(DASHBOARD!$Q$7&gt;'staging data'!X426,'staging data'!X426,DASHBOARD!$Q$7)</f>
        <v>3.7999999999999999E-2</v>
      </c>
      <c r="AH426">
        <f>(100%+DASHBOARD!$Q$8)*'staging data'!T426</f>
        <v>158.07900000000001</v>
      </c>
      <c r="AI426">
        <f>(100%+DASHBOARD!$Q$9)*'staging data'!Y426</f>
        <v>44.4</v>
      </c>
    </row>
    <row r="427" spans="1:35" x14ac:dyDescent="0.3">
      <c r="A427" s="3" t="s">
        <v>221</v>
      </c>
      <c r="B427" s="28">
        <v>45598</v>
      </c>
      <c r="C427" s="28" t="str">
        <f t="shared" si="107"/>
        <v>Q4</v>
      </c>
      <c r="D427" s="28" t="str">
        <f t="shared" si="108"/>
        <v>2025</v>
      </c>
      <c r="E427" s="28" t="str">
        <f t="shared" si="109"/>
        <v>Jan</v>
      </c>
      <c r="F427" s="5">
        <v>45678</v>
      </c>
      <c r="G427" s="5">
        <f t="shared" si="97"/>
        <v>45702</v>
      </c>
      <c r="H427" s="5">
        <v>45702</v>
      </c>
      <c r="I427" s="5" t="str">
        <f t="shared" si="110"/>
        <v>Achieved</v>
      </c>
      <c r="J427" s="14">
        <f t="shared" si="111"/>
        <v>24</v>
      </c>
      <c r="K427" s="14">
        <f t="shared" si="98"/>
        <v>24</v>
      </c>
      <c r="L427" s="3" t="s">
        <v>645</v>
      </c>
      <c r="M427" s="3" t="s">
        <v>649</v>
      </c>
      <c r="N427" s="3" t="s">
        <v>663</v>
      </c>
      <c r="O427" s="3" t="s">
        <v>704</v>
      </c>
      <c r="P427" s="3" t="s">
        <v>706</v>
      </c>
      <c r="Q427" s="3" t="s">
        <v>712</v>
      </c>
      <c r="R427" s="3" t="s">
        <v>732</v>
      </c>
      <c r="S427" s="3" t="s">
        <v>940</v>
      </c>
      <c r="T427" s="21">
        <v>1030.44</v>
      </c>
      <c r="U427" s="21" t="str">
        <f t="shared" si="112"/>
        <v>High</v>
      </c>
      <c r="V427">
        <f t="shared" si="99"/>
        <v>2562.84</v>
      </c>
      <c r="W427" s="7">
        <v>2562.84</v>
      </c>
      <c r="X427" s="8">
        <v>0.14799999999999999</v>
      </c>
      <c r="Y427" s="14">
        <v>13</v>
      </c>
      <c r="Z427" s="7">
        <f t="shared" si="100"/>
        <v>379.30032</v>
      </c>
      <c r="AA427" s="7">
        <f t="shared" si="101"/>
        <v>28386.015839999996</v>
      </c>
      <c r="AB427" s="7">
        <f t="shared" si="102"/>
        <v>28006.715519999998</v>
      </c>
      <c r="AC427" s="7">
        <f t="shared" si="103"/>
        <v>13395.720000000001</v>
      </c>
      <c r="AD427" s="7">
        <f t="shared" si="104"/>
        <v>14990.295839999995</v>
      </c>
      <c r="AE427" s="7">
        <f t="shared" si="105"/>
        <v>14610.995519999997</v>
      </c>
      <c r="AF427" s="26">
        <f t="shared" si="106"/>
        <v>2.1190362175381385</v>
      </c>
      <c r="AG427" s="8">
        <f>IF(DASHBOARD!$Q$7&gt;'staging data'!X427,'staging data'!X427,DASHBOARD!$Q$7)</f>
        <v>0.14799999999999999</v>
      </c>
      <c r="AH427">
        <f>(100%+DASHBOARD!$Q$8)*'staging data'!T427</f>
        <v>1185.0059999999999</v>
      </c>
      <c r="AI427">
        <f>(100%+DASHBOARD!$Q$9)*'staging data'!Y427</f>
        <v>15.6</v>
      </c>
    </row>
    <row r="428" spans="1:35" x14ac:dyDescent="0.3">
      <c r="A428" s="3" t="s">
        <v>218</v>
      </c>
      <c r="B428" s="28">
        <v>45600</v>
      </c>
      <c r="C428" s="28" t="str">
        <f t="shared" si="107"/>
        <v>Q4</v>
      </c>
      <c r="D428" s="28" t="str">
        <f t="shared" si="108"/>
        <v>2025</v>
      </c>
      <c r="E428" s="28" t="str">
        <f t="shared" si="109"/>
        <v>Feb</v>
      </c>
      <c r="F428" s="5">
        <v>45692</v>
      </c>
      <c r="G428" s="5">
        <f t="shared" si="97"/>
        <v>45713</v>
      </c>
      <c r="H428" s="5">
        <v>45713</v>
      </c>
      <c r="I428" s="5" t="str">
        <f t="shared" si="110"/>
        <v>Achieved</v>
      </c>
      <c r="J428" s="14">
        <f t="shared" si="111"/>
        <v>21</v>
      </c>
      <c r="K428" s="14">
        <f t="shared" si="98"/>
        <v>21</v>
      </c>
      <c r="L428" s="3" t="s">
        <v>648</v>
      </c>
      <c r="M428" s="3" t="s">
        <v>657</v>
      </c>
      <c r="N428" s="3" t="s">
        <v>673</v>
      </c>
      <c r="O428" s="3" t="s">
        <v>700</v>
      </c>
      <c r="P428" s="3" t="s">
        <v>708</v>
      </c>
      <c r="Q428" s="3" t="s">
        <v>725</v>
      </c>
      <c r="R428" s="3" t="s">
        <v>731</v>
      </c>
      <c r="S428" s="3" t="s">
        <v>937</v>
      </c>
      <c r="T428" s="21">
        <v>1016.32</v>
      </c>
      <c r="U428" s="21" t="str">
        <f t="shared" si="112"/>
        <v>High</v>
      </c>
      <c r="V428">
        <f t="shared" si="99"/>
        <v>2253.42</v>
      </c>
      <c r="W428" s="7">
        <v>2253.42</v>
      </c>
      <c r="X428" s="8">
        <v>5.5E-2</v>
      </c>
      <c r="Y428" s="14">
        <v>12</v>
      </c>
      <c r="Z428" s="7">
        <f t="shared" si="100"/>
        <v>123.93810000000001</v>
      </c>
      <c r="AA428" s="7">
        <f t="shared" si="101"/>
        <v>25553.782800000001</v>
      </c>
      <c r="AB428" s="7">
        <f t="shared" si="102"/>
        <v>25429.844700000001</v>
      </c>
      <c r="AC428" s="7">
        <f t="shared" si="103"/>
        <v>12195.84</v>
      </c>
      <c r="AD428" s="7">
        <f t="shared" si="104"/>
        <v>13357.942800000001</v>
      </c>
      <c r="AE428" s="7">
        <f t="shared" si="105"/>
        <v>13234.004700000001</v>
      </c>
      <c r="AF428" s="26">
        <f t="shared" si="106"/>
        <v>2.0952868191120908</v>
      </c>
      <c r="AG428" s="8">
        <f>IF(DASHBOARD!$Q$7&gt;'staging data'!X428,'staging data'!X428,DASHBOARD!$Q$7)</f>
        <v>5.5E-2</v>
      </c>
      <c r="AH428">
        <f>(100%+DASHBOARD!$Q$8)*'staging data'!T428</f>
        <v>1168.768</v>
      </c>
      <c r="AI428">
        <f>(100%+DASHBOARD!$Q$9)*'staging data'!Y428</f>
        <v>14.399999999999999</v>
      </c>
    </row>
    <row r="429" spans="1:35" x14ac:dyDescent="0.3">
      <c r="A429" s="3" t="s">
        <v>219</v>
      </c>
      <c r="B429" s="28">
        <v>45600</v>
      </c>
      <c r="C429" s="28" t="str">
        <f t="shared" si="107"/>
        <v>Q4</v>
      </c>
      <c r="D429" s="28" t="str">
        <f t="shared" si="108"/>
        <v>2023</v>
      </c>
      <c r="E429" s="28" t="str">
        <f t="shared" si="109"/>
        <v>Apr</v>
      </c>
      <c r="F429" s="5">
        <v>45035</v>
      </c>
      <c r="G429" s="5">
        <f t="shared" si="97"/>
        <v>45044</v>
      </c>
      <c r="H429" s="5">
        <v>45044</v>
      </c>
      <c r="I429" s="5" t="str">
        <f t="shared" si="110"/>
        <v>Achieved</v>
      </c>
      <c r="J429" s="14">
        <f t="shared" si="111"/>
        <v>9</v>
      </c>
      <c r="K429" s="14">
        <f t="shared" si="98"/>
        <v>9</v>
      </c>
      <c r="L429" s="3" t="s">
        <v>648</v>
      </c>
      <c r="M429" s="3" t="s">
        <v>655</v>
      </c>
      <c r="N429" s="3" t="s">
        <v>670</v>
      </c>
      <c r="O429" s="3" t="s">
        <v>701</v>
      </c>
      <c r="P429" s="3" t="s">
        <v>707</v>
      </c>
      <c r="Q429" s="3" t="s">
        <v>717</v>
      </c>
      <c r="R429" s="3" t="s">
        <v>731</v>
      </c>
      <c r="S429" s="3" t="s">
        <v>938</v>
      </c>
      <c r="T429" s="21">
        <v>1178.42</v>
      </c>
      <c r="U429" s="21" t="str">
        <f t="shared" si="112"/>
        <v>High</v>
      </c>
      <c r="V429">
        <f t="shared" si="99"/>
        <v>2446.56</v>
      </c>
      <c r="W429" s="7">
        <v>2446.56</v>
      </c>
      <c r="X429" s="8">
        <v>2.9000000000000001E-2</v>
      </c>
      <c r="Y429" s="14">
        <v>11</v>
      </c>
      <c r="Z429" s="7">
        <f t="shared" si="100"/>
        <v>70.950240000000008</v>
      </c>
      <c r="AA429" s="7">
        <f t="shared" si="101"/>
        <v>26131.70736</v>
      </c>
      <c r="AB429" s="7">
        <f t="shared" si="102"/>
        <v>26060.757120000002</v>
      </c>
      <c r="AC429" s="7">
        <f t="shared" si="103"/>
        <v>12962.62</v>
      </c>
      <c r="AD429" s="7">
        <f t="shared" si="104"/>
        <v>13169.08736</v>
      </c>
      <c r="AE429" s="7">
        <f t="shared" si="105"/>
        <v>13098.137120000001</v>
      </c>
      <c r="AF429" s="26">
        <f t="shared" si="106"/>
        <v>2.0159279034639601</v>
      </c>
      <c r="AG429" s="8">
        <f>IF(DASHBOARD!$Q$7&gt;'staging data'!X429,'staging data'!X429,DASHBOARD!$Q$7)</f>
        <v>2.9000000000000001E-2</v>
      </c>
      <c r="AH429">
        <f>(100%+DASHBOARD!$Q$8)*'staging data'!T429</f>
        <v>1355.183</v>
      </c>
      <c r="AI429">
        <f>(100%+DASHBOARD!$Q$9)*'staging data'!Y429</f>
        <v>13.2</v>
      </c>
    </row>
    <row r="430" spans="1:35" x14ac:dyDescent="0.3">
      <c r="A430" s="3" t="s">
        <v>217</v>
      </c>
      <c r="B430" s="28">
        <v>45601</v>
      </c>
      <c r="C430" s="28" t="str">
        <f t="shared" si="107"/>
        <v>Q4</v>
      </c>
      <c r="D430" s="28" t="str">
        <f t="shared" si="108"/>
        <v>2023</v>
      </c>
      <c r="E430" s="28" t="str">
        <f t="shared" si="109"/>
        <v>Jan</v>
      </c>
      <c r="F430" s="5">
        <v>44946</v>
      </c>
      <c r="G430" s="5">
        <f t="shared" si="97"/>
        <v>44960</v>
      </c>
      <c r="H430" s="5">
        <v>44960</v>
      </c>
      <c r="I430" s="5" t="str">
        <f t="shared" si="110"/>
        <v>Achieved</v>
      </c>
      <c r="J430" s="14">
        <f t="shared" si="111"/>
        <v>14</v>
      </c>
      <c r="K430" s="14">
        <f t="shared" si="98"/>
        <v>14</v>
      </c>
      <c r="L430" s="3" t="s">
        <v>645</v>
      </c>
      <c r="M430" s="3" t="s">
        <v>649</v>
      </c>
      <c r="N430" s="3" t="s">
        <v>661</v>
      </c>
      <c r="O430" s="3" t="s">
        <v>700</v>
      </c>
      <c r="P430" s="3" t="s">
        <v>706</v>
      </c>
      <c r="Q430" s="3" t="s">
        <v>723</v>
      </c>
      <c r="R430" s="3" t="s">
        <v>728</v>
      </c>
      <c r="S430" s="3" t="s">
        <v>936</v>
      </c>
      <c r="T430" s="21">
        <v>884.36</v>
      </c>
      <c r="U430" s="21" t="str">
        <f t="shared" si="112"/>
        <v>Medium</v>
      </c>
      <c r="V430">
        <f t="shared" si="99"/>
        <v>1545.34</v>
      </c>
      <c r="W430" s="7">
        <v>1545.34</v>
      </c>
      <c r="X430" s="8">
        <v>0.24299999999999999</v>
      </c>
      <c r="Y430" s="14">
        <v>41</v>
      </c>
      <c r="Z430" s="7">
        <f t="shared" si="100"/>
        <v>375.51761999999997</v>
      </c>
      <c r="AA430" s="7">
        <f t="shared" si="101"/>
        <v>47962.717579999997</v>
      </c>
      <c r="AB430" s="7">
        <f t="shared" si="102"/>
        <v>47587.199959999998</v>
      </c>
      <c r="AC430" s="7">
        <f t="shared" si="103"/>
        <v>36258.76</v>
      </c>
      <c r="AD430" s="7">
        <f t="shared" si="104"/>
        <v>11703.957579999995</v>
      </c>
      <c r="AE430" s="7">
        <f t="shared" si="105"/>
        <v>11328.439959999996</v>
      </c>
      <c r="AF430" s="26">
        <f t="shared" si="106"/>
        <v>1.3227897914876292</v>
      </c>
      <c r="AG430" s="8">
        <f>IF(DASHBOARD!$Q$7&gt;'staging data'!X430,'staging data'!X430,DASHBOARD!$Q$7)</f>
        <v>0.2</v>
      </c>
      <c r="AH430">
        <f>(100%+DASHBOARD!$Q$8)*'staging data'!T430</f>
        <v>1017.0139999999999</v>
      </c>
      <c r="AI430">
        <f>(100%+DASHBOARD!$Q$9)*'staging data'!Y430</f>
        <v>49.199999999999996</v>
      </c>
    </row>
    <row r="431" spans="1:35" x14ac:dyDescent="0.3">
      <c r="A431" s="3" t="s">
        <v>216</v>
      </c>
      <c r="B431" s="28">
        <v>45602</v>
      </c>
      <c r="C431" s="28" t="str">
        <f t="shared" si="107"/>
        <v>Q4</v>
      </c>
      <c r="D431" s="28" t="str">
        <f t="shared" si="108"/>
        <v>2023</v>
      </c>
      <c r="E431" s="28" t="str">
        <f t="shared" si="109"/>
        <v>Aug</v>
      </c>
      <c r="F431" s="5">
        <v>45153</v>
      </c>
      <c r="G431" s="5">
        <f t="shared" si="97"/>
        <v>45176</v>
      </c>
      <c r="H431" s="5">
        <v>45176</v>
      </c>
      <c r="I431" s="5" t="str">
        <f t="shared" si="110"/>
        <v>Achieved</v>
      </c>
      <c r="J431" s="14">
        <f t="shared" si="111"/>
        <v>23</v>
      </c>
      <c r="K431" s="14">
        <f t="shared" si="98"/>
        <v>23</v>
      </c>
      <c r="L431" s="3" t="s">
        <v>647</v>
      </c>
      <c r="M431" s="3" t="s">
        <v>659</v>
      </c>
      <c r="N431" s="3" t="s">
        <v>699</v>
      </c>
      <c r="O431" s="3" t="s">
        <v>705</v>
      </c>
      <c r="P431" s="3" t="s">
        <v>707</v>
      </c>
      <c r="Q431" s="3" t="s">
        <v>722</v>
      </c>
      <c r="R431" s="3" t="s">
        <v>729</v>
      </c>
      <c r="S431" s="3" t="s">
        <v>935</v>
      </c>
      <c r="T431" s="21">
        <v>590.33000000000004</v>
      </c>
      <c r="U431" s="21" t="str">
        <f t="shared" si="112"/>
        <v>Medium</v>
      </c>
      <c r="V431">
        <f t="shared" si="99"/>
        <v>973.04</v>
      </c>
      <c r="W431" s="7">
        <v>973.04</v>
      </c>
      <c r="X431" s="8">
        <v>0</v>
      </c>
      <c r="Y431" s="14">
        <v>26</v>
      </c>
      <c r="Z431" s="7">
        <f t="shared" si="100"/>
        <v>0</v>
      </c>
      <c r="AA431" s="7">
        <f t="shared" si="101"/>
        <v>25299.040000000001</v>
      </c>
      <c r="AB431" s="7">
        <f t="shared" si="102"/>
        <v>25299.040000000001</v>
      </c>
      <c r="AC431" s="7">
        <f t="shared" si="103"/>
        <v>15348.580000000002</v>
      </c>
      <c r="AD431" s="7">
        <f t="shared" si="104"/>
        <v>9950.4599999999991</v>
      </c>
      <c r="AE431" s="7">
        <f t="shared" si="105"/>
        <v>9950.4599999999991</v>
      </c>
      <c r="AF431" s="26">
        <f t="shared" si="106"/>
        <v>1.6482984093642539</v>
      </c>
      <c r="AG431" s="8">
        <f>IF(DASHBOARD!$Q$7&gt;'staging data'!X431,'staging data'!X431,DASHBOARD!$Q$7)</f>
        <v>0</v>
      </c>
      <c r="AH431">
        <f>(100%+DASHBOARD!$Q$8)*'staging data'!T431</f>
        <v>678.87950000000001</v>
      </c>
      <c r="AI431">
        <f>(100%+DASHBOARD!$Q$9)*'staging data'!Y431</f>
        <v>31.2</v>
      </c>
    </row>
    <row r="432" spans="1:35" x14ac:dyDescent="0.3">
      <c r="A432" s="3" t="s">
        <v>215</v>
      </c>
      <c r="B432" s="28">
        <v>45603</v>
      </c>
      <c r="C432" s="28" t="str">
        <f t="shared" si="107"/>
        <v>Q4</v>
      </c>
      <c r="D432" s="28" t="str">
        <f t="shared" si="108"/>
        <v>2024</v>
      </c>
      <c r="E432" s="28" t="str">
        <f t="shared" si="109"/>
        <v>Jan</v>
      </c>
      <c r="F432" s="5">
        <v>45303</v>
      </c>
      <c r="G432" s="5">
        <f t="shared" si="97"/>
        <v>45320</v>
      </c>
      <c r="H432" s="5">
        <v>45320</v>
      </c>
      <c r="I432" s="5" t="str">
        <f t="shared" si="110"/>
        <v>Achieved</v>
      </c>
      <c r="J432" s="14">
        <f t="shared" si="111"/>
        <v>17</v>
      </c>
      <c r="K432" s="14">
        <f t="shared" si="98"/>
        <v>17</v>
      </c>
      <c r="L432" s="3" t="s">
        <v>647</v>
      </c>
      <c r="M432" s="3" t="s">
        <v>659</v>
      </c>
      <c r="N432" s="3" t="s">
        <v>676</v>
      </c>
      <c r="O432" s="3" t="s">
        <v>701</v>
      </c>
      <c r="P432" s="3" t="s">
        <v>709</v>
      </c>
      <c r="Q432" s="3" t="s">
        <v>719</v>
      </c>
      <c r="R432" s="3" t="s">
        <v>727</v>
      </c>
      <c r="S432" s="3" t="s">
        <v>934</v>
      </c>
      <c r="T432" s="21">
        <v>493.76</v>
      </c>
      <c r="U432" s="21" t="str">
        <f t="shared" si="112"/>
        <v>Medium</v>
      </c>
      <c r="V432">
        <f t="shared" si="99"/>
        <v>625.04</v>
      </c>
      <c r="W432" s="7">
        <v>625.04</v>
      </c>
      <c r="X432" s="8">
        <v>0.25800000000000001</v>
      </c>
      <c r="Y432" s="14">
        <v>10</v>
      </c>
      <c r="Z432" s="7">
        <f t="shared" si="100"/>
        <v>161.26032000000001</v>
      </c>
      <c r="AA432" s="7">
        <f t="shared" si="101"/>
        <v>4637.7968000000001</v>
      </c>
      <c r="AB432" s="7">
        <f t="shared" si="102"/>
        <v>4476.5364799999998</v>
      </c>
      <c r="AC432" s="7">
        <f t="shared" si="103"/>
        <v>4937.6000000000004</v>
      </c>
      <c r="AD432" s="7">
        <f t="shared" si="104"/>
        <v>-299.80320000000029</v>
      </c>
      <c r="AE432" s="7">
        <f t="shared" si="105"/>
        <v>-461.06352000000061</v>
      </c>
      <c r="AF432" s="26">
        <f t="shared" si="106"/>
        <v>0.93928159429682434</v>
      </c>
      <c r="AG432" s="8">
        <f>IF(DASHBOARD!$Q$7&gt;'staging data'!X432,'staging data'!X432,DASHBOARD!$Q$7)</f>
        <v>0.2</v>
      </c>
      <c r="AH432">
        <f>(100%+DASHBOARD!$Q$8)*'staging data'!T432</f>
        <v>567.82399999999996</v>
      </c>
      <c r="AI432">
        <f>(100%+DASHBOARD!$Q$9)*'staging data'!Y432</f>
        <v>12</v>
      </c>
    </row>
    <row r="433" spans="1:35" x14ac:dyDescent="0.3">
      <c r="A433" s="3" t="s">
        <v>214</v>
      </c>
      <c r="B433" s="28">
        <v>45604</v>
      </c>
      <c r="C433" s="28" t="str">
        <f t="shared" si="107"/>
        <v>Q4</v>
      </c>
      <c r="D433" s="28" t="str">
        <f t="shared" si="108"/>
        <v>2023</v>
      </c>
      <c r="E433" s="28" t="str">
        <f t="shared" si="109"/>
        <v>Jan</v>
      </c>
      <c r="F433" s="5">
        <v>44939</v>
      </c>
      <c r="G433" s="5">
        <f t="shared" si="97"/>
        <v>44945</v>
      </c>
      <c r="H433" s="5">
        <v>44945</v>
      </c>
      <c r="I433" s="5" t="str">
        <f t="shared" si="110"/>
        <v>Not achieved</v>
      </c>
      <c r="J433" s="14">
        <f t="shared" si="111"/>
        <v>6</v>
      </c>
      <c r="K433" s="14">
        <f t="shared" si="98"/>
        <v>6</v>
      </c>
      <c r="L433" s="3" t="s">
        <v>647</v>
      </c>
      <c r="M433" s="3" t="s">
        <v>659</v>
      </c>
      <c r="N433" s="3" t="s">
        <v>676</v>
      </c>
      <c r="O433" s="3" t="s">
        <v>700</v>
      </c>
      <c r="P433" s="3" t="s">
        <v>710</v>
      </c>
      <c r="Q433" s="3" t="s">
        <v>721</v>
      </c>
      <c r="R433" s="3" t="s">
        <v>729</v>
      </c>
      <c r="S433" s="3" t="s">
        <v>933</v>
      </c>
      <c r="T433" s="21">
        <v>833.57</v>
      </c>
      <c r="U433" s="21" t="str">
        <f t="shared" si="112"/>
        <v>Medium</v>
      </c>
      <c r="V433">
        <f t="shared" si="99"/>
        <v>881.57</v>
      </c>
      <c r="W433" s="7">
        <v>881.57</v>
      </c>
      <c r="X433" s="8">
        <v>5.7000000000000002E-2</v>
      </c>
      <c r="Y433" s="14">
        <v>18</v>
      </c>
      <c r="Z433" s="7">
        <f t="shared" si="100"/>
        <v>50.249490000000002</v>
      </c>
      <c r="AA433" s="7">
        <f t="shared" si="101"/>
        <v>14963.769179999999</v>
      </c>
      <c r="AB433" s="7">
        <f t="shared" si="102"/>
        <v>14913.519689999999</v>
      </c>
      <c r="AC433" s="7">
        <f t="shared" si="103"/>
        <v>15004.26</v>
      </c>
      <c r="AD433" s="7">
        <f t="shared" si="104"/>
        <v>-40.490820000000895</v>
      </c>
      <c r="AE433" s="7">
        <f t="shared" si="105"/>
        <v>-90.740310000001045</v>
      </c>
      <c r="AF433" s="26">
        <f t="shared" si="106"/>
        <v>0.99730137840853195</v>
      </c>
      <c r="AG433" s="8">
        <f>IF(DASHBOARD!$Q$7&gt;'staging data'!X433,'staging data'!X433,DASHBOARD!$Q$7)</f>
        <v>5.7000000000000002E-2</v>
      </c>
      <c r="AH433">
        <f>(100%+DASHBOARD!$Q$8)*'staging data'!T433</f>
        <v>958.60550000000001</v>
      </c>
      <c r="AI433">
        <f>(100%+DASHBOARD!$Q$9)*'staging data'!Y433</f>
        <v>21.599999999999998</v>
      </c>
    </row>
    <row r="434" spans="1:35" x14ac:dyDescent="0.3">
      <c r="A434" s="3" t="s">
        <v>213</v>
      </c>
      <c r="B434" s="28">
        <v>45607</v>
      </c>
      <c r="C434" s="28" t="str">
        <f t="shared" si="107"/>
        <v>Q4</v>
      </c>
      <c r="D434" s="28" t="str">
        <f t="shared" si="108"/>
        <v>2023</v>
      </c>
      <c r="E434" s="28" t="str">
        <f t="shared" si="109"/>
        <v>Apr</v>
      </c>
      <c r="F434" s="5">
        <v>45030</v>
      </c>
      <c r="G434" s="5">
        <f t="shared" si="97"/>
        <v>45059</v>
      </c>
      <c r="H434" s="5">
        <v>45059</v>
      </c>
      <c r="I434" s="5" t="str">
        <f t="shared" si="110"/>
        <v>Achieved</v>
      </c>
      <c r="J434" s="14">
        <f t="shared" si="111"/>
        <v>29</v>
      </c>
      <c r="K434" s="14">
        <f t="shared" si="98"/>
        <v>29</v>
      </c>
      <c r="L434" s="3" t="s">
        <v>648</v>
      </c>
      <c r="M434" s="3" t="s">
        <v>655</v>
      </c>
      <c r="N434" s="3" t="s">
        <v>697</v>
      </c>
      <c r="O434" s="3" t="s">
        <v>703</v>
      </c>
      <c r="P434" s="3" t="s">
        <v>710</v>
      </c>
      <c r="Q434" s="3" t="s">
        <v>712</v>
      </c>
      <c r="R434" s="3" t="s">
        <v>727</v>
      </c>
      <c r="S434" s="3" t="s">
        <v>932</v>
      </c>
      <c r="T434" s="21">
        <v>1320.33</v>
      </c>
      <c r="U434" s="21" t="str">
        <f t="shared" si="112"/>
        <v>High</v>
      </c>
      <c r="V434">
        <f t="shared" si="99"/>
        <v>2645.23</v>
      </c>
      <c r="W434" s="7">
        <v>2645.23</v>
      </c>
      <c r="X434" s="8">
        <v>0.155</v>
      </c>
      <c r="Y434" s="14">
        <v>25</v>
      </c>
      <c r="Z434" s="7">
        <f t="shared" si="100"/>
        <v>410.01065</v>
      </c>
      <c r="AA434" s="7">
        <f t="shared" si="101"/>
        <v>55880.483749999999</v>
      </c>
      <c r="AB434" s="7">
        <f t="shared" si="102"/>
        <v>55470.473100000003</v>
      </c>
      <c r="AC434" s="7">
        <f t="shared" si="103"/>
        <v>33008.25</v>
      </c>
      <c r="AD434" s="7">
        <f t="shared" si="104"/>
        <v>22872.233749999999</v>
      </c>
      <c r="AE434" s="7">
        <f t="shared" si="105"/>
        <v>22462.223100000003</v>
      </c>
      <c r="AF434" s="26">
        <f t="shared" si="106"/>
        <v>1.692924761233934</v>
      </c>
      <c r="AG434" s="8">
        <f>IF(DASHBOARD!$Q$7&gt;'staging data'!X434,'staging data'!X434,DASHBOARD!$Q$7)</f>
        <v>0.155</v>
      </c>
      <c r="AH434">
        <f>(100%+DASHBOARD!$Q$8)*'staging data'!T434</f>
        <v>1518.3794999999998</v>
      </c>
      <c r="AI434">
        <f>(100%+DASHBOARD!$Q$9)*'staging data'!Y434</f>
        <v>30</v>
      </c>
    </row>
    <row r="435" spans="1:35" x14ac:dyDescent="0.3">
      <c r="A435" s="3" t="s">
        <v>212</v>
      </c>
      <c r="B435" s="28">
        <v>45608</v>
      </c>
      <c r="C435" s="28" t="str">
        <f t="shared" si="107"/>
        <v>Q4</v>
      </c>
      <c r="D435" s="28" t="str">
        <f t="shared" si="108"/>
        <v>2023</v>
      </c>
      <c r="E435" s="28" t="str">
        <f t="shared" si="109"/>
        <v>Jan</v>
      </c>
      <c r="F435" s="5">
        <v>44956</v>
      </c>
      <c r="G435" s="5">
        <f t="shared" si="97"/>
        <v>44978</v>
      </c>
      <c r="H435" s="5">
        <v>44978</v>
      </c>
      <c r="I435" s="5" t="str">
        <f t="shared" si="110"/>
        <v>Achieved</v>
      </c>
      <c r="J435" s="14">
        <f t="shared" si="111"/>
        <v>22</v>
      </c>
      <c r="K435" s="14">
        <f t="shared" si="98"/>
        <v>22</v>
      </c>
      <c r="L435" s="3" t="s">
        <v>648</v>
      </c>
      <c r="M435" s="3" t="s">
        <v>655</v>
      </c>
      <c r="N435" s="3" t="s">
        <v>683</v>
      </c>
      <c r="O435" s="3" t="s">
        <v>704</v>
      </c>
      <c r="P435" s="3" t="s">
        <v>708</v>
      </c>
      <c r="Q435" s="3" t="s">
        <v>714</v>
      </c>
      <c r="R435" s="3" t="s">
        <v>728</v>
      </c>
      <c r="S435" s="3" t="s">
        <v>931</v>
      </c>
      <c r="T435" s="21">
        <v>1142.8800000000001</v>
      </c>
      <c r="U435" s="21" t="str">
        <f t="shared" si="112"/>
        <v>Medium</v>
      </c>
      <c r="V435">
        <f t="shared" si="99"/>
        <v>1465.29</v>
      </c>
      <c r="W435" s="7">
        <v>1465.29</v>
      </c>
      <c r="X435" s="8">
        <v>0.186</v>
      </c>
      <c r="Y435" s="14">
        <v>7</v>
      </c>
      <c r="Z435" s="7">
        <f t="shared" si="100"/>
        <v>272.54393999999996</v>
      </c>
      <c r="AA435" s="7">
        <f t="shared" si="101"/>
        <v>8349.2224200000001</v>
      </c>
      <c r="AB435" s="7">
        <f t="shared" si="102"/>
        <v>8076.6784800000005</v>
      </c>
      <c r="AC435" s="7">
        <f t="shared" si="103"/>
        <v>8000.1600000000008</v>
      </c>
      <c r="AD435" s="7">
        <f t="shared" si="104"/>
        <v>349.06241999999929</v>
      </c>
      <c r="AE435" s="7">
        <f t="shared" si="105"/>
        <v>76.518479999999727</v>
      </c>
      <c r="AF435" s="26">
        <f t="shared" si="106"/>
        <v>1.0436319298614027</v>
      </c>
      <c r="AG435" s="8">
        <f>IF(DASHBOARD!$Q$7&gt;'staging data'!X435,'staging data'!X435,DASHBOARD!$Q$7)</f>
        <v>0.186</v>
      </c>
      <c r="AH435">
        <f>(100%+DASHBOARD!$Q$8)*'staging data'!T435</f>
        <v>1314.3120000000001</v>
      </c>
      <c r="AI435">
        <f>(100%+DASHBOARD!$Q$9)*'staging data'!Y435</f>
        <v>8.4</v>
      </c>
    </row>
    <row r="436" spans="1:35" x14ac:dyDescent="0.3">
      <c r="A436" s="3" t="s">
        <v>211</v>
      </c>
      <c r="B436" s="28">
        <v>45613</v>
      </c>
      <c r="C436" s="28" t="str">
        <f t="shared" si="107"/>
        <v>Q4</v>
      </c>
      <c r="D436" s="28" t="str">
        <f t="shared" si="108"/>
        <v>2024</v>
      </c>
      <c r="E436" s="28" t="str">
        <f t="shared" si="109"/>
        <v>Feb</v>
      </c>
      <c r="F436" s="5">
        <v>45333</v>
      </c>
      <c r="G436" s="5">
        <f t="shared" si="97"/>
        <v>45354</v>
      </c>
      <c r="H436" s="5">
        <v>45354</v>
      </c>
      <c r="I436" s="5" t="str">
        <f t="shared" si="110"/>
        <v>Achieved</v>
      </c>
      <c r="J436" s="14">
        <f t="shared" si="111"/>
        <v>21</v>
      </c>
      <c r="K436" s="14">
        <f t="shared" si="98"/>
        <v>21</v>
      </c>
      <c r="L436" s="3" t="s">
        <v>645</v>
      </c>
      <c r="M436" s="3" t="s">
        <v>649</v>
      </c>
      <c r="N436" s="3" t="s">
        <v>661</v>
      </c>
      <c r="O436" s="3" t="s">
        <v>705</v>
      </c>
      <c r="P436" s="3" t="s">
        <v>707</v>
      </c>
      <c r="Q436" s="3" t="s">
        <v>716</v>
      </c>
      <c r="R436" s="3" t="s">
        <v>729</v>
      </c>
      <c r="S436" s="3" t="s">
        <v>930</v>
      </c>
      <c r="T436" s="21">
        <v>516.86</v>
      </c>
      <c r="U436" s="21" t="str">
        <f t="shared" si="112"/>
        <v>Medium</v>
      </c>
      <c r="V436">
        <f t="shared" si="99"/>
        <v>852.54</v>
      </c>
      <c r="W436" s="7">
        <v>852.54</v>
      </c>
      <c r="X436" s="8">
        <v>5.0999999999999997E-2</v>
      </c>
      <c r="Y436" s="14">
        <v>14</v>
      </c>
      <c r="Z436" s="7">
        <f t="shared" si="100"/>
        <v>43.479539999999993</v>
      </c>
      <c r="AA436" s="7">
        <f t="shared" si="101"/>
        <v>11326.846439999999</v>
      </c>
      <c r="AB436" s="7">
        <f t="shared" si="102"/>
        <v>11283.366899999999</v>
      </c>
      <c r="AC436" s="7">
        <f t="shared" si="103"/>
        <v>7236.04</v>
      </c>
      <c r="AD436" s="7">
        <f t="shared" si="104"/>
        <v>4090.8064399999994</v>
      </c>
      <c r="AE436" s="7">
        <f t="shared" si="105"/>
        <v>4047.3268999999991</v>
      </c>
      <c r="AF436" s="26">
        <f t="shared" si="106"/>
        <v>1.5653377316874975</v>
      </c>
      <c r="AG436" s="8">
        <f>IF(DASHBOARD!$Q$7&gt;'staging data'!X436,'staging data'!X436,DASHBOARD!$Q$7)</f>
        <v>5.0999999999999997E-2</v>
      </c>
      <c r="AH436">
        <f>(100%+DASHBOARD!$Q$8)*'staging data'!T436</f>
        <v>594.38900000000001</v>
      </c>
      <c r="AI436">
        <f>(100%+DASHBOARD!$Q$9)*'staging data'!Y436</f>
        <v>16.8</v>
      </c>
    </row>
    <row r="437" spans="1:35" x14ac:dyDescent="0.3">
      <c r="A437" s="3" t="s">
        <v>210</v>
      </c>
      <c r="B437" s="28">
        <v>45616</v>
      </c>
      <c r="C437" s="28" t="str">
        <f t="shared" si="107"/>
        <v>Q4</v>
      </c>
      <c r="D437" s="28" t="str">
        <f t="shared" si="108"/>
        <v>2024</v>
      </c>
      <c r="E437" s="28" t="str">
        <f t="shared" si="109"/>
        <v>Oct</v>
      </c>
      <c r="F437" s="5">
        <v>45588</v>
      </c>
      <c r="G437" s="5">
        <f t="shared" si="97"/>
        <v>45610</v>
      </c>
      <c r="H437" s="5">
        <v>45610</v>
      </c>
      <c r="I437" s="5" t="str">
        <f t="shared" si="110"/>
        <v>Achieved</v>
      </c>
      <c r="J437" s="14">
        <f t="shared" si="111"/>
        <v>22</v>
      </c>
      <c r="K437" s="14">
        <f t="shared" si="98"/>
        <v>22</v>
      </c>
      <c r="L437" s="3" t="s">
        <v>646</v>
      </c>
      <c r="M437" s="3" t="s">
        <v>651</v>
      </c>
      <c r="N437" s="3" t="s">
        <v>665</v>
      </c>
      <c r="O437" s="3" t="s">
        <v>702</v>
      </c>
      <c r="P437" s="3" t="s">
        <v>710</v>
      </c>
      <c r="Q437" s="3" t="s">
        <v>716</v>
      </c>
      <c r="R437" s="3" t="s">
        <v>729</v>
      </c>
      <c r="S437" s="3" t="s">
        <v>929</v>
      </c>
      <c r="T437" s="21">
        <v>1406.4</v>
      </c>
      <c r="U437" s="21" t="str">
        <f t="shared" si="112"/>
        <v>Medium</v>
      </c>
      <c r="V437">
        <f t="shared" si="99"/>
        <v>1564.76</v>
      </c>
      <c r="W437" s="7">
        <v>1564.76</v>
      </c>
      <c r="X437" s="8">
        <v>0.185</v>
      </c>
      <c r="Y437" s="14">
        <v>17</v>
      </c>
      <c r="Z437" s="7">
        <f t="shared" si="100"/>
        <v>289.48059999999998</v>
      </c>
      <c r="AA437" s="7">
        <f t="shared" si="101"/>
        <v>21679.749799999998</v>
      </c>
      <c r="AB437" s="7">
        <f t="shared" si="102"/>
        <v>21390.269199999999</v>
      </c>
      <c r="AC437" s="7">
        <f t="shared" si="103"/>
        <v>23908.800000000003</v>
      </c>
      <c r="AD437" s="7">
        <f t="shared" si="104"/>
        <v>-2229.0502000000051</v>
      </c>
      <c r="AE437" s="7">
        <f t="shared" si="105"/>
        <v>-2518.5308000000041</v>
      </c>
      <c r="AF437" s="26">
        <f t="shared" si="106"/>
        <v>0.90676862912400436</v>
      </c>
      <c r="AG437" s="8">
        <f>IF(DASHBOARD!$Q$7&gt;'staging data'!X437,'staging data'!X437,DASHBOARD!$Q$7)</f>
        <v>0.185</v>
      </c>
      <c r="AH437">
        <f>(100%+DASHBOARD!$Q$8)*'staging data'!T437</f>
        <v>1617.36</v>
      </c>
      <c r="AI437">
        <f>(100%+DASHBOARD!$Q$9)*'staging data'!Y437</f>
        <v>20.399999999999999</v>
      </c>
    </row>
    <row r="438" spans="1:35" x14ac:dyDescent="0.3">
      <c r="A438" s="3" t="s">
        <v>209</v>
      </c>
      <c r="B438" s="28">
        <v>45617</v>
      </c>
      <c r="C438" s="28" t="str">
        <f t="shared" si="107"/>
        <v>Q4</v>
      </c>
      <c r="D438" s="28" t="str">
        <f t="shared" si="108"/>
        <v>2024</v>
      </c>
      <c r="E438" s="28" t="str">
        <f t="shared" si="109"/>
        <v>Sept</v>
      </c>
      <c r="F438" s="5">
        <v>45557</v>
      </c>
      <c r="G438" s="5">
        <f t="shared" si="97"/>
        <v>45566</v>
      </c>
      <c r="H438" s="5">
        <v>45566</v>
      </c>
      <c r="I438" s="5" t="str">
        <f t="shared" si="110"/>
        <v>Achieved</v>
      </c>
      <c r="J438" s="14">
        <f t="shared" si="111"/>
        <v>9</v>
      </c>
      <c r="K438" s="14">
        <f t="shared" si="98"/>
        <v>9</v>
      </c>
      <c r="L438" s="3" t="s">
        <v>647</v>
      </c>
      <c r="M438" s="3" t="s">
        <v>654</v>
      </c>
      <c r="N438" s="3" t="s">
        <v>669</v>
      </c>
      <c r="O438" s="3" t="s">
        <v>702</v>
      </c>
      <c r="P438" s="3" t="s">
        <v>707</v>
      </c>
      <c r="Q438" s="3" t="s">
        <v>722</v>
      </c>
      <c r="R438" s="3" t="s">
        <v>731</v>
      </c>
      <c r="S438" s="3" t="s">
        <v>928</v>
      </c>
      <c r="T438" s="21">
        <v>1378.8</v>
      </c>
      <c r="U438" s="21" t="str">
        <f t="shared" si="112"/>
        <v>High</v>
      </c>
      <c r="V438">
        <f t="shared" si="99"/>
        <v>1952.04</v>
      </c>
      <c r="W438" s="7">
        <v>1952.04</v>
      </c>
      <c r="X438" s="8">
        <v>0.159</v>
      </c>
      <c r="Y438" s="14">
        <v>19</v>
      </c>
      <c r="Z438" s="7">
        <f t="shared" si="100"/>
        <v>310.37436000000002</v>
      </c>
      <c r="AA438" s="7">
        <f t="shared" si="101"/>
        <v>31191.64716</v>
      </c>
      <c r="AB438" s="7">
        <f t="shared" si="102"/>
        <v>30881.272799999999</v>
      </c>
      <c r="AC438" s="7">
        <f t="shared" si="103"/>
        <v>26197.200000000001</v>
      </c>
      <c r="AD438" s="7">
        <f t="shared" si="104"/>
        <v>4994.4471599999997</v>
      </c>
      <c r="AE438" s="7">
        <f t="shared" si="105"/>
        <v>4684.0727999999981</v>
      </c>
      <c r="AF438" s="26">
        <f t="shared" si="106"/>
        <v>1.1906481288076589</v>
      </c>
      <c r="AG438" s="8">
        <f>IF(DASHBOARD!$Q$7&gt;'staging data'!X438,'staging data'!X438,DASHBOARD!$Q$7)</f>
        <v>0.159</v>
      </c>
      <c r="AH438">
        <f>(100%+DASHBOARD!$Q$8)*'staging data'!T438</f>
        <v>1585.62</v>
      </c>
      <c r="AI438">
        <f>(100%+DASHBOARD!$Q$9)*'staging data'!Y438</f>
        <v>22.8</v>
      </c>
    </row>
    <row r="439" spans="1:35" x14ac:dyDescent="0.3">
      <c r="A439" s="3" t="s">
        <v>208</v>
      </c>
      <c r="B439" s="28">
        <v>45618</v>
      </c>
      <c r="C439" s="28" t="str">
        <f t="shared" si="107"/>
        <v>Q4</v>
      </c>
      <c r="D439" s="28" t="str">
        <f t="shared" si="108"/>
        <v>2023</v>
      </c>
      <c r="E439" s="28" t="str">
        <f t="shared" si="109"/>
        <v>May</v>
      </c>
      <c r="F439" s="5">
        <v>45050</v>
      </c>
      <c r="G439" s="5">
        <f t="shared" si="97"/>
        <v>45072</v>
      </c>
      <c r="H439" s="5">
        <v>45072</v>
      </c>
      <c r="I439" s="5" t="str">
        <f t="shared" si="110"/>
        <v>Achieved</v>
      </c>
      <c r="J439" s="14">
        <f t="shared" si="111"/>
        <v>22</v>
      </c>
      <c r="K439" s="14">
        <f t="shared" si="98"/>
        <v>22</v>
      </c>
      <c r="L439" s="3" t="s">
        <v>647</v>
      </c>
      <c r="M439" s="3" t="s">
        <v>659</v>
      </c>
      <c r="N439" s="3" t="s">
        <v>685</v>
      </c>
      <c r="O439" s="3" t="s">
        <v>705</v>
      </c>
      <c r="P439" s="3" t="s">
        <v>707</v>
      </c>
      <c r="Q439" s="3" t="s">
        <v>712</v>
      </c>
      <c r="R439" s="3" t="s">
        <v>728</v>
      </c>
      <c r="S439" s="3" t="s">
        <v>927</v>
      </c>
      <c r="T439" s="21">
        <v>249.71</v>
      </c>
      <c r="U439" s="21" t="str">
        <f t="shared" si="112"/>
        <v>Low</v>
      </c>
      <c r="V439">
        <f t="shared" si="99"/>
        <v>361.33</v>
      </c>
      <c r="W439" s="7">
        <v>361.33</v>
      </c>
      <c r="X439" s="8">
        <v>9.4E-2</v>
      </c>
      <c r="Y439" s="14">
        <v>12</v>
      </c>
      <c r="Z439" s="7">
        <f t="shared" si="100"/>
        <v>33.965019999999996</v>
      </c>
      <c r="AA439" s="7">
        <f t="shared" si="101"/>
        <v>3928.3797600000003</v>
      </c>
      <c r="AB439" s="7">
        <f t="shared" si="102"/>
        <v>3894.4147400000002</v>
      </c>
      <c r="AC439" s="7">
        <f t="shared" si="103"/>
        <v>2996.52</v>
      </c>
      <c r="AD439" s="7">
        <f t="shared" si="104"/>
        <v>931.85976000000028</v>
      </c>
      <c r="AE439" s="7">
        <f t="shared" si="105"/>
        <v>897.89474000000018</v>
      </c>
      <c r="AF439" s="26">
        <f t="shared" si="106"/>
        <v>1.3109806575627729</v>
      </c>
      <c r="AG439" s="8">
        <f>IF(DASHBOARD!$Q$7&gt;'staging data'!X439,'staging data'!X439,DASHBOARD!$Q$7)</f>
        <v>9.4E-2</v>
      </c>
      <c r="AH439">
        <f>(100%+DASHBOARD!$Q$8)*'staging data'!T439</f>
        <v>287.16649999999998</v>
      </c>
      <c r="AI439">
        <f>(100%+DASHBOARD!$Q$9)*'staging data'!Y439</f>
        <v>14.399999999999999</v>
      </c>
    </row>
    <row r="440" spans="1:35" x14ac:dyDescent="0.3">
      <c r="A440" s="3" t="s">
        <v>207</v>
      </c>
      <c r="B440" s="28">
        <v>45621</v>
      </c>
      <c r="C440" s="28" t="str">
        <f t="shared" si="107"/>
        <v>Q4</v>
      </c>
      <c r="D440" s="28" t="str">
        <f t="shared" si="108"/>
        <v>2023</v>
      </c>
      <c r="E440" s="28" t="str">
        <f t="shared" si="109"/>
        <v>Oct</v>
      </c>
      <c r="F440" s="5">
        <v>45214</v>
      </c>
      <c r="G440" s="5">
        <f t="shared" si="97"/>
        <v>45243</v>
      </c>
      <c r="H440" s="5">
        <v>45243</v>
      </c>
      <c r="I440" s="5" t="str">
        <f t="shared" si="110"/>
        <v>Achieved</v>
      </c>
      <c r="J440" s="14">
        <f t="shared" si="111"/>
        <v>29</v>
      </c>
      <c r="K440" s="14">
        <f t="shared" si="98"/>
        <v>29</v>
      </c>
      <c r="L440" s="3" t="s">
        <v>646</v>
      </c>
      <c r="M440" s="3" t="s">
        <v>658</v>
      </c>
      <c r="N440" s="3" t="s">
        <v>675</v>
      </c>
      <c r="O440" s="3" t="s">
        <v>702</v>
      </c>
      <c r="P440" s="3" t="s">
        <v>709</v>
      </c>
      <c r="Q440" s="3" t="s">
        <v>712</v>
      </c>
      <c r="R440" s="3" t="s">
        <v>727</v>
      </c>
      <c r="S440" s="3" t="s">
        <v>926</v>
      </c>
      <c r="T440" s="21">
        <v>986.44</v>
      </c>
      <c r="U440" s="21" t="str">
        <f t="shared" si="112"/>
        <v>Medium</v>
      </c>
      <c r="V440">
        <f t="shared" si="99"/>
        <v>790.61</v>
      </c>
      <c r="W440" s="7">
        <v>790.61</v>
      </c>
      <c r="X440" s="8">
        <v>7.1999999999999995E-2</v>
      </c>
      <c r="Y440" s="14">
        <v>6</v>
      </c>
      <c r="Z440" s="7">
        <f t="shared" si="100"/>
        <v>56.923919999999995</v>
      </c>
      <c r="AA440" s="7">
        <f t="shared" si="101"/>
        <v>4402.1164799999997</v>
      </c>
      <c r="AB440" s="7">
        <f t="shared" si="102"/>
        <v>4345.1925599999995</v>
      </c>
      <c r="AC440" s="7">
        <f t="shared" si="103"/>
        <v>5918.64</v>
      </c>
      <c r="AD440" s="7">
        <f t="shared" si="104"/>
        <v>-1516.5235200000006</v>
      </c>
      <c r="AE440" s="7">
        <f t="shared" si="105"/>
        <v>-1573.4474400000008</v>
      </c>
      <c r="AF440" s="26">
        <f t="shared" si="106"/>
        <v>0.74377162321073753</v>
      </c>
      <c r="AG440" s="8">
        <f>IF(DASHBOARD!$Q$7&gt;'staging data'!X440,'staging data'!X440,DASHBOARD!$Q$7)</f>
        <v>7.1999999999999995E-2</v>
      </c>
      <c r="AH440">
        <f>(100%+DASHBOARD!$Q$8)*'staging data'!T440</f>
        <v>1134.4059999999999</v>
      </c>
      <c r="AI440">
        <f>(100%+DASHBOARD!$Q$9)*'staging data'!Y440</f>
        <v>7.1999999999999993</v>
      </c>
    </row>
    <row r="441" spans="1:35" x14ac:dyDescent="0.3">
      <c r="A441" s="3" t="s">
        <v>206</v>
      </c>
      <c r="B441" s="28">
        <v>45623</v>
      </c>
      <c r="C441" s="28" t="str">
        <f t="shared" si="107"/>
        <v>Q4</v>
      </c>
      <c r="D441" s="28" t="str">
        <f t="shared" si="108"/>
        <v>2024</v>
      </c>
      <c r="E441" s="28" t="str">
        <f t="shared" si="109"/>
        <v>Aug</v>
      </c>
      <c r="F441" s="5">
        <v>45516</v>
      </c>
      <c r="G441" s="5">
        <f t="shared" si="97"/>
        <v>45538</v>
      </c>
      <c r="H441" s="5">
        <v>45538</v>
      </c>
      <c r="I441" s="5" t="str">
        <f t="shared" si="110"/>
        <v>Achieved</v>
      </c>
      <c r="J441" s="14">
        <f t="shared" si="111"/>
        <v>22</v>
      </c>
      <c r="K441" s="14">
        <f t="shared" si="98"/>
        <v>22</v>
      </c>
      <c r="L441" s="3" t="s">
        <v>647</v>
      </c>
      <c r="M441" s="3" t="s">
        <v>659</v>
      </c>
      <c r="N441" s="3" t="s">
        <v>696</v>
      </c>
      <c r="O441" s="3" t="s">
        <v>703</v>
      </c>
      <c r="P441" s="3" t="s">
        <v>709</v>
      </c>
      <c r="Q441" s="3" t="s">
        <v>713</v>
      </c>
      <c r="R441" s="3" t="s">
        <v>730</v>
      </c>
      <c r="S441" s="3" t="s">
        <v>925</v>
      </c>
      <c r="T441" s="21">
        <v>797.8</v>
      </c>
      <c r="U441" s="21" t="str">
        <f t="shared" si="112"/>
        <v>Medium</v>
      </c>
      <c r="V441">
        <f t="shared" si="99"/>
        <v>886.22</v>
      </c>
      <c r="W441" s="7">
        <v>886.22</v>
      </c>
      <c r="X441" s="8">
        <v>0.23599999999999999</v>
      </c>
      <c r="Y441" s="14">
        <v>36</v>
      </c>
      <c r="Z441" s="7">
        <f t="shared" si="100"/>
        <v>209.14792</v>
      </c>
      <c r="AA441" s="7">
        <f t="shared" si="101"/>
        <v>24374.594880000001</v>
      </c>
      <c r="AB441" s="7">
        <f t="shared" si="102"/>
        <v>24165.446960000001</v>
      </c>
      <c r="AC441" s="7">
        <f t="shared" si="103"/>
        <v>28720.799999999999</v>
      </c>
      <c r="AD441" s="7">
        <f t="shared" si="104"/>
        <v>-4346.2051199999987</v>
      </c>
      <c r="AE441" s="7">
        <f t="shared" si="105"/>
        <v>-4555.3530399999981</v>
      </c>
      <c r="AF441" s="26">
        <f t="shared" si="106"/>
        <v>0.84867395337177243</v>
      </c>
      <c r="AG441" s="8">
        <f>IF(DASHBOARD!$Q$7&gt;'staging data'!X441,'staging data'!X441,DASHBOARD!$Q$7)</f>
        <v>0.2</v>
      </c>
      <c r="AH441">
        <f>(100%+DASHBOARD!$Q$8)*'staging data'!T441</f>
        <v>917.46999999999991</v>
      </c>
      <c r="AI441">
        <f>(100%+DASHBOARD!$Q$9)*'staging data'!Y441</f>
        <v>43.199999999999996</v>
      </c>
    </row>
    <row r="442" spans="1:35" x14ac:dyDescent="0.3">
      <c r="A442" s="3" t="s">
        <v>203</v>
      </c>
      <c r="B442" s="28">
        <v>45626</v>
      </c>
      <c r="C442" s="28" t="str">
        <f t="shared" si="107"/>
        <v>Q4</v>
      </c>
      <c r="D442" s="28" t="str">
        <f t="shared" si="108"/>
        <v>2024</v>
      </c>
      <c r="E442" s="28" t="str">
        <f t="shared" si="109"/>
        <v>May</v>
      </c>
      <c r="F442" s="5">
        <v>45431</v>
      </c>
      <c r="G442" s="5">
        <f t="shared" si="97"/>
        <v>45451</v>
      </c>
      <c r="H442" s="5">
        <v>45451</v>
      </c>
      <c r="I442" s="5" t="str">
        <f t="shared" si="110"/>
        <v>Achieved</v>
      </c>
      <c r="J442" s="14">
        <f t="shared" si="111"/>
        <v>20</v>
      </c>
      <c r="K442" s="14">
        <f t="shared" si="98"/>
        <v>20</v>
      </c>
      <c r="L442" s="3" t="s">
        <v>647</v>
      </c>
      <c r="M442" s="3" t="s">
        <v>654</v>
      </c>
      <c r="N442" s="3" t="s">
        <v>671</v>
      </c>
      <c r="O442" s="3" t="s">
        <v>704</v>
      </c>
      <c r="P442" s="3" t="s">
        <v>706</v>
      </c>
      <c r="Q442" s="3" t="s">
        <v>717</v>
      </c>
      <c r="R442" s="3" t="s">
        <v>731</v>
      </c>
      <c r="S442" s="3" t="s">
        <v>922</v>
      </c>
      <c r="T442" s="21">
        <v>1075.9000000000001</v>
      </c>
      <c r="U442" s="21" t="str">
        <f t="shared" si="112"/>
        <v>Medium</v>
      </c>
      <c r="V442">
        <f t="shared" si="99"/>
        <v>1242.1500000000001</v>
      </c>
      <c r="W442" s="7">
        <v>1242.1500000000001</v>
      </c>
      <c r="X442" s="8">
        <v>1.2E-2</v>
      </c>
      <c r="Y442" s="14">
        <v>7</v>
      </c>
      <c r="Z442" s="7">
        <f t="shared" si="100"/>
        <v>14.905800000000001</v>
      </c>
      <c r="AA442" s="7">
        <f t="shared" si="101"/>
        <v>8590.7094000000016</v>
      </c>
      <c r="AB442" s="7">
        <f t="shared" si="102"/>
        <v>8575.8036000000011</v>
      </c>
      <c r="AC442" s="7">
        <f t="shared" si="103"/>
        <v>7531.3000000000011</v>
      </c>
      <c r="AD442" s="7">
        <f t="shared" si="104"/>
        <v>1059.4094000000005</v>
      </c>
      <c r="AE442" s="7">
        <f t="shared" si="105"/>
        <v>1044.5036</v>
      </c>
      <c r="AF442" s="26">
        <f t="shared" si="106"/>
        <v>1.1406675341574497</v>
      </c>
      <c r="AG442" s="8">
        <f>IF(DASHBOARD!$Q$7&gt;'staging data'!X442,'staging data'!X442,DASHBOARD!$Q$7)</f>
        <v>1.2E-2</v>
      </c>
      <c r="AH442">
        <f>(100%+DASHBOARD!$Q$8)*'staging data'!T442</f>
        <v>1237.2850000000001</v>
      </c>
      <c r="AI442">
        <f>(100%+DASHBOARD!$Q$9)*'staging data'!Y442</f>
        <v>8.4</v>
      </c>
    </row>
    <row r="443" spans="1:35" x14ac:dyDescent="0.3">
      <c r="A443" s="3" t="s">
        <v>204</v>
      </c>
      <c r="B443" s="28">
        <v>45626</v>
      </c>
      <c r="C443" s="28" t="str">
        <f t="shared" si="107"/>
        <v>Q4</v>
      </c>
      <c r="D443" s="28" t="str">
        <f t="shared" si="108"/>
        <v>2024</v>
      </c>
      <c r="E443" s="28" t="str">
        <f t="shared" si="109"/>
        <v>Feb</v>
      </c>
      <c r="F443" s="5">
        <v>45325</v>
      </c>
      <c r="G443" s="5">
        <f t="shared" si="97"/>
        <v>45341</v>
      </c>
      <c r="H443" s="5">
        <v>45341</v>
      </c>
      <c r="I443" s="5" t="str">
        <f t="shared" si="110"/>
        <v>Achieved</v>
      </c>
      <c r="J443" s="14">
        <f t="shared" si="111"/>
        <v>16</v>
      </c>
      <c r="K443" s="14">
        <f t="shared" si="98"/>
        <v>16</v>
      </c>
      <c r="L443" s="3" t="s">
        <v>646</v>
      </c>
      <c r="M443" s="3" t="s">
        <v>658</v>
      </c>
      <c r="N443" s="3" t="s">
        <v>675</v>
      </c>
      <c r="O443" s="3" t="s">
        <v>704</v>
      </c>
      <c r="P443" s="3" t="s">
        <v>707</v>
      </c>
      <c r="Q443" s="3" t="s">
        <v>721</v>
      </c>
      <c r="R443" s="3" t="s">
        <v>730</v>
      </c>
      <c r="S443" s="3" t="s">
        <v>923</v>
      </c>
      <c r="T443" s="21">
        <v>993.75</v>
      </c>
      <c r="U443" s="21" t="str">
        <f t="shared" si="112"/>
        <v>Medium</v>
      </c>
      <c r="V443">
        <f t="shared" si="99"/>
        <v>1310.29</v>
      </c>
      <c r="W443" s="7">
        <v>1310.29</v>
      </c>
      <c r="X443" s="8">
        <v>0.215</v>
      </c>
      <c r="Y443" s="14">
        <v>19</v>
      </c>
      <c r="Z443" s="7">
        <f t="shared" si="100"/>
        <v>281.71235000000001</v>
      </c>
      <c r="AA443" s="7">
        <f t="shared" si="101"/>
        <v>19542.975350000001</v>
      </c>
      <c r="AB443" s="7">
        <f t="shared" si="102"/>
        <v>19261.262999999999</v>
      </c>
      <c r="AC443" s="7">
        <f t="shared" si="103"/>
        <v>18881.25</v>
      </c>
      <c r="AD443" s="7">
        <f t="shared" si="104"/>
        <v>661.72535000000062</v>
      </c>
      <c r="AE443" s="7">
        <f t="shared" si="105"/>
        <v>380.01299999999901</v>
      </c>
      <c r="AF443" s="26">
        <f t="shared" si="106"/>
        <v>1.0350466918238994</v>
      </c>
      <c r="AG443" s="8">
        <f>IF(DASHBOARD!$Q$7&gt;'staging data'!X443,'staging data'!X443,DASHBOARD!$Q$7)</f>
        <v>0.2</v>
      </c>
      <c r="AH443">
        <f>(100%+DASHBOARD!$Q$8)*'staging data'!T443</f>
        <v>1142.8125</v>
      </c>
      <c r="AI443">
        <f>(100%+DASHBOARD!$Q$9)*'staging data'!Y443</f>
        <v>22.8</v>
      </c>
    </row>
    <row r="444" spans="1:35" x14ac:dyDescent="0.3">
      <c r="A444" s="3" t="s">
        <v>205</v>
      </c>
      <c r="B444" s="28">
        <v>45626</v>
      </c>
      <c r="C444" s="28" t="str">
        <f t="shared" si="107"/>
        <v>Q4</v>
      </c>
      <c r="D444" s="28" t="str">
        <f t="shared" si="108"/>
        <v>2023</v>
      </c>
      <c r="E444" s="28" t="str">
        <f t="shared" si="109"/>
        <v>Aug</v>
      </c>
      <c r="F444" s="5">
        <v>45146</v>
      </c>
      <c r="G444" s="5">
        <f t="shared" si="97"/>
        <v>45160</v>
      </c>
      <c r="H444" s="5">
        <v>45160</v>
      </c>
      <c r="I444" s="5" t="str">
        <f t="shared" si="110"/>
        <v>Achieved</v>
      </c>
      <c r="J444" s="14">
        <f t="shared" si="111"/>
        <v>14</v>
      </c>
      <c r="K444" s="14">
        <f t="shared" si="98"/>
        <v>14</v>
      </c>
      <c r="L444" s="3" t="s">
        <v>648</v>
      </c>
      <c r="M444" s="3" t="s">
        <v>657</v>
      </c>
      <c r="N444" s="3" t="s">
        <v>673</v>
      </c>
      <c r="O444" s="3" t="s">
        <v>702</v>
      </c>
      <c r="P444" s="3" t="s">
        <v>710</v>
      </c>
      <c r="Q444" s="3" t="s">
        <v>724</v>
      </c>
      <c r="R444" s="3" t="s">
        <v>731</v>
      </c>
      <c r="S444" s="3" t="s">
        <v>924</v>
      </c>
      <c r="T444" s="21">
        <v>446.69</v>
      </c>
      <c r="U444" s="21" t="str">
        <f t="shared" si="112"/>
        <v>Medium</v>
      </c>
      <c r="V444">
        <f t="shared" si="99"/>
        <v>967.25</v>
      </c>
      <c r="W444" s="7">
        <v>967.25</v>
      </c>
      <c r="X444" s="8">
        <v>9.4E-2</v>
      </c>
      <c r="Y444" s="14">
        <v>10</v>
      </c>
      <c r="Z444" s="7">
        <f t="shared" si="100"/>
        <v>90.921499999999995</v>
      </c>
      <c r="AA444" s="7">
        <f t="shared" si="101"/>
        <v>8763.2849999999999</v>
      </c>
      <c r="AB444" s="7">
        <f t="shared" si="102"/>
        <v>8672.3634999999995</v>
      </c>
      <c r="AC444" s="7">
        <f t="shared" si="103"/>
        <v>4466.8999999999996</v>
      </c>
      <c r="AD444" s="7">
        <f t="shared" si="104"/>
        <v>4296.3850000000002</v>
      </c>
      <c r="AE444" s="7">
        <f t="shared" si="105"/>
        <v>4205.4634999999998</v>
      </c>
      <c r="AF444" s="26">
        <f t="shared" si="106"/>
        <v>1.9618269941122479</v>
      </c>
      <c r="AG444" s="8">
        <f>IF(DASHBOARD!$Q$7&gt;'staging data'!X444,'staging data'!X444,DASHBOARD!$Q$7)</f>
        <v>9.4E-2</v>
      </c>
      <c r="AH444">
        <f>(100%+DASHBOARD!$Q$8)*'staging data'!T444</f>
        <v>513.69349999999997</v>
      </c>
      <c r="AI444">
        <f>(100%+DASHBOARD!$Q$9)*'staging data'!Y444</f>
        <v>12</v>
      </c>
    </row>
    <row r="445" spans="1:35" x14ac:dyDescent="0.3">
      <c r="A445" s="3" t="s">
        <v>202</v>
      </c>
      <c r="B445" s="28">
        <v>45630</v>
      </c>
      <c r="C445" s="28" t="str">
        <f t="shared" si="107"/>
        <v>Q4</v>
      </c>
      <c r="D445" s="28" t="str">
        <f t="shared" si="108"/>
        <v>2023</v>
      </c>
      <c r="E445" s="28" t="str">
        <f t="shared" si="109"/>
        <v>Jul</v>
      </c>
      <c r="F445" s="5">
        <v>45126</v>
      </c>
      <c r="G445" s="5">
        <f t="shared" si="97"/>
        <v>45138</v>
      </c>
      <c r="H445" s="5">
        <v>45138</v>
      </c>
      <c r="I445" s="5" t="str">
        <f t="shared" si="110"/>
        <v>Achieved</v>
      </c>
      <c r="J445" s="14">
        <f t="shared" si="111"/>
        <v>12</v>
      </c>
      <c r="K445" s="14">
        <f t="shared" si="98"/>
        <v>12</v>
      </c>
      <c r="L445" s="3" t="s">
        <v>647</v>
      </c>
      <c r="M445" s="3" t="s">
        <v>654</v>
      </c>
      <c r="N445" s="3" t="s">
        <v>691</v>
      </c>
      <c r="O445" s="3" t="s">
        <v>700</v>
      </c>
      <c r="P445" s="3" t="s">
        <v>706</v>
      </c>
      <c r="Q445" s="3" t="s">
        <v>711</v>
      </c>
      <c r="R445" s="3" t="s">
        <v>731</v>
      </c>
      <c r="S445" s="3" t="s">
        <v>921</v>
      </c>
      <c r="T445" s="21">
        <v>1334.64</v>
      </c>
      <c r="U445" s="21" t="str">
        <f t="shared" si="112"/>
        <v>High</v>
      </c>
      <c r="V445">
        <f t="shared" si="99"/>
        <v>2273.42</v>
      </c>
      <c r="W445" s="7">
        <v>2273.42</v>
      </c>
      <c r="X445" s="8">
        <v>0.11799999999999999</v>
      </c>
      <c r="Y445" s="14">
        <v>14</v>
      </c>
      <c r="Z445" s="7">
        <f t="shared" si="100"/>
        <v>268.26355999999998</v>
      </c>
      <c r="AA445" s="7">
        <f t="shared" si="101"/>
        <v>28072.190160000002</v>
      </c>
      <c r="AB445" s="7">
        <f t="shared" si="102"/>
        <v>27803.926600000003</v>
      </c>
      <c r="AC445" s="7">
        <f t="shared" si="103"/>
        <v>18684.960000000003</v>
      </c>
      <c r="AD445" s="7">
        <f t="shared" si="104"/>
        <v>9387.2301599999992</v>
      </c>
      <c r="AE445" s="7">
        <f t="shared" si="105"/>
        <v>9118.9665999999997</v>
      </c>
      <c r="AF445" s="26">
        <f t="shared" si="106"/>
        <v>1.5023949829167416</v>
      </c>
      <c r="AG445" s="8">
        <f>IF(DASHBOARD!$Q$7&gt;'staging data'!X445,'staging data'!X445,DASHBOARD!$Q$7)</f>
        <v>0.11799999999999999</v>
      </c>
      <c r="AH445">
        <f>(100%+DASHBOARD!$Q$8)*'staging data'!T445</f>
        <v>1534.836</v>
      </c>
      <c r="AI445">
        <f>(100%+DASHBOARD!$Q$9)*'staging data'!Y445</f>
        <v>16.8</v>
      </c>
    </row>
    <row r="446" spans="1:35" x14ac:dyDescent="0.3">
      <c r="A446" s="3" t="s">
        <v>201</v>
      </c>
      <c r="B446" s="28">
        <v>45631</v>
      </c>
      <c r="C446" s="28" t="str">
        <f t="shared" si="107"/>
        <v>Q4</v>
      </c>
      <c r="D446" s="28" t="str">
        <f t="shared" si="108"/>
        <v>2023</v>
      </c>
      <c r="E446" s="28" t="str">
        <f t="shared" si="109"/>
        <v>Jan</v>
      </c>
      <c r="F446" s="5">
        <v>44955</v>
      </c>
      <c r="G446" s="5">
        <f t="shared" si="97"/>
        <v>44985</v>
      </c>
      <c r="H446" s="5">
        <v>44985</v>
      </c>
      <c r="I446" s="5" t="str">
        <f t="shared" si="110"/>
        <v>Achieved</v>
      </c>
      <c r="J446" s="14">
        <f t="shared" si="111"/>
        <v>30</v>
      </c>
      <c r="K446" s="14">
        <f t="shared" si="98"/>
        <v>30</v>
      </c>
      <c r="L446" s="3" t="s">
        <v>646</v>
      </c>
      <c r="M446" s="3" t="s">
        <v>653</v>
      </c>
      <c r="N446" s="3" t="s">
        <v>667</v>
      </c>
      <c r="O446" s="3" t="s">
        <v>702</v>
      </c>
      <c r="P446" s="3" t="s">
        <v>706</v>
      </c>
      <c r="Q446" s="3" t="s">
        <v>716</v>
      </c>
      <c r="R446" s="3" t="s">
        <v>732</v>
      </c>
      <c r="S446" s="3" t="s">
        <v>920</v>
      </c>
      <c r="T446" s="21">
        <v>1262.0999999999999</v>
      </c>
      <c r="U446" s="21" t="str">
        <f t="shared" si="112"/>
        <v>Medium</v>
      </c>
      <c r="V446">
        <f t="shared" si="99"/>
        <v>1395.53</v>
      </c>
      <c r="W446" s="7">
        <v>1395.53</v>
      </c>
      <c r="X446" s="8">
        <v>0.23300000000000001</v>
      </c>
      <c r="Y446" s="14">
        <v>25</v>
      </c>
      <c r="Z446" s="7">
        <f t="shared" si="100"/>
        <v>325.15849000000003</v>
      </c>
      <c r="AA446" s="7">
        <f t="shared" si="101"/>
        <v>26759.28775</v>
      </c>
      <c r="AB446" s="7">
        <f t="shared" si="102"/>
        <v>26434.129259999998</v>
      </c>
      <c r="AC446" s="7">
        <f t="shared" si="103"/>
        <v>31552.499999999996</v>
      </c>
      <c r="AD446" s="7">
        <f t="shared" si="104"/>
        <v>-4793.2122499999969</v>
      </c>
      <c r="AE446" s="7">
        <f t="shared" si="105"/>
        <v>-5118.3707399999985</v>
      </c>
      <c r="AF446" s="26">
        <f t="shared" si="106"/>
        <v>0.8480877188812298</v>
      </c>
      <c r="AG446" s="8">
        <f>IF(DASHBOARD!$Q$7&gt;'staging data'!X446,'staging data'!X446,DASHBOARD!$Q$7)</f>
        <v>0.2</v>
      </c>
      <c r="AH446">
        <f>(100%+DASHBOARD!$Q$8)*'staging data'!T446</f>
        <v>1451.4149999999997</v>
      </c>
      <c r="AI446">
        <f>(100%+DASHBOARD!$Q$9)*'staging data'!Y446</f>
        <v>30</v>
      </c>
    </row>
    <row r="447" spans="1:35" x14ac:dyDescent="0.3">
      <c r="A447" s="3" t="s">
        <v>200</v>
      </c>
      <c r="B447" s="28">
        <v>45633</v>
      </c>
      <c r="C447" s="28" t="str">
        <f t="shared" si="107"/>
        <v>Q4</v>
      </c>
      <c r="D447" s="28" t="str">
        <f t="shared" si="108"/>
        <v>2025</v>
      </c>
      <c r="E447" s="28" t="str">
        <f t="shared" si="109"/>
        <v>Jan</v>
      </c>
      <c r="F447" s="5">
        <v>45670</v>
      </c>
      <c r="G447" s="5">
        <f t="shared" si="97"/>
        <v>45696</v>
      </c>
      <c r="H447" s="5">
        <v>45696</v>
      </c>
      <c r="I447" s="5" t="str">
        <f t="shared" si="110"/>
        <v>Achieved</v>
      </c>
      <c r="J447" s="14">
        <f t="shared" si="111"/>
        <v>26</v>
      </c>
      <c r="K447" s="14">
        <f t="shared" si="98"/>
        <v>26</v>
      </c>
      <c r="L447" s="3" t="s">
        <v>648</v>
      </c>
      <c r="M447" s="3" t="s">
        <v>656</v>
      </c>
      <c r="N447" s="3" t="s">
        <v>689</v>
      </c>
      <c r="O447" s="3" t="s">
        <v>702</v>
      </c>
      <c r="P447" s="3" t="s">
        <v>709</v>
      </c>
      <c r="Q447" s="3" t="s">
        <v>717</v>
      </c>
      <c r="R447" s="3" t="s">
        <v>731</v>
      </c>
      <c r="S447" s="3" t="s">
        <v>919</v>
      </c>
      <c r="T447" s="21">
        <v>594.74</v>
      </c>
      <c r="U447" s="21" t="str">
        <f t="shared" si="112"/>
        <v>Medium</v>
      </c>
      <c r="V447">
        <f t="shared" si="99"/>
        <v>1020.69</v>
      </c>
      <c r="W447" s="7">
        <v>1020.69</v>
      </c>
      <c r="X447" s="8">
        <v>0.21099999999999999</v>
      </c>
      <c r="Y447" s="14">
        <v>6</v>
      </c>
      <c r="Z447" s="7">
        <f t="shared" si="100"/>
        <v>215.36559</v>
      </c>
      <c r="AA447" s="7">
        <f t="shared" si="101"/>
        <v>4831.9464600000001</v>
      </c>
      <c r="AB447" s="7">
        <f t="shared" si="102"/>
        <v>4616.5808699999998</v>
      </c>
      <c r="AC447" s="7">
        <f t="shared" si="103"/>
        <v>3568.44</v>
      </c>
      <c r="AD447" s="7">
        <f t="shared" si="104"/>
        <v>1263.5064600000001</v>
      </c>
      <c r="AE447" s="7">
        <f t="shared" si="105"/>
        <v>1048.1408699999997</v>
      </c>
      <c r="AF447" s="26">
        <f t="shared" si="106"/>
        <v>1.3540781013552141</v>
      </c>
      <c r="AG447" s="8">
        <f>IF(DASHBOARD!$Q$7&gt;'staging data'!X447,'staging data'!X447,DASHBOARD!$Q$7)</f>
        <v>0.2</v>
      </c>
      <c r="AH447">
        <f>(100%+DASHBOARD!$Q$8)*'staging data'!T447</f>
        <v>683.95099999999991</v>
      </c>
      <c r="AI447">
        <f>(100%+DASHBOARD!$Q$9)*'staging data'!Y447</f>
        <v>7.1999999999999993</v>
      </c>
    </row>
    <row r="448" spans="1:35" x14ac:dyDescent="0.3">
      <c r="A448" s="3" t="s">
        <v>199</v>
      </c>
      <c r="B448" s="28">
        <v>45634</v>
      </c>
      <c r="C448" s="28" t="str">
        <f t="shared" si="107"/>
        <v>Q4</v>
      </c>
      <c r="D448" s="28" t="str">
        <f t="shared" si="108"/>
        <v>2023</v>
      </c>
      <c r="E448" s="28" t="str">
        <f t="shared" si="109"/>
        <v>Jun</v>
      </c>
      <c r="F448" s="5">
        <v>45099</v>
      </c>
      <c r="G448" s="5">
        <f t="shared" si="97"/>
        <v>45128</v>
      </c>
      <c r="H448" s="5">
        <v>45128</v>
      </c>
      <c r="I448" s="5" t="str">
        <f t="shared" si="110"/>
        <v>Achieved</v>
      </c>
      <c r="J448" s="14">
        <f t="shared" si="111"/>
        <v>29</v>
      </c>
      <c r="K448" s="14">
        <f t="shared" si="98"/>
        <v>29</v>
      </c>
      <c r="L448" s="3" t="s">
        <v>648</v>
      </c>
      <c r="M448" s="3" t="s">
        <v>656</v>
      </c>
      <c r="N448" s="3" t="s">
        <v>678</v>
      </c>
      <c r="O448" s="3" t="s">
        <v>700</v>
      </c>
      <c r="P448" s="3" t="s">
        <v>706</v>
      </c>
      <c r="Q448" s="3" t="s">
        <v>712</v>
      </c>
      <c r="R448" s="3" t="s">
        <v>732</v>
      </c>
      <c r="S448" s="3" t="s">
        <v>918</v>
      </c>
      <c r="T448" s="21">
        <v>734.34</v>
      </c>
      <c r="U448" s="21" t="str">
        <f t="shared" si="112"/>
        <v>Medium</v>
      </c>
      <c r="V448">
        <f t="shared" si="99"/>
        <v>887.9</v>
      </c>
      <c r="W448" s="7">
        <v>887.9</v>
      </c>
      <c r="X448" s="8">
        <v>2.5000000000000001E-2</v>
      </c>
      <c r="Y448" s="14">
        <v>12</v>
      </c>
      <c r="Z448" s="7">
        <f t="shared" si="100"/>
        <v>22.197500000000002</v>
      </c>
      <c r="AA448" s="7">
        <f t="shared" si="101"/>
        <v>10388.429999999998</v>
      </c>
      <c r="AB448" s="7">
        <f t="shared" si="102"/>
        <v>10366.232499999998</v>
      </c>
      <c r="AC448" s="7">
        <f t="shared" si="103"/>
        <v>8812.08</v>
      </c>
      <c r="AD448" s="7">
        <f t="shared" si="104"/>
        <v>1576.3499999999985</v>
      </c>
      <c r="AE448" s="7">
        <f t="shared" si="105"/>
        <v>1554.1524999999983</v>
      </c>
      <c r="AF448" s="26">
        <f t="shared" si="106"/>
        <v>1.1788851213334421</v>
      </c>
      <c r="AG448" s="8">
        <f>IF(DASHBOARD!$Q$7&gt;'staging data'!X448,'staging data'!X448,DASHBOARD!$Q$7)</f>
        <v>2.5000000000000001E-2</v>
      </c>
      <c r="AH448">
        <f>(100%+DASHBOARD!$Q$8)*'staging data'!T448</f>
        <v>844.49099999999999</v>
      </c>
      <c r="AI448">
        <f>(100%+DASHBOARD!$Q$9)*'staging data'!Y448</f>
        <v>14.399999999999999</v>
      </c>
    </row>
    <row r="449" spans="1:35" x14ac:dyDescent="0.3">
      <c r="A449" s="3" t="s">
        <v>197</v>
      </c>
      <c r="B449" s="28">
        <v>45636</v>
      </c>
      <c r="C449" s="28" t="str">
        <f t="shared" si="107"/>
        <v>Q4</v>
      </c>
      <c r="D449" s="28" t="str">
        <f t="shared" si="108"/>
        <v>2023</v>
      </c>
      <c r="E449" s="28" t="str">
        <f t="shared" si="109"/>
        <v>Aug</v>
      </c>
      <c r="F449" s="5">
        <v>45157</v>
      </c>
      <c r="G449" s="5">
        <f t="shared" si="97"/>
        <v>45161</v>
      </c>
      <c r="H449" s="5">
        <v>45161</v>
      </c>
      <c r="I449" s="5" t="str">
        <f t="shared" si="110"/>
        <v>Not achieved</v>
      </c>
      <c r="J449" s="14">
        <f t="shared" si="111"/>
        <v>4</v>
      </c>
      <c r="K449" s="14">
        <f t="shared" si="98"/>
        <v>4</v>
      </c>
      <c r="L449" s="3" t="s">
        <v>645</v>
      </c>
      <c r="M449" s="3" t="s">
        <v>650</v>
      </c>
      <c r="N449" s="3" t="s">
        <v>668</v>
      </c>
      <c r="O449" s="3" t="s">
        <v>704</v>
      </c>
      <c r="P449" s="3" t="s">
        <v>707</v>
      </c>
      <c r="Q449" s="3" t="s">
        <v>712</v>
      </c>
      <c r="R449" s="3" t="s">
        <v>731</v>
      </c>
      <c r="S449" s="3" t="s">
        <v>916</v>
      </c>
      <c r="T449" s="21">
        <v>790.63</v>
      </c>
      <c r="U449" s="21" t="str">
        <f t="shared" si="112"/>
        <v>Medium</v>
      </c>
      <c r="V449">
        <f t="shared" si="99"/>
        <v>1382.31</v>
      </c>
      <c r="W449" s="7">
        <v>1382.31</v>
      </c>
      <c r="X449" s="8">
        <v>0.10100000000000001</v>
      </c>
      <c r="Y449" s="14">
        <v>7</v>
      </c>
      <c r="Z449" s="7">
        <f t="shared" si="100"/>
        <v>139.61331000000001</v>
      </c>
      <c r="AA449" s="7">
        <f t="shared" si="101"/>
        <v>8698.8768300000011</v>
      </c>
      <c r="AB449" s="7">
        <f t="shared" si="102"/>
        <v>8559.2635200000004</v>
      </c>
      <c r="AC449" s="7">
        <f t="shared" si="103"/>
        <v>5534.41</v>
      </c>
      <c r="AD449" s="7">
        <f t="shared" si="104"/>
        <v>3164.4668300000012</v>
      </c>
      <c r="AE449" s="7">
        <f t="shared" si="105"/>
        <v>3024.8535200000006</v>
      </c>
      <c r="AF449" s="26">
        <f t="shared" si="106"/>
        <v>1.571780339729077</v>
      </c>
      <c r="AG449" s="8">
        <f>IF(DASHBOARD!$Q$7&gt;'staging data'!X449,'staging data'!X449,DASHBOARD!$Q$7)</f>
        <v>0.10100000000000001</v>
      </c>
      <c r="AH449">
        <f>(100%+DASHBOARD!$Q$8)*'staging data'!T449</f>
        <v>909.22449999999992</v>
      </c>
      <c r="AI449">
        <f>(100%+DASHBOARD!$Q$9)*'staging data'!Y449</f>
        <v>8.4</v>
      </c>
    </row>
    <row r="450" spans="1:35" x14ac:dyDescent="0.3">
      <c r="A450" s="3" t="s">
        <v>198</v>
      </c>
      <c r="B450" s="28">
        <v>45636</v>
      </c>
      <c r="C450" s="28" t="str">
        <f t="shared" si="107"/>
        <v>Q4</v>
      </c>
      <c r="D450" s="28" t="str">
        <f t="shared" si="108"/>
        <v>2024</v>
      </c>
      <c r="E450" s="28" t="str">
        <f t="shared" si="109"/>
        <v>Oct</v>
      </c>
      <c r="F450" s="5">
        <v>45587</v>
      </c>
      <c r="G450" s="5">
        <f t="shared" ref="G450:G513" si="113">IF(H450&gt;=F450, H450, (H450-K450))</f>
        <v>45594</v>
      </c>
      <c r="H450" s="5">
        <v>45594</v>
      </c>
      <c r="I450" s="5" t="str">
        <f t="shared" si="110"/>
        <v>Achieved</v>
      </c>
      <c r="J450" s="14">
        <f t="shared" si="111"/>
        <v>7</v>
      </c>
      <c r="K450" s="14">
        <f t="shared" ref="K450:K513" si="114">_xlfn.DAYS(H450,F450)</f>
        <v>7</v>
      </c>
      <c r="L450" s="3" t="s">
        <v>645</v>
      </c>
      <c r="M450" s="3" t="s">
        <v>650</v>
      </c>
      <c r="N450" s="3" t="s">
        <v>662</v>
      </c>
      <c r="O450" s="3" t="s">
        <v>705</v>
      </c>
      <c r="P450" s="3" t="s">
        <v>709</v>
      </c>
      <c r="Q450" s="3" t="s">
        <v>723</v>
      </c>
      <c r="R450" s="3" t="s">
        <v>731</v>
      </c>
      <c r="S450" s="3" t="s">
        <v>917</v>
      </c>
      <c r="T450" s="21">
        <v>1023.06</v>
      </c>
      <c r="U450" s="21" t="str">
        <f t="shared" si="112"/>
        <v>Medium</v>
      </c>
      <c r="V450">
        <f t="shared" ref="V450:V513" si="115">ABS(W450)</f>
        <v>1355.61</v>
      </c>
      <c r="W450" s="7">
        <v>1355.61</v>
      </c>
      <c r="X450" s="8">
        <v>0.153</v>
      </c>
      <c r="Y450" s="14">
        <v>23</v>
      </c>
      <c r="Z450" s="7">
        <f t="shared" ref="Z450:Z513" si="116">X450*V450</f>
        <v>207.40832999999998</v>
      </c>
      <c r="AA450" s="7">
        <f t="shared" ref="AA450:AA513" si="117">(V450*Y450)*(1-X450)</f>
        <v>26408.63841</v>
      </c>
      <c r="AB450" s="7">
        <f t="shared" ref="AB450:AB513" si="118">AA450-Z450</f>
        <v>26201.230080000001</v>
      </c>
      <c r="AC450" s="7">
        <f t="shared" ref="AC450:AC513" si="119">T450*Y450</f>
        <v>23530.379999999997</v>
      </c>
      <c r="AD450" s="7">
        <f t="shared" ref="AD450:AD513" si="120">AA450-AC450</f>
        <v>2878.2584100000022</v>
      </c>
      <c r="AE450" s="7">
        <f t="shared" ref="AE450:AE513" si="121">AB450-AC450</f>
        <v>2670.8500800000038</v>
      </c>
      <c r="AF450" s="26">
        <f t="shared" ref="AF450:AF513" si="122">IF(AA450=0,0,AA450/AC450)</f>
        <v>1.1223209489179522</v>
      </c>
      <c r="AG450" s="8">
        <f>IF(DASHBOARD!$Q$7&gt;'staging data'!X450,'staging data'!X450,DASHBOARD!$Q$7)</f>
        <v>0.153</v>
      </c>
      <c r="AH450">
        <f>(100%+DASHBOARD!$Q$8)*'staging data'!T450</f>
        <v>1176.5189999999998</v>
      </c>
      <c r="AI450">
        <f>(100%+DASHBOARD!$Q$9)*'staging data'!Y450</f>
        <v>27.599999999999998</v>
      </c>
    </row>
    <row r="451" spans="1:35" x14ac:dyDescent="0.3">
      <c r="A451" s="3" t="s">
        <v>196</v>
      </c>
      <c r="B451" s="28">
        <v>45638</v>
      </c>
      <c r="C451" s="28" t="str">
        <f t="shared" ref="C451:C514" si="123">"Q" &amp; ROUNDUP(MONTH(B451)/3,0)</f>
        <v>Q4</v>
      </c>
      <c r="D451" s="28" t="str">
        <f t="shared" ref="D451:D514" si="124">TEXT(F451,"YYYY")</f>
        <v>2025</v>
      </c>
      <c r="E451" s="28" t="str">
        <f t="shared" ref="E451:E514" si="125">TEXT(F451,"MMM")</f>
        <v>Feb</v>
      </c>
      <c r="F451" s="5">
        <v>45690</v>
      </c>
      <c r="G451" s="5">
        <f t="shared" si="113"/>
        <v>45720</v>
      </c>
      <c r="H451" s="5">
        <v>45720</v>
      </c>
      <c r="I451" s="5" t="str">
        <f t="shared" ref="I451:I514" si="126">IF(J451&gt;=7,"Achieved","Not achieved")</f>
        <v>Achieved</v>
      </c>
      <c r="J451" s="14">
        <f t="shared" ref="J451:J514" si="127">_xlfn.DAYS(G451,F451)</f>
        <v>30</v>
      </c>
      <c r="K451" s="14">
        <f t="shared" si="114"/>
        <v>30</v>
      </c>
      <c r="L451" s="3" t="s">
        <v>646</v>
      </c>
      <c r="M451" s="3" t="s">
        <v>651</v>
      </c>
      <c r="N451" s="3" t="s">
        <v>665</v>
      </c>
      <c r="O451" s="3" t="s">
        <v>701</v>
      </c>
      <c r="P451" s="3" t="s">
        <v>709</v>
      </c>
      <c r="Q451" s="3" t="s">
        <v>715</v>
      </c>
      <c r="R451" s="3" t="s">
        <v>732</v>
      </c>
      <c r="S451" s="3" t="s">
        <v>915</v>
      </c>
      <c r="T451" s="21">
        <v>766.59</v>
      </c>
      <c r="U451" s="21" t="str">
        <f t="shared" si="112"/>
        <v>High</v>
      </c>
      <c r="V451">
        <f t="shared" si="115"/>
        <v>1912.8</v>
      </c>
      <c r="W451" s="7">
        <v>1912.8</v>
      </c>
      <c r="X451" s="8">
        <v>0.19600000000000001</v>
      </c>
      <c r="Y451" s="14">
        <v>5</v>
      </c>
      <c r="Z451" s="7">
        <f t="shared" si="116"/>
        <v>374.90879999999999</v>
      </c>
      <c r="AA451" s="7">
        <f t="shared" si="117"/>
        <v>7689.4560000000001</v>
      </c>
      <c r="AB451" s="7">
        <f t="shared" si="118"/>
        <v>7314.5472</v>
      </c>
      <c r="AC451" s="7">
        <f t="shared" si="119"/>
        <v>3832.9500000000003</v>
      </c>
      <c r="AD451" s="7">
        <f t="shared" si="120"/>
        <v>3856.5059999999999</v>
      </c>
      <c r="AE451" s="7">
        <f t="shared" si="121"/>
        <v>3481.5971999999997</v>
      </c>
      <c r="AF451" s="26">
        <f t="shared" si="122"/>
        <v>2.0061456580440651</v>
      </c>
      <c r="AG451" s="8">
        <f>IF(DASHBOARD!$Q$7&gt;'staging data'!X451,'staging data'!X451,DASHBOARD!$Q$7)</f>
        <v>0.19600000000000001</v>
      </c>
      <c r="AH451">
        <f>(100%+DASHBOARD!$Q$8)*'staging data'!T451</f>
        <v>881.57849999999996</v>
      </c>
      <c r="AI451">
        <f>(100%+DASHBOARD!$Q$9)*'staging data'!Y451</f>
        <v>6</v>
      </c>
    </row>
    <row r="452" spans="1:35" x14ac:dyDescent="0.3">
      <c r="A452" s="3" t="s">
        <v>195</v>
      </c>
      <c r="B452" s="28">
        <v>45640</v>
      </c>
      <c r="C452" s="28" t="str">
        <f t="shared" si="123"/>
        <v>Q4</v>
      </c>
      <c r="D452" s="28" t="str">
        <f t="shared" si="124"/>
        <v>2024</v>
      </c>
      <c r="E452" s="28" t="str">
        <f t="shared" si="125"/>
        <v>Oct</v>
      </c>
      <c r="F452" s="5">
        <v>45568</v>
      </c>
      <c r="G452" s="5">
        <f t="shared" si="113"/>
        <v>45576</v>
      </c>
      <c r="H452" s="5">
        <v>45576</v>
      </c>
      <c r="I452" s="5" t="str">
        <f t="shared" si="126"/>
        <v>Achieved</v>
      </c>
      <c r="J452" s="14">
        <f t="shared" si="127"/>
        <v>8</v>
      </c>
      <c r="K452" s="14">
        <f t="shared" si="114"/>
        <v>8</v>
      </c>
      <c r="L452" s="3" t="s">
        <v>646</v>
      </c>
      <c r="M452" s="3" t="s">
        <v>658</v>
      </c>
      <c r="N452" s="3" t="s">
        <v>698</v>
      </c>
      <c r="O452" s="3" t="s">
        <v>705</v>
      </c>
      <c r="P452" s="3" t="s">
        <v>710</v>
      </c>
      <c r="Q452" s="3" t="s">
        <v>716</v>
      </c>
      <c r="R452" s="3" t="s">
        <v>729</v>
      </c>
      <c r="S452" s="3" t="s">
        <v>914</v>
      </c>
      <c r="T452" s="21">
        <v>1132.6099999999999</v>
      </c>
      <c r="U452" s="21" t="str">
        <f t="shared" ref="U452:U515" si="128">IF(V452&lt;=QUARTILE(V452:V1081,1),"Low",IF(V452&gt;=QUARTILE(V452:V1081,3),"High","Medium"))</f>
        <v>High</v>
      </c>
      <c r="V452">
        <f t="shared" si="115"/>
        <v>2206.63</v>
      </c>
      <c r="W452" s="7">
        <v>2206.63</v>
      </c>
      <c r="X452" s="8">
        <v>6.3E-2</v>
      </c>
      <c r="Y452" s="14">
        <v>20</v>
      </c>
      <c r="Z452" s="7">
        <f t="shared" si="116"/>
        <v>139.01769000000002</v>
      </c>
      <c r="AA452" s="7">
        <f t="shared" si="117"/>
        <v>41352.246200000009</v>
      </c>
      <c r="AB452" s="7">
        <f t="shared" si="118"/>
        <v>41213.228510000008</v>
      </c>
      <c r="AC452" s="7">
        <f t="shared" si="119"/>
        <v>22652.199999999997</v>
      </c>
      <c r="AD452" s="7">
        <f t="shared" si="120"/>
        <v>18700.046200000012</v>
      </c>
      <c r="AE452" s="7">
        <f t="shared" si="121"/>
        <v>18561.028510000011</v>
      </c>
      <c r="AF452" s="26">
        <f t="shared" si="122"/>
        <v>1.8255289199283078</v>
      </c>
      <c r="AG452" s="8">
        <f>IF(DASHBOARD!$Q$7&gt;'staging data'!X452,'staging data'!X452,DASHBOARD!$Q$7)</f>
        <v>6.3E-2</v>
      </c>
      <c r="AH452">
        <f>(100%+DASHBOARD!$Q$8)*'staging data'!T452</f>
        <v>1302.5014999999999</v>
      </c>
      <c r="AI452">
        <f>(100%+DASHBOARD!$Q$9)*'staging data'!Y452</f>
        <v>24</v>
      </c>
    </row>
    <row r="453" spans="1:35" x14ac:dyDescent="0.3">
      <c r="A453" s="3" t="s">
        <v>194</v>
      </c>
      <c r="B453" s="28">
        <v>45641</v>
      </c>
      <c r="C453" s="28" t="str">
        <f t="shared" si="123"/>
        <v>Q4</v>
      </c>
      <c r="D453" s="28" t="str">
        <f t="shared" si="124"/>
        <v>2025</v>
      </c>
      <c r="E453" s="28" t="str">
        <f t="shared" si="125"/>
        <v>Sept</v>
      </c>
      <c r="F453" s="5">
        <v>45915</v>
      </c>
      <c r="G453" s="5">
        <f t="shared" si="113"/>
        <v>45918</v>
      </c>
      <c r="H453" s="5">
        <v>45918</v>
      </c>
      <c r="I453" s="5" t="str">
        <f t="shared" si="126"/>
        <v>Not achieved</v>
      </c>
      <c r="J453" s="14">
        <f t="shared" si="127"/>
        <v>3</v>
      </c>
      <c r="K453" s="14">
        <f t="shared" si="114"/>
        <v>3</v>
      </c>
      <c r="L453" s="3" t="s">
        <v>647</v>
      </c>
      <c r="M453" s="3" t="s">
        <v>654</v>
      </c>
      <c r="N453" s="3" t="s">
        <v>691</v>
      </c>
      <c r="O453" s="3" t="s">
        <v>702</v>
      </c>
      <c r="P453" s="3" t="s">
        <v>710</v>
      </c>
      <c r="Q453" s="3" t="s">
        <v>715</v>
      </c>
      <c r="R453" s="3" t="s">
        <v>732</v>
      </c>
      <c r="S453" s="3" t="s">
        <v>913</v>
      </c>
      <c r="T453" s="21">
        <v>5.5</v>
      </c>
      <c r="U453" s="21" t="str">
        <f t="shared" si="128"/>
        <v>Low</v>
      </c>
      <c r="V453">
        <f t="shared" si="115"/>
        <v>5.92</v>
      </c>
      <c r="W453" s="7">
        <v>5.92</v>
      </c>
      <c r="X453" s="8">
        <v>0.21199999999999999</v>
      </c>
      <c r="Y453" s="14">
        <v>4</v>
      </c>
      <c r="Z453" s="7">
        <f t="shared" si="116"/>
        <v>1.2550399999999999</v>
      </c>
      <c r="AA453" s="7">
        <f t="shared" si="117"/>
        <v>18.659839999999999</v>
      </c>
      <c r="AB453" s="7">
        <f t="shared" si="118"/>
        <v>17.404799999999998</v>
      </c>
      <c r="AC453" s="7">
        <f t="shared" si="119"/>
        <v>22</v>
      </c>
      <c r="AD453" s="7">
        <f t="shared" si="120"/>
        <v>-3.3401600000000009</v>
      </c>
      <c r="AE453" s="7">
        <f t="shared" si="121"/>
        <v>-4.5952000000000019</v>
      </c>
      <c r="AF453" s="26">
        <f t="shared" si="122"/>
        <v>0.8481745454545454</v>
      </c>
      <c r="AG453" s="8">
        <f>IF(DASHBOARD!$Q$7&gt;'staging data'!X453,'staging data'!X453,DASHBOARD!$Q$7)</f>
        <v>0.2</v>
      </c>
      <c r="AH453">
        <f>(100%+DASHBOARD!$Q$8)*'staging data'!T453</f>
        <v>6.3249999999999993</v>
      </c>
      <c r="AI453">
        <f>(100%+DASHBOARD!$Q$9)*'staging data'!Y453</f>
        <v>4.8</v>
      </c>
    </row>
    <row r="454" spans="1:35" x14ac:dyDescent="0.3">
      <c r="A454" s="3" t="s">
        <v>192</v>
      </c>
      <c r="B454" s="28">
        <v>45643</v>
      </c>
      <c r="C454" s="28" t="str">
        <f t="shared" si="123"/>
        <v>Q4</v>
      </c>
      <c r="D454" s="28" t="str">
        <f t="shared" si="124"/>
        <v>2023</v>
      </c>
      <c r="E454" s="28" t="str">
        <f t="shared" si="125"/>
        <v>Apr</v>
      </c>
      <c r="F454" s="5">
        <v>45021</v>
      </c>
      <c r="G454" s="5">
        <f t="shared" si="113"/>
        <v>45032</v>
      </c>
      <c r="H454" s="5">
        <v>45032</v>
      </c>
      <c r="I454" s="5" t="str">
        <f t="shared" si="126"/>
        <v>Achieved</v>
      </c>
      <c r="J454" s="14">
        <f t="shared" si="127"/>
        <v>11</v>
      </c>
      <c r="K454" s="14">
        <f t="shared" si="114"/>
        <v>11</v>
      </c>
      <c r="L454" s="3" t="s">
        <v>647</v>
      </c>
      <c r="M454" s="3" t="s">
        <v>652</v>
      </c>
      <c r="N454" s="3" t="s">
        <v>687</v>
      </c>
      <c r="O454" s="3" t="s">
        <v>702</v>
      </c>
      <c r="P454" s="3" t="s">
        <v>707</v>
      </c>
      <c r="Q454" s="3" t="s">
        <v>718</v>
      </c>
      <c r="R454" s="3" t="s">
        <v>731</v>
      </c>
      <c r="S454" s="3" t="s">
        <v>911</v>
      </c>
      <c r="T454" s="21">
        <v>213.1</v>
      </c>
      <c r="U454" s="21" t="str">
        <f t="shared" si="128"/>
        <v>Low</v>
      </c>
      <c r="V454">
        <f t="shared" si="115"/>
        <v>501.31</v>
      </c>
      <c r="W454" s="7">
        <v>501.31</v>
      </c>
      <c r="X454" s="8">
        <v>5.6000000000000001E-2</v>
      </c>
      <c r="Y454" s="14">
        <v>15</v>
      </c>
      <c r="Z454" s="7">
        <f t="shared" si="116"/>
        <v>28.073360000000001</v>
      </c>
      <c r="AA454" s="7">
        <f t="shared" si="117"/>
        <v>7098.5495999999994</v>
      </c>
      <c r="AB454" s="7">
        <f t="shared" si="118"/>
        <v>7070.4762399999991</v>
      </c>
      <c r="AC454" s="7">
        <f t="shared" si="119"/>
        <v>3196.5</v>
      </c>
      <c r="AD454" s="7">
        <f t="shared" si="120"/>
        <v>3902.0495999999994</v>
      </c>
      <c r="AE454" s="7">
        <f t="shared" si="121"/>
        <v>3873.9762399999991</v>
      </c>
      <c r="AF454" s="26">
        <f t="shared" si="122"/>
        <v>2.2207256687001404</v>
      </c>
      <c r="AG454" s="8">
        <f>IF(DASHBOARD!$Q$7&gt;'staging data'!X454,'staging data'!X454,DASHBOARD!$Q$7)</f>
        <v>5.6000000000000001E-2</v>
      </c>
      <c r="AH454">
        <f>(100%+DASHBOARD!$Q$8)*'staging data'!T454</f>
        <v>245.06499999999997</v>
      </c>
      <c r="AI454">
        <f>(100%+DASHBOARD!$Q$9)*'staging data'!Y454</f>
        <v>18</v>
      </c>
    </row>
    <row r="455" spans="1:35" x14ac:dyDescent="0.3">
      <c r="A455" s="3" t="s">
        <v>193</v>
      </c>
      <c r="B455" s="28">
        <v>45643</v>
      </c>
      <c r="C455" s="28" t="str">
        <f t="shared" si="123"/>
        <v>Q4</v>
      </c>
      <c r="D455" s="28" t="str">
        <f t="shared" si="124"/>
        <v>2025</v>
      </c>
      <c r="E455" s="28" t="str">
        <f t="shared" si="125"/>
        <v>Aug</v>
      </c>
      <c r="F455" s="5">
        <v>45890</v>
      </c>
      <c r="G455" s="5">
        <f t="shared" si="113"/>
        <v>45912</v>
      </c>
      <c r="H455" s="5">
        <v>45912</v>
      </c>
      <c r="I455" s="5" t="str">
        <f t="shared" si="126"/>
        <v>Achieved</v>
      </c>
      <c r="J455" s="14">
        <f t="shared" si="127"/>
        <v>22</v>
      </c>
      <c r="K455" s="14">
        <f t="shared" si="114"/>
        <v>22</v>
      </c>
      <c r="L455" s="3" t="s">
        <v>646</v>
      </c>
      <c r="M455" s="3" t="s">
        <v>658</v>
      </c>
      <c r="N455" s="3" t="s">
        <v>675</v>
      </c>
      <c r="O455" s="3" t="s">
        <v>701</v>
      </c>
      <c r="P455" s="3" t="s">
        <v>706</v>
      </c>
      <c r="Q455" s="3" t="s">
        <v>716</v>
      </c>
      <c r="R455" s="3" t="s">
        <v>727</v>
      </c>
      <c r="S455" s="3" t="s">
        <v>912</v>
      </c>
      <c r="T455" s="21">
        <v>352.66</v>
      </c>
      <c r="U455" s="21" t="str">
        <f t="shared" si="128"/>
        <v>Low</v>
      </c>
      <c r="V455">
        <f t="shared" si="115"/>
        <v>411.18</v>
      </c>
      <c r="W455" s="7">
        <v>411.18</v>
      </c>
      <c r="X455" s="8">
        <v>0.17299999999999999</v>
      </c>
      <c r="Y455" s="14">
        <v>13</v>
      </c>
      <c r="Z455" s="7">
        <f t="shared" si="116"/>
        <v>71.134140000000002</v>
      </c>
      <c r="AA455" s="7">
        <f t="shared" si="117"/>
        <v>4420.5961799999995</v>
      </c>
      <c r="AB455" s="7">
        <f t="shared" si="118"/>
        <v>4349.4620399999994</v>
      </c>
      <c r="AC455" s="7">
        <f t="shared" si="119"/>
        <v>4584.58</v>
      </c>
      <c r="AD455" s="7">
        <f t="shared" si="120"/>
        <v>-163.98382000000038</v>
      </c>
      <c r="AE455" s="7">
        <f t="shared" si="121"/>
        <v>-235.11796000000049</v>
      </c>
      <c r="AF455" s="26">
        <f t="shared" si="122"/>
        <v>0.96423144104803482</v>
      </c>
      <c r="AG455" s="8">
        <f>IF(DASHBOARD!$Q$7&gt;'staging data'!X455,'staging data'!X455,DASHBOARD!$Q$7)</f>
        <v>0.17299999999999999</v>
      </c>
      <c r="AH455">
        <f>(100%+DASHBOARD!$Q$8)*'staging data'!T455</f>
        <v>405.55899999999997</v>
      </c>
      <c r="AI455">
        <f>(100%+DASHBOARD!$Q$9)*'staging data'!Y455</f>
        <v>15.6</v>
      </c>
    </row>
    <row r="456" spans="1:35" x14ac:dyDescent="0.3">
      <c r="A456" s="3" t="s">
        <v>191</v>
      </c>
      <c r="B456" s="28">
        <v>45646</v>
      </c>
      <c r="C456" s="28" t="str">
        <f t="shared" si="123"/>
        <v>Q4</v>
      </c>
      <c r="D456" s="28" t="str">
        <f t="shared" si="124"/>
        <v>2024</v>
      </c>
      <c r="E456" s="28" t="str">
        <f t="shared" si="125"/>
        <v>Feb</v>
      </c>
      <c r="F456" s="5">
        <v>45325</v>
      </c>
      <c r="G456" s="5">
        <f t="shared" si="113"/>
        <v>45343</v>
      </c>
      <c r="H456" s="5">
        <v>45343</v>
      </c>
      <c r="I456" s="5" t="str">
        <f t="shared" si="126"/>
        <v>Achieved</v>
      </c>
      <c r="J456" s="14">
        <f t="shared" si="127"/>
        <v>18</v>
      </c>
      <c r="K456" s="14">
        <f t="shared" si="114"/>
        <v>18</v>
      </c>
      <c r="L456" s="3" t="s">
        <v>648</v>
      </c>
      <c r="M456" s="3" t="s">
        <v>655</v>
      </c>
      <c r="N456" s="3" t="s">
        <v>697</v>
      </c>
      <c r="O456" s="3" t="s">
        <v>700</v>
      </c>
      <c r="P456" s="3" t="s">
        <v>706</v>
      </c>
      <c r="Q456" s="3" t="s">
        <v>721</v>
      </c>
      <c r="R456" s="3" t="s">
        <v>726</v>
      </c>
      <c r="S456" s="3" t="s">
        <v>910</v>
      </c>
      <c r="T456" s="21">
        <v>39.229999999999997</v>
      </c>
      <c r="U456" s="21" t="str">
        <f t="shared" si="128"/>
        <v>Low</v>
      </c>
      <c r="V456">
        <f t="shared" si="115"/>
        <v>30.09</v>
      </c>
      <c r="W456" s="7">
        <v>30.09</v>
      </c>
      <c r="X456" s="8">
        <v>0.17699999999999999</v>
      </c>
      <c r="Y456" s="14">
        <v>13</v>
      </c>
      <c r="Z456" s="7">
        <f t="shared" si="116"/>
        <v>5.3259299999999996</v>
      </c>
      <c r="AA456" s="7">
        <f t="shared" si="117"/>
        <v>321.93290999999999</v>
      </c>
      <c r="AB456" s="7">
        <f t="shared" si="118"/>
        <v>316.60698000000002</v>
      </c>
      <c r="AC456" s="7">
        <f t="shared" si="119"/>
        <v>509.98999999999995</v>
      </c>
      <c r="AD456" s="7">
        <f t="shared" si="120"/>
        <v>-188.05708999999996</v>
      </c>
      <c r="AE456" s="7">
        <f t="shared" si="121"/>
        <v>-193.38301999999993</v>
      </c>
      <c r="AF456" s="26">
        <f t="shared" si="122"/>
        <v>0.63125337751720623</v>
      </c>
      <c r="AG456" s="8">
        <f>IF(DASHBOARD!$Q$7&gt;'staging data'!X456,'staging data'!X456,DASHBOARD!$Q$7)</f>
        <v>0.17699999999999999</v>
      </c>
      <c r="AH456">
        <f>(100%+DASHBOARD!$Q$8)*'staging data'!T456</f>
        <v>45.114499999999992</v>
      </c>
      <c r="AI456">
        <f>(100%+DASHBOARD!$Q$9)*'staging data'!Y456</f>
        <v>15.6</v>
      </c>
    </row>
    <row r="457" spans="1:35" x14ac:dyDescent="0.3">
      <c r="A457" s="3" t="s">
        <v>190</v>
      </c>
      <c r="B457" s="28">
        <v>45647</v>
      </c>
      <c r="C457" s="28" t="str">
        <f t="shared" si="123"/>
        <v>Q4</v>
      </c>
      <c r="D457" s="28" t="str">
        <f t="shared" si="124"/>
        <v>2023</v>
      </c>
      <c r="E457" s="28" t="str">
        <f t="shared" si="125"/>
        <v>Aug</v>
      </c>
      <c r="F457" s="5">
        <v>45165</v>
      </c>
      <c r="G457" s="5">
        <f t="shared" si="113"/>
        <v>45180</v>
      </c>
      <c r="H457" s="5">
        <v>45180</v>
      </c>
      <c r="I457" s="5" t="str">
        <f t="shared" si="126"/>
        <v>Achieved</v>
      </c>
      <c r="J457" s="14">
        <f t="shared" si="127"/>
        <v>15</v>
      </c>
      <c r="K457" s="14">
        <f t="shared" si="114"/>
        <v>15</v>
      </c>
      <c r="L457" s="3" t="s">
        <v>648</v>
      </c>
      <c r="M457" s="3" t="s">
        <v>657</v>
      </c>
      <c r="N457" s="3" t="s">
        <v>682</v>
      </c>
      <c r="O457" s="3" t="s">
        <v>703</v>
      </c>
      <c r="P457" s="3" t="s">
        <v>708</v>
      </c>
      <c r="Q457" s="3" t="s">
        <v>724</v>
      </c>
      <c r="R457" s="3" t="s">
        <v>727</v>
      </c>
      <c r="S457" s="3" t="s">
        <v>909</v>
      </c>
      <c r="T457" s="21">
        <v>943.79</v>
      </c>
      <c r="U457" s="21" t="str">
        <f t="shared" si="128"/>
        <v>High</v>
      </c>
      <c r="V457">
        <f t="shared" si="115"/>
        <v>1913.76</v>
      </c>
      <c r="W457" s="7">
        <v>1913.76</v>
      </c>
      <c r="X457" s="8">
        <v>9.0999999999999998E-2</v>
      </c>
      <c r="Y457" s="14">
        <v>9</v>
      </c>
      <c r="Z457" s="7">
        <f t="shared" si="116"/>
        <v>174.15215999999998</v>
      </c>
      <c r="AA457" s="7">
        <f t="shared" si="117"/>
        <v>15656.47056</v>
      </c>
      <c r="AB457" s="7">
        <f t="shared" si="118"/>
        <v>15482.3184</v>
      </c>
      <c r="AC457" s="7">
        <f t="shared" si="119"/>
        <v>8494.11</v>
      </c>
      <c r="AD457" s="7">
        <f t="shared" si="120"/>
        <v>7162.3605599999992</v>
      </c>
      <c r="AE457" s="7">
        <f t="shared" si="121"/>
        <v>6988.2083999999995</v>
      </c>
      <c r="AF457" s="26">
        <f t="shared" si="122"/>
        <v>1.8432149524788353</v>
      </c>
      <c r="AG457" s="8">
        <f>IF(DASHBOARD!$Q$7&gt;'staging data'!X457,'staging data'!X457,DASHBOARD!$Q$7)</f>
        <v>9.0999999999999998E-2</v>
      </c>
      <c r="AH457">
        <f>(100%+DASHBOARD!$Q$8)*'staging data'!T457</f>
        <v>1085.3584999999998</v>
      </c>
      <c r="AI457">
        <f>(100%+DASHBOARD!$Q$9)*'staging data'!Y457</f>
        <v>10.799999999999999</v>
      </c>
    </row>
    <row r="458" spans="1:35" x14ac:dyDescent="0.3">
      <c r="A458" s="3" t="s">
        <v>189</v>
      </c>
      <c r="B458" s="28">
        <v>45649</v>
      </c>
      <c r="C458" s="28" t="str">
        <f t="shared" si="123"/>
        <v>Q4</v>
      </c>
      <c r="D458" s="28" t="str">
        <f t="shared" si="124"/>
        <v>2025</v>
      </c>
      <c r="E458" s="28" t="str">
        <f t="shared" si="125"/>
        <v>Apr</v>
      </c>
      <c r="F458" s="5">
        <v>45761</v>
      </c>
      <c r="G458" s="5">
        <f t="shared" si="113"/>
        <v>45781</v>
      </c>
      <c r="H458" s="5">
        <v>45781</v>
      </c>
      <c r="I458" s="5" t="str">
        <f t="shared" si="126"/>
        <v>Achieved</v>
      </c>
      <c r="J458" s="14">
        <f t="shared" si="127"/>
        <v>20</v>
      </c>
      <c r="K458" s="14">
        <f t="shared" si="114"/>
        <v>20</v>
      </c>
      <c r="L458" s="3" t="s">
        <v>648</v>
      </c>
      <c r="M458" s="3" t="s">
        <v>657</v>
      </c>
      <c r="N458" s="3" t="s">
        <v>673</v>
      </c>
      <c r="O458" s="3" t="s">
        <v>705</v>
      </c>
      <c r="P458" s="3" t="s">
        <v>708</v>
      </c>
      <c r="Q458" s="3" t="s">
        <v>722</v>
      </c>
      <c r="R458" s="3" t="s">
        <v>731</v>
      </c>
      <c r="S458" s="3" t="s">
        <v>908</v>
      </c>
      <c r="T458" s="21">
        <v>1413.87</v>
      </c>
      <c r="U458" s="21" t="str">
        <f t="shared" si="128"/>
        <v>High</v>
      </c>
      <c r="V458">
        <f t="shared" si="115"/>
        <v>3275</v>
      </c>
      <c r="W458" s="7">
        <v>3275</v>
      </c>
      <c r="X458" s="8">
        <v>0.255</v>
      </c>
      <c r="Y458" s="14">
        <v>38</v>
      </c>
      <c r="Z458" s="7">
        <f t="shared" si="116"/>
        <v>835.125</v>
      </c>
      <c r="AA458" s="7">
        <f t="shared" si="117"/>
        <v>92715.25</v>
      </c>
      <c r="AB458" s="7">
        <f t="shared" si="118"/>
        <v>91880.125</v>
      </c>
      <c r="AC458" s="7">
        <f t="shared" si="119"/>
        <v>53727.06</v>
      </c>
      <c r="AD458" s="7">
        <f t="shared" si="120"/>
        <v>38988.19</v>
      </c>
      <c r="AE458" s="7">
        <f t="shared" si="121"/>
        <v>38153.065000000002</v>
      </c>
      <c r="AF458" s="26">
        <f t="shared" si="122"/>
        <v>1.7256713842149562</v>
      </c>
      <c r="AG458" s="8">
        <f>IF(DASHBOARD!$Q$7&gt;'staging data'!X458,'staging data'!X458,DASHBOARD!$Q$7)</f>
        <v>0.2</v>
      </c>
      <c r="AH458">
        <f>(100%+DASHBOARD!$Q$8)*'staging data'!T458</f>
        <v>1625.9504999999997</v>
      </c>
      <c r="AI458">
        <f>(100%+DASHBOARD!$Q$9)*'staging data'!Y458</f>
        <v>45.6</v>
      </c>
    </row>
    <row r="459" spans="1:35" x14ac:dyDescent="0.3">
      <c r="A459" s="3" t="s">
        <v>188</v>
      </c>
      <c r="B459" s="28">
        <v>45650</v>
      </c>
      <c r="C459" s="28" t="str">
        <f t="shared" si="123"/>
        <v>Q4</v>
      </c>
      <c r="D459" s="28" t="str">
        <f t="shared" si="124"/>
        <v>2024</v>
      </c>
      <c r="E459" s="28" t="str">
        <f t="shared" si="125"/>
        <v>May</v>
      </c>
      <c r="F459" s="5">
        <v>45435</v>
      </c>
      <c r="G459" s="5">
        <f t="shared" si="113"/>
        <v>45446</v>
      </c>
      <c r="H459" s="5">
        <v>45446</v>
      </c>
      <c r="I459" s="5" t="str">
        <f t="shared" si="126"/>
        <v>Achieved</v>
      </c>
      <c r="J459" s="14">
        <f t="shared" si="127"/>
        <v>11</v>
      </c>
      <c r="K459" s="14">
        <f t="shared" si="114"/>
        <v>11</v>
      </c>
      <c r="L459" s="3" t="s">
        <v>645</v>
      </c>
      <c r="M459" s="3" t="s">
        <v>660</v>
      </c>
      <c r="N459" s="3" t="s">
        <v>681</v>
      </c>
      <c r="O459" s="3" t="s">
        <v>704</v>
      </c>
      <c r="P459" s="3" t="s">
        <v>709</v>
      </c>
      <c r="Q459" s="3" t="s">
        <v>720</v>
      </c>
      <c r="R459" s="3" t="s">
        <v>727</v>
      </c>
      <c r="S459" s="3" t="s">
        <v>907</v>
      </c>
      <c r="T459" s="21">
        <v>180.89</v>
      </c>
      <c r="U459" s="21" t="str">
        <f t="shared" si="128"/>
        <v>Low</v>
      </c>
      <c r="V459">
        <f t="shared" si="115"/>
        <v>249.57</v>
      </c>
      <c r="W459" s="7">
        <v>249.57</v>
      </c>
      <c r="X459" s="8">
        <v>2.1999999999999999E-2</v>
      </c>
      <c r="Y459" s="14">
        <v>8</v>
      </c>
      <c r="Z459" s="7">
        <f t="shared" si="116"/>
        <v>5.4905399999999993</v>
      </c>
      <c r="AA459" s="7">
        <f t="shared" si="117"/>
        <v>1952.6356799999999</v>
      </c>
      <c r="AB459" s="7">
        <f t="shared" si="118"/>
        <v>1947.1451399999999</v>
      </c>
      <c r="AC459" s="7">
        <f t="shared" si="119"/>
        <v>1447.12</v>
      </c>
      <c r="AD459" s="7">
        <f t="shared" si="120"/>
        <v>505.51567999999997</v>
      </c>
      <c r="AE459" s="7">
        <f t="shared" si="121"/>
        <v>500.02513999999996</v>
      </c>
      <c r="AF459" s="26">
        <f t="shared" si="122"/>
        <v>1.3493253358394603</v>
      </c>
      <c r="AG459" s="8">
        <f>IF(DASHBOARD!$Q$7&gt;'staging data'!X459,'staging data'!X459,DASHBOARD!$Q$7)</f>
        <v>2.1999999999999999E-2</v>
      </c>
      <c r="AH459">
        <f>(100%+DASHBOARD!$Q$8)*'staging data'!T459</f>
        <v>208.02349999999996</v>
      </c>
      <c r="AI459">
        <f>(100%+DASHBOARD!$Q$9)*'staging data'!Y459</f>
        <v>9.6</v>
      </c>
    </row>
    <row r="460" spans="1:35" x14ac:dyDescent="0.3">
      <c r="A460" s="3" t="s">
        <v>184</v>
      </c>
      <c r="B460" s="28">
        <v>45653</v>
      </c>
      <c r="C460" s="28" t="str">
        <f t="shared" si="123"/>
        <v>Q4</v>
      </c>
      <c r="D460" s="28" t="str">
        <f t="shared" si="124"/>
        <v>2024</v>
      </c>
      <c r="E460" s="28" t="str">
        <f t="shared" si="125"/>
        <v>Jul</v>
      </c>
      <c r="F460" s="5">
        <v>45488</v>
      </c>
      <c r="G460" s="5">
        <f t="shared" si="113"/>
        <v>45488</v>
      </c>
      <c r="H460" s="5">
        <v>45488</v>
      </c>
      <c r="I460" s="5" t="str">
        <f t="shared" si="126"/>
        <v>Not achieved</v>
      </c>
      <c r="J460" s="14">
        <f t="shared" si="127"/>
        <v>0</v>
      </c>
      <c r="K460" s="14">
        <f t="shared" si="114"/>
        <v>0</v>
      </c>
      <c r="L460" s="3" t="s">
        <v>646</v>
      </c>
      <c r="M460" s="3" t="s">
        <v>651</v>
      </c>
      <c r="N460" s="3" t="s">
        <v>688</v>
      </c>
      <c r="O460" s="3" t="s">
        <v>704</v>
      </c>
      <c r="P460" s="3" t="s">
        <v>708</v>
      </c>
      <c r="Q460" s="3" t="s">
        <v>714</v>
      </c>
      <c r="R460" s="3" t="s">
        <v>732</v>
      </c>
      <c r="S460" s="3" t="s">
        <v>903</v>
      </c>
      <c r="T460" s="21">
        <v>801.77</v>
      </c>
      <c r="U460" s="21" t="str">
        <f t="shared" si="128"/>
        <v>Medium</v>
      </c>
      <c r="V460">
        <f t="shared" si="115"/>
        <v>1218.92</v>
      </c>
      <c r="W460" s="7">
        <v>1218.92</v>
      </c>
      <c r="X460" s="8">
        <v>0.254</v>
      </c>
      <c r="Y460" s="14">
        <v>16</v>
      </c>
      <c r="Z460" s="7">
        <f t="shared" si="116"/>
        <v>309.60568000000001</v>
      </c>
      <c r="AA460" s="7">
        <f t="shared" si="117"/>
        <v>14549.029120000001</v>
      </c>
      <c r="AB460" s="7">
        <f t="shared" si="118"/>
        <v>14239.42344</v>
      </c>
      <c r="AC460" s="7">
        <f t="shared" si="119"/>
        <v>12828.32</v>
      </c>
      <c r="AD460" s="7">
        <f t="shared" si="120"/>
        <v>1720.7091200000013</v>
      </c>
      <c r="AE460" s="7">
        <f t="shared" si="121"/>
        <v>1411.1034400000008</v>
      </c>
      <c r="AF460" s="26">
        <f t="shared" si="122"/>
        <v>1.1341336293450741</v>
      </c>
      <c r="AG460" s="8">
        <f>IF(DASHBOARD!$Q$7&gt;'staging data'!X460,'staging data'!X460,DASHBOARD!$Q$7)</f>
        <v>0.2</v>
      </c>
      <c r="AH460">
        <f>(100%+DASHBOARD!$Q$8)*'staging data'!T460</f>
        <v>922.03549999999996</v>
      </c>
      <c r="AI460">
        <f>(100%+DASHBOARD!$Q$9)*'staging data'!Y460</f>
        <v>19.2</v>
      </c>
    </row>
    <row r="461" spans="1:35" x14ac:dyDescent="0.3">
      <c r="A461" s="3" t="s">
        <v>185</v>
      </c>
      <c r="B461" s="28">
        <v>45653</v>
      </c>
      <c r="C461" s="28" t="str">
        <f t="shared" si="123"/>
        <v>Q4</v>
      </c>
      <c r="D461" s="28" t="str">
        <f t="shared" si="124"/>
        <v>2023</v>
      </c>
      <c r="E461" s="28" t="str">
        <f t="shared" si="125"/>
        <v>Sept</v>
      </c>
      <c r="F461" s="5">
        <v>45190</v>
      </c>
      <c r="G461" s="5">
        <f t="shared" si="113"/>
        <v>45209</v>
      </c>
      <c r="H461" s="5">
        <v>45209</v>
      </c>
      <c r="I461" s="5" t="str">
        <f t="shared" si="126"/>
        <v>Achieved</v>
      </c>
      <c r="J461" s="14">
        <f t="shared" si="127"/>
        <v>19</v>
      </c>
      <c r="K461" s="14">
        <f t="shared" si="114"/>
        <v>19</v>
      </c>
      <c r="L461" s="3" t="s">
        <v>646</v>
      </c>
      <c r="M461" s="3" t="s">
        <v>651</v>
      </c>
      <c r="N461" s="3" t="s">
        <v>688</v>
      </c>
      <c r="O461" s="3" t="s">
        <v>701</v>
      </c>
      <c r="P461" s="3" t="s">
        <v>707</v>
      </c>
      <c r="Q461" s="3" t="s">
        <v>725</v>
      </c>
      <c r="R461" s="3" t="s">
        <v>726</v>
      </c>
      <c r="S461" s="3" t="s">
        <v>904</v>
      </c>
      <c r="T461" s="21">
        <v>845.63</v>
      </c>
      <c r="U461" s="21" t="str">
        <f t="shared" si="128"/>
        <v>High</v>
      </c>
      <c r="V461">
        <f t="shared" si="115"/>
        <v>2062.12</v>
      </c>
      <c r="W461" s="7">
        <v>2062.12</v>
      </c>
      <c r="X461" s="8">
        <v>0.13400000000000001</v>
      </c>
      <c r="Y461" s="14">
        <v>5</v>
      </c>
      <c r="Z461" s="7">
        <f t="shared" si="116"/>
        <v>276.32407999999998</v>
      </c>
      <c r="AA461" s="7">
        <f t="shared" si="117"/>
        <v>8928.9795999999988</v>
      </c>
      <c r="AB461" s="7">
        <f t="shared" si="118"/>
        <v>8652.6555199999984</v>
      </c>
      <c r="AC461" s="7">
        <f t="shared" si="119"/>
        <v>4228.1499999999996</v>
      </c>
      <c r="AD461" s="7">
        <f t="shared" si="120"/>
        <v>4700.8295999999991</v>
      </c>
      <c r="AE461" s="7">
        <f t="shared" si="121"/>
        <v>4424.5055199999988</v>
      </c>
      <c r="AF461" s="26">
        <f t="shared" si="122"/>
        <v>2.1117934794177122</v>
      </c>
      <c r="AG461" s="8">
        <f>IF(DASHBOARD!$Q$7&gt;'staging data'!X461,'staging data'!X461,DASHBOARD!$Q$7)</f>
        <v>0.13400000000000001</v>
      </c>
      <c r="AH461">
        <f>(100%+DASHBOARD!$Q$8)*'staging data'!T461</f>
        <v>972.47449999999992</v>
      </c>
      <c r="AI461">
        <f>(100%+DASHBOARD!$Q$9)*'staging data'!Y461</f>
        <v>6</v>
      </c>
    </row>
    <row r="462" spans="1:35" x14ac:dyDescent="0.3">
      <c r="A462" s="3" t="s">
        <v>186</v>
      </c>
      <c r="B462" s="28">
        <v>45653</v>
      </c>
      <c r="C462" s="28" t="str">
        <f t="shared" si="123"/>
        <v>Q4</v>
      </c>
      <c r="D462" s="28" t="str">
        <f t="shared" si="124"/>
        <v>2023</v>
      </c>
      <c r="E462" s="28" t="str">
        <f t="shared" si="125"/>
        <v>Feb</v>
      </c>
      <c r="F462" s="5">
        <v>44981</v>
      </c>
      <c r="G462" s="5">
        <f t="shared" si="113"/>
        <v>44994</v>
      </c>
      <c r="H462" s="5">
        <v>44994</v>
      </c>
      <c r="I462" s="5" t="str">
        <f t="shared" si="126"/>
        <v>Achieved</v>
      </c>
      <c r="J462" s="14">
        <f t="shared" si="127"/>
        <v>13</v>
      </c>
      <c r="K462" s="14">
        <f t="shared" si="114"/>
        <v>13</v>
      </c>
      <c r="L462" s="3" t="s">
        <v>647</v>
      </c>
      <c r="M462" s="3" t="s">
        <v>659</v>
      </c>
      <c r="N462" s="3" t="s">
        <v>699</v>
      </c>
      <c r="O462" s="3" t="s">
        <v>705</v>
      </c>
      <c r="P462" s="3" t="s">
        <v>707</v>
      </c>
      <c r="Q462" s="3" t="s">
        <v>723</v>
      </c>
      <c r="R462" s="3" t="s">
        <v>726</v>
      </c>
      <c r="S462" s="3" t="s">
        <v>905</v>
      </c>
      <c r="T462" s="21">
        <v>6.85</v>
      </c>
      <c r="U462" s="21" t="str">
        <f t="shared" si="128"/>
        <v>Low</v>
      </c>
      <c r="V462">
        <f t="shared" si="115"/>
        <v>10.18</v>
      </c>
      <c r="W462" s="7">
        <v>10.18</v>
      </c>
      <c r="X462" s="8">
        <v>4.7E-2</v>
      </c>
      <c r="Y462" s="14">
        <v>10</v>
      </c>
      <c r="Z462" s="7">
        <f t="shared" si="116"/>
        <v>0.47846</v>
      </c>
      <c r="AA462" s="7">
        <f t="shared" si="117"/>
        <v>97.0154</v>
      </c>
      <c r="AB462" s="7">
        <f t="shared" si="118"/>
        <v>96.536940000000001</v>
      </c>
      <c r="AC462" s="7">
        <f t="shared" si="119"/>
        <v>68.5</v>
      </c>
      <c r="AD462" s="7">
        <f t="shared" si="120"/>
        <v>28.5154</v>
      </c>
      <c r="AE462" s="7">
        <f t="shared" si="121"/>
        <v>28.036940000000001</v>
      </c>
      <c r="AF462" s="26">
        <f t="shared" si="122"/>
        <v>1.4162832116788322</v>
      </c>
      <c r="AG462" s="8">
        <f>IF(DASHBOARD!$Q$7&gt;'staging data'!X462,'staging data'!X462,DASHBOARD!$Q$7)</f>
        <v>4.7E-2</v>
      </c>
      <c r="AH462">
        <f>(100%+DASHBOARD!$Q$8)*'staging data'!T462</f>
        <v>7.8774999999999986</v>
      </c>
      <c r="AI462">
        <f>(100%+DASHBOARD!$Q$9)*'staging data'!Y462</f>
        <v>12</v>
      </c>
    </row>
    <row r="463" spans="1:35" x14ac:dyDescent="0.3">
      <c r="A463" s="3" t="s">
        <v>187</v>
      </c>
      <c r="B463" s="28">
        <v>45653</v>
      </c>
      <c r="C463" s="28" t="str">
        <f t="shared" si="123"/>
        <v>Q4</v>
      </c>
      <c r="D463" s="28" t="str">
        <f t="shared" si="124"/>
        <v>2025</v>
      </c>
      <c r="E463" s="28" t="str">
        <f t="shared" si="125"/>
        <v>May</v>
      </c>
      <c r="F463" s="5">
        <v>45798</v>
      </c>
      <c r="G463" s="5">
        <f t="shared" si="113"/>
        <v>45798</v>
      </c>
      <c r="H463" s="5">
        <v>45796</v>
      </c>
      <c r="I463" s="5" t="str">
        <f t="shared" si="126"/>
        <v>Not achieved</v>
      </c>
      <c r="J463" s="14">
        <f t="shared" si="127"/>
        <v>0</v>
      </c>
      <c r="K463" s="14">
        <f t="shared" si="114"/>
        <v>-2</v>
      </c>
      <c r="L463" s="3" t="s">
        <v>645</v>
      </c>
      <c r="M463" s="3" t="s">
        <v>660</v>
      </c>
      <c r="N463" s="3" t="s">
        <v>681</v>
      </c>
      <c r="O463" s="3" t="s">
        <v>702</v>
      </c>
      <c r="P463" s="3" t="s">
        <v>709</v>
      </c>
      <c r="Q463" s="3" t="s">
        <v>718</v>
      </c>
      <c r="R463" s="3" t="s">
        <v>730</v>
      </c>
      <c r="S463" s="3" t="s">
        <v>906</v>
      </c>
      <c r="T463" s="21">
        <v>1263.8399999999999</v>
      </c>
      <c r="U463" s="21" t="str">
        <f t="shared" si="128"/>
        <v>High</v>
      </c>
      <c r="V463">
        <f t="shared" si="115"/>
        <v>2281.7199999999998</v>
      </c>
      <c r="W463" s="7">
        <v>2281.7199999999998</v>
      </c>
      <c r="X463" s="8">
        <v>7.8E-2</v>
      </c>
      <c r="Y463" s="14">
        <v>15</v>
      </c>
      <c r="Z463" s="7">
        <f t="shared" si="116"/>
        <v>177.97415999999998</v>
      </c>
      <c r="AA463" s="7">
        <f t="shared" si="117"/>
        <v>31556.187599999997</v>
      </c>
      <c r="AB463" s="7">
        <f t="shared" si="118"/>
        <v>31378.213439999996</v>
      </c>
      <c r="AC463" s="7">
        <f t="shared" si="119"/>
        <v>18957.599999999999</v>
      </c>
      <c r="AD463" s="7">
        <f t="shared" si="120"/>
        <v>12598.587599999999</v>
      </c>
      <c r="AE463" s="7">
        <f t="shared" si="121"/>
        <v>12420.613439999997</v>
      </c>
      <c r="AF463" s="26">
        <f t="shared" si="122"/>
        <v>1.6645665907076845</v>
      </c>
      <c r="AG463" s="8">
        <f>IF(DASHBOARD!$Q$7&gt;'staging data'!X463,'staging data'!X463,DASHBOARD!$Q$7)</f>
        <v>7.8E-2</v>
      </c>
      <c r="AH463">
        <f>(100%+DASHBOARD!$Q$8)*'staging data'!T463</f>
        <v>1453.4159999999997</v>
      </c>
      <c r="AI463">
        <f>(100%+DASHBOARD!$Q$9)*'staging data'!Y463</f>
        <v>18</v>
      </c>
    </row>
    <row r="464" spans="1:35" x14ac:dyDescent="0.3">
      <c r="A464" s="3" t="s">
        <v>183</v>
      </c>
      <c r="B464" s="28">
        <v>45654</v>
      </c>
      <c r="C464" s="28" t="str">
        <f t="shared" si="123"/>
        <v>Q4</v>
      </c>
      <c r="D464" s="28" t="str">
        <f t="shared" si="124"/>
        <v>2024</v>
      </c>
      <c r="E464" s="28" t="str">
        <f t="shared" si="125"/>
        <v>Oct</v>
      </c>
      <c r="F464" s="5">
        <v>45574</v>
      </c>
      <c r="G464" s="5">
        <f t="shared" si="113"/>
        <v>45604</v>
      </c>
      <c r="H464" s="5">
        <v>45604</v>
      </c>
      <c r="I464" s="5" t="str">
        <f t="shared" si="126"/>
        <v>Achieved</v>
      </c>
      <c r="J464" s="14">
        <f t="shared" si="127"/>
        <v>30</v>
      </c>
      <c r="K464" s="14">
        <f t="shared" si="114"/>
        <v>30</v>
      </c>
      <c r="L464" s="3" t="s">
        <v>648</v>
      </c>
      <c r="M464" s="3" t="s">
        <v>657</v>
      </c>
      <c r="N464" s="3" t="s">
        <v>692</v>
      </c>
      <c r="O464" s="3" t="s">
        <v>704</v>
      </c>
      <c r="P464" s="3" t="s">
        <v>709</v>
      </c>
      <c r="Q464" s="3" t="s">
        <v>712</v>
      </c>
      <c r="R464" s="3" t="s">
        <v>726</v>
      </c>
      <c r="S464" s="3" t="s">
        <v>902</v>
      </c>
      <c r="T464" s="21">
        <v>343.85</v>
      </c>
      <c r="U464" s="21" t="str">
        <f t="shared" si="128"/>
        <v>Low</v>
      </c>
      <c r="V464">
        <f t="shared" si="115"/>
        <v>538.04</v>
      </c>
      <c r="W464" s="7">
        <v>538.04</v>
      </c>
      <c r="X464" s="8">
        <v>0.13900000000000001</v>
      </c>
      <c r="Y464" s="14">
        <v>5</v>
      </c>
      <c r="Z464" s="7">
        <f t="shared" si="116"/>
        <v>74.787559999999999</v>
      </c>
      <c r="AA464" s="7">
        <f t="shared" si="117"/>
        <v>2316.2621999999997</v>
      </c>
      <c r="AB464" s="7">
        <f t="shared" si="118"/>
        <v>2241.4746399999995</v>
      </c>
      <c r="AC464" s="7">
        <f t="shared" si="119"/>
        <v>1719.25</v>
      </c>
      <c r="AD464" s="7">
        <f t="shared" si="120"/>
        <v>597.01219999999967</v>
      </c>
      <c r="AE464" s="7">
        <f t="shared" si="121"/>
        <v>522.22463999999945</v>
      </c>
      <c r="AF464" s="26">
        <f t="shared" si="122"/>
        <v>1.3472515340991709</v>
      </c>
      <c r="AG464" s="8">
        <f>IF(DASHBOARD!$Q$7&gt;'staging data'!X464,'staging data'!X464,DASHBOARD!$Q$7)</f>
        <v>0.13900000000000001</v>
      </c>
      <c r="AH464">
        <f>(100%+DASHBOARD!$Q$8)*'staging data'!T464</f>
        <v>395.42750000000001</v>
      </c>
      <c r="AI464">
        <f>(100%+DASHBOARD!$Q$9)*'staging data'!Y464</f>
        <v>6</v>
      </c>
    </row>
    <row r="465" spans="1:35" x14ac:dyDescent="0.3">
      <c r="A465" s="3" t="s">
        <v>182</v>
      </c>
      <c r="B465" s="28">
        <v>45655</v>
      </c>
      <c r="C465" s="28" t="str">
        <f t="shared" si="123"/>
        <v>Q4</v>
      </c>
      <c r="D465" s="28" t="str">
        <f t="shared" si="124"/>
        <v>2023</v>
      </c>
      <c r="E465" s="28" t="str">
        <f t="shared" si="125"/>
        <v>Oct</v>
      </c>
      <c r="F465" s="5">
        <v>45206</v>
      </c>
      <c r="G465" s="5">
        <f t="shared" si="113"/>
        <v>45222</v>
      </c>
      <c r="H465" s="5">
        <v>45222</v>
      </c>
      <c r="I465" s="5" t="str">
        <f t="shared" si="126"/>
        <v>Achieved</v>
      </c>
      <c r="J465" s="14">
        <f t="shared" si="127"/>
        <v>16</v>
      </c>
      <c r="K465" s="14">
        <f t="shared" si="114"/>
        <v>16</v>
      </c>
      <c r="L465" s="3" t="s">
        <v>646</v>
      </c>
      <c r="M465" s="3" t="s">
        <v>653</v>
      </c>
      <c r="N465" s="3" t="s">
        <v>695</v>
      </c>
      <c r="O465" s="3" t="s">
        <v>703</v>
      </c>
      <c r="P465" s="3" t="s">
        <v>706</v>
      </c>
      <c r="Q465" s="3" t="s">
        <v>714</v>
      </c>
      <c r="R465" s="3" t="s">
        <v>731</v>
      </c>
      <c r="S465" s="3" t="s">
        <v>901</v>
      </c>
      <c r="T465" s="21">
        <v>906.81</v>
      </c>
      <c r="U465" s="21" t="str">
        <f t="shared" si="128"/>
        <v>Medium</v>
      </c>
      <c r="V465">
        <f t="shared" si="115"/>
        <v>1395.56</v>
      </c>
      <c r="W465" s="7">
        <v>1395.56</v>
      </c>
      <c r="X465" s="8">
        <v>0.185</v>
      </c>
      <c r="Y465" s="14">
        <v>6</v>
      </c>
      <c r="Z465" s="7">
        <f t="shared" si="116"/>
        <v>258.17859999999996</v>
      </c>
      <c r="AA465" s="7">
        <f t="shared" si="117"/>
        <v>6824.2884000000004</v>
      </c>
      <c r="AB465" s="7">
        <f t="shared" si="118"/>
        <v>6566.1098000000002</v>
      </c>
      <c r="AC465" s="7">
        <f t="shared" si="119"/>
        <v>5440.86</v>
      </c>
      <c r="AD465" s="7">
        <f t="shared" si="120"/>
        <v>1383.4284000000007</v>
      </c>
      <c r="AE465" s="7">
        <f t="shared" si="121"/>
        <v>1125.2498000000005</v>
      </c>
      <c r="AF465" s="26">
        <f t="shared" si="122"/>
        <v>1.2542664946350395</v>
      </c>
      <c r="AG465" s="8">
        <f>IF(DASHBOARD!$Q$7&gt;'staging data'!X465,'staging data'!X465,DASHBOARD!$Q$7)</f>
        <v>0.185</v>
      </c>
      <c r="AH465">
        <f>(100%+DASHBOARD!$Q$8)*'staging data'!T465</f>
        <v>1042.8314999999998</v>
      </c>
      <c r="AI465">
        <f>(100%+DASHBOARD!$Q$9)*'staging data'!Y465</f>
        <v>7.1999999999999993</v>
      </c>
    </row>
    <row r="466" spans="1:35" x14ac:dyDescent="0.3">
      <c r="A466" s="3" t="s">
        <v>181</v>
      </c>
      <c r="B466" s="28">
        <v>45660</v>
      </c>
      <c r="C466" s="28" t="str">
        <f t="shared" si="123"/>
        <v>Q1</v>
      </c>
      <c r="D466" s="28" t="str">
        <f t="shared" si="124"/>
        <v>2024</v>
      </c>
      <c r="E466" s="28" t="str">
        <f t="shared" si="125"/>
        <v>May</v>
      </c>
      <c r="F466" s="5">
        <v>45435</v>
      </c>
      <c r="G466" s="5">
        <f t="shared" si="113"/>
        <v>45457</v>
      </c>
      <c r="H466" s="5">
        <v>45457</v>
      </c>
      <c r="I466" s="5" t="str">
        <f t="shared" si="126"/>
        <v>Achieved</v>
      </c>
      <c r="J466" s="14">
        <f t="shared" si="127"/>
        <v>22</v>
      </c>
      <c r="K466" s="14">
        <f t="shared" si="114"/>
        <v>22</v>
      </c>
      <c r="L466" s="3" t="s">
        <v>648</v>
      </c>
      <c r="M466" s="3" t="s">
        <v>656</v>
      </c>
      <c r="N466" s="3" t="s">
        <v>672</v>
      </c>
      <c r="O466" s="3" t="s">
        <v>704</v>
      </c>
      <c r="P466" s="3" t="s">
        <v>707</v>
      </c>
      <c r="Q466" s="3" t="s">
        <v>724</v>
      </c>
      <c r="R466" s="3" t="s">
        <v>731</v>
      </c>
      <c r="S466" s="3" t="s">
        <v>900</v>
      </c>
      <c r="T466" s="21">
        <v>1481.74</v>
      </c>
      <c r="U466" s="21" t="str">
        <f t="shared" si="128"/>
        <v>Medium</v>
      </c>
      <c r="V466">
        <f t="shared" si="115"/>
        <v>1848.97</v>
      </c>
      <c r="W466" s="7">
        <v>1848.97</v>
      </c>
      <c r="X466" s="8">
        <v>0.254</v>
      </c>
      <c r="Y466" s="14">
        <v>9</v>
      </c>
      <c r="Z466" s="7">
        <f t="shared" si="116"/>
        <v>469.63838000000004</v>
      </c>
      <c r="AA466" s="7">
        <f t="shared" si="117"/>
        <v>12413.98458</v>
      </c>
      <c r="AB466" s="7">
        <f t="shared" si="118"/>
        <v>11944.3462</v>
      </c>
      <c r="AC466" s="7">
        <f t="shared" si="119"/>
        <v>13335.66</v>
      </c>
      <c r="AD466" s="7">
        <f t="shared" si="120"/>
        <v>-921.67541999999958</v>
      </c>
      <c r="AE466" s="7">
        <f t="shared" si="121"/>
        <v>-1391.3137999999999</v>
      </c>
      <c r="AF466" s="26">
        <f t="shared" si="122"/>
        <v>0.93088640382253296</v>
      </c>
      <c r="AG466" s="8">
        <f>IF(DASHBOARD!$Q$7&gt;'staging data'!X466,'staging data'!X466,DASHBOARD!$Q$7)</f>
        <v>0.2</v>
      </c>
      <c r="AH466">
        <f>(100%+DASHBOARD!$Q$8)*'staging data'!T466</f>
        <v>1704.001</v>
      </c>
      <c r="AI466">
        <f>(100%+DASHBOARD!$Q$9)*'staging data'!Y466</f>
        <v>10.799999999999999</v>
      </c>
    </row>
    <row r="467" spans="1:35" x14ac:dyDescent="0.3">
      <c r="A467" s="3" t="s">
        <v>180</v>
      </c>
      <c r="B467" s="28">
        <v>45661</v>
      </c>
      <c r="C467" s="28" t="str">
        <f t="shared" si="123"/>
        <v>Q1</v>
      </c>
      <c r="D467" s="28" t="str">
        <f t="shared" si="124"/>
        <v>2023</v>
      </c>
      <c r="E467" s="28" t="str">
        <f t="shared" si="125"/>
        <v>Apr</v>
      </c>
      <c r="F467" s="5">
        <v>45034</v>
      </c>
      <c r="G467" s="5">
        <f t="shared" si="113"/>
        <v>45064</v>
      </c>
      <c r="H467" s="5">
        <v>45064</v>
      </c>
      <c r="I467" s="5" t="str">
        <f t="shared" si="126"/>
        <v>Achieved</v>
      </c>
      <c r="J467" s="14">
        <f t="shared" si="127"/>
        <v>30</v>
      </c>
      <c r="K467" s="14">
        <f t="shared" si="114"/>
        <v>30</v>
      </c>
      <c r="L467" s="3" t="s">
        <v>646</v>
      </c>
      <c r="M467" s="3" t="s">
        <v>658</v>
      </c>
      <c r="N467" s="3" t="s">
        <v>675</v>
      </c>
      <c r="O467" s="3" t="s">
        <v>702</v>
      </c>
      <c r="P467" s="3" t="s">
        <v>706</v>
      </c>
      <c r="Q467" s="3" t="s">
        <v>721</v>
      </c>
      <c r="R467" s="3" t="s">
        <v>730</v>
      </c>
      <c r="S467" s="3" t="s">
        <v>899</v>
      </c>
      <c r="T467" s="21">
        <v>329.03</v>
      </c>
      <c r="U467" s="21" t="str">
        <f t="shared" si="128"/>
        <v>Low</v>
      </c>
      <c r="V467">
        <f t="shared" si="115"/>
        <v>391.15</v>
      </c>
      <c r="W467" s="7">
        <v>391.15</v>
      </c>
      <c r="X467" s="8">
        <v>0.19700000000000001</v>
      </c>
      <c r="Y467" s="14">
        <v>46</v>
      </c>
      <c r="Z467" s="7">
        <f t="shared" si="116"/>
        <v>77.056550000000001</v>
      </c>
      <c r="AA467" s="7">
        <f t="shared" si="117"/>
        <v>14448.298699999998</v>
      </c>
      <c r="AB467" s="7">
        <f t="shared" si="118"/>
        <v>14371.242149999998</v>
      </c>
      <c r="AC467" s="7">
        <f t="shared" si="119"/>
        <v>15135.38</v>
      </c>
      <c r="AD467" s="7">
        <f t="shared" si="120"/>
        <v>-687.08130000000165</v>
      </c>
      <c r="AE467" s="7">
        <f t="shared" si="121"/>
        <v>-764.13785000000098</v>
      </c>
      <c r="AF467" s="26">
        <f t="shared" si="122"/>
        <v>0.95460429140199976</v>
      </c>
      <c r="AG467" s="8">
        <f>IF(DASHBOARD!$Q$7&gt;'staging data'!X467,'staging data'!X467,DASHBOARD!$Q$7)</f>
        <v>0.19700000000000001</v>
      </c>
      <c r="AH467">
        <f>(100%+DASHBOARD!$Q$8)*'staging data'!T467</f>
        <v>378.38449999999995</v>
      </c>
      <c r="AI467">
        <f>(100%+DASHBOARD!$Q$9)*'staging data'!Y467</f>
        <v>55.199999999999996</v>
      </c>
    </row>
    <row r="468" spans="1:35" x14ac:dyDescent="0.3">
      <c r="A468" s="3" t="s">
        <v>179</v>
      </c>
      <c r="B468" s="28">
        <v>45664</v>
      </c>
      <c r="C468" s="28" t="str">
        <f t="shared" si="123"/>
        <v>Q1</v>
      </c>
      <c r="D468" s="28" t="str">
        <f t="shared" si="124"/>
        <v>2023</v>
      </c>
      <c r="E468" s="28" t="str">
        <f t="shared" si="125"/>
        <v>Feb</v>
      </c>
      <c r="F468" s="5">
        <v>44976</v>
      </c>
      <c r="G468" s="5">
        <f t="shared" si="113"/>
        <v>44997</v>
      </c>
      <c r="H468" s="5">
        <v>44997</v>
      </c>
      <c r="I468" s="5" t="str">
        <f t="shared" si="126"/>
        <v>Achieved</v>
      </c>
      <c r="J468" s="14">
        <f t="shared" si="127"/>
        <v>21</v>
      </c>
      <c r="K468" s="14">
        <f t="shared" si="114"/>
        <v>21</v>
      </c>
      <c r="L468" s="3" t="s">
        <v>648</v>
      </c>
      <c r="M468" s="3" t="s">
        <v>655</v>
      </c>
      <c r="N468" s="3" t="s">
        <v>670</v>
      </c>
      <c r="O468" s="3" t="s">
        <v>704</v>
      </c>
      <c r="P468" s="3" t="s">
        <v>710</v>
      </c>
      <c r="Q468" s="3" t="s">
        <v>715</v>
      </c>
      <c r="R468" s="3" t="s">
        <v>731</v>
      </c>
      <c r="S468" s="3" t="s">
        <v>898</v>
      </c>
      <c r="T468" s="21">
        <v>1234.81</v>
      </c>
      <c r="U468" s="21" t="str">
        <f t="shared" si="128"/>
        <v>High</v>
      </c>
      <c r="V468">
        <f t="shared" si="115"/>
        <v>2055.2399999999998</v>
      </c>
      <c r="W468" s="7">
        <v>2055.2399999999998</v>
      </c>
      <c r="X468" s="8">
        <v>5.2999999999999999E-2</v>
      </c>
      <c r="Y468" s="14">
        <v>44</v>
      </c>
      <c r="Z468" s="7">
        <f t="shared" si="116"/>
        <v>108.92771999999998</v>
      </c>
      <c r="AA468" s="7">
        <f t="shared" si="117"/>
        <v>85637.740319999997</v>
      </c>
      <c r="AB468" s="7">
        <f t="shared" si="118"/>
        <v>85528.81259999999</v>
      </c>
      <c r="AC468" s="7">
        <f t="shared" si="119"/>
        <v>54331.64</v>
      </c>
      <c r="AD468" s="7">
        <f t="shared" si="120"/>
        <v>31306.100319999998</v>
      </c>
      <c r="AE468" s="7">
        <f t="shared" si="121"/>
        <v>31197.172599999991</v>
      </c>
      <c r="AF468" s="26">
        <f t="shared" si="122"/>
        <v>1.5762038532243827</v>
      </c>
      <c r="AG468" s="8">
        <f>IF(DASHBOARD!$Q$7&gt;'staging data'!X468,'staging data'!X468,DASHBOARD!$Q$7)</f>
        <v>5.2999999999999999E-2</v>
      </c>
      <c r="AH468">
        <f>(100%+DASHBOARD!$Q$8)*'staging data'!T468</f>
        <v>1420.0314999999998</v>
      </c>
      <c r="AI468">
        <f>(100%+DASHBOARD!$Q$9)*'staging data'!Y468</f>
        <v>52.8</v>
      </c>
    </row>
    <row r="469" spans="1:35" x14ac:dyDescent="0.3">
      <c r="A469" s="3" t="s">
        <v>178</v>
      </c>
      <c r="B469" s="28">
        <v>45666</v>
      </c>
      <c r="C469" s="28" t="str">
        <f t="shared" si="123"/>
        <v>Q1</v>
      </c>
      <c r="D469" s="28" t="str">
        <f t="shared" si="124"/>
        <v>2024</v>
      </c>
      <c r="E469" s="28" t="str">
        <f t="shared" si="125"/>
        <v>Jun</v>
      </c>
      <c r="F469" s="5">
        <v>45447</v>
      </c>
      <c r="G469" s="5">
        <f t="shared" si="113"/>
        <v>45459</v>
      </c>
      <c r="H469" s="5">
        <v>45459</v>
      </c>
      <c r="I469" s="5" t="str">
        <f t="shared" si="126"/>
        <v>Achieved</v>
      </c>
      <c r="J469" s="14">
        <f t="shared" si="127"/>
        <v>12</v>
      </c>
      <c r="K469" s="14">
        <f t="shared" si="114"/>
        <v>12</v>
      </c>
      <c r="L469" s="3" t="s">
        <v>646</v>
      </c>
      <c r="M469" s="3" t="s">
        <v>658</v>
      </c>
      <c r="N469" s="3" t="s">
        <v>684</v>
      </c>
      <c r="O469" s="3" t="s">
        <v>700</v>
      </c>
      <c r="P469" s="3" t="s">
        <v>706</v>
      </c>
      <c r="Q469" s="3" t="s">
        <v>712</v>
      </c>
      <c r="R469" s="3" t="s">
        <v>727</v>
      </c>
      <c r="S469" s="3" t="s">
        <v>897</v>
      </c>
      <c r="T469" s="21">
        <v>918.42</v>
      </c>
      <c r="U469" s="21" t="str">
        <f t="shared" si="128"/>
        <v>Medium</v>
      </c>
      <c r="V469">
        <f t="shared" si="115"/>
        <v>1511.71</v>
      </c>
      <c r="W469" s="7">
        <v>1511.71</v>
      </c>
      <c r="X469" s="8">
        <v>0.02</v>
      </c>
      <c r="Y469" s="14">
        <v>8</v>
      </c>
      <c r="Z469" s="7">
        <f t="shared" si="116"/>
        <v>30.234200000000001</v>
      </c>
      <c r="AA469" s="7">
        <f t="shared" si="117"/>
        <v>11851.806399999999</v>
      </c>
      <c r="AB469" s="7">
        <f t="shared" si="118"/>
        <v>11821.572199999999</v>
      </c>
      <c r="AC469" s="7">
        <f t="shared" si="119"/>
        <v>7347.36</v>
      </c>
      <c r="AD469" s="7">
        <f t="shared" si="120"/>
        <v>4504.4463999999998</v>
      </c>
      <c r="AE469" s="7">
        <f t="shared" si="121"/>
        <v>4474.212199999999</v>
      </c>
      <c r="AF469" s="26">
        <f t="shared" si="122"/>
        <v>1.6130700550946191</v>
      </c>
      <c r="AG469" s="8">
        <f>IF(DASHBOARD!$Q$7&gt;'staging data'!X469,'staging data'!X469,DASHBOARD!$Q$7)</f>
        <v>0.02</v>
      </c>
      <c r="AH469">
        <f>(100%+DASHBOARD!$Q$8)*'staging data'!T469</f>
        <v>1056.1829999999998</v>
      </c>
      <c r="AI469">
        <f>(100%+DASHBOARD!$Q$9)*'staging data'!Y469</f>
        <v>9.6</v>
      </c>
    </row>
    <row r="470" spans="1:35" x14ac:dyDescent="0.3">
      <c r="A470" s="3" t="s">
        <v>177</v>
      </c>
      <c r="B470" s="28">
        <v>45667</v>
      </c>
      <c r="C470" s="28" t="str">
        <f t="shared" si="123"/>
        <v>Q1</v>
      </c>
      <c r="D470" s="28" t="str">
        <f t="shared" si="124"/>
        <v>2023</v>
      </c>
      <c r="E470" s="28" t="str">
        <f t="shared" si="125"/>
        <v>Mar</v>
      </c>
      <c r="F470" s="5">
        <v>45010</v>
      </c>
      <c r="G470" s="5">
        <f t="shared" si="113"/>
        <v>45011</v>
      </c>
      <c r="H470" s="5">
        <v>45011</v>
      </c>
      <c r="I470" s="5" t="str">
        <f t="shared" si="126"/>
        <v>Not achieved</v>
      </c>
      <c r="J470" s="14">
        <f t="shared" si="127"/>
        <v>1</v>
      </c>
      <c r="K470" s="14">
        <f t="shared" si="114"/>
        <v>1</v>
      </c>
      <c r="L470" s="3" t="s">
        <v>646</v>
      </c>
      <c r="M470" s="3" t="s">
        <v>651</v>
      </c>
      <c r="N470" s="3" t="s">
        <v>665</v>
      </c>
      <c r="O470" s="3" t="s">
        <v>704</v>
      </c>
      <c r="P470" s="3" t="s">
        <v>709</v>
      </c>
      <c r="Q470" s="3" t="s">
        <v>713</v>
      </c>
      <c r="R470" s="3" t="s">
        <v>731</v>
      </c>
      <c r="S470" s="3" t="s">
        <v>896</v>
      </c>
      <c r="T470" s="21">
        <v>135.12</v>
      </c>
      <c r="U470" s="21" t="str">
        <f t="shared" si="128"/>
        <v>Low</v>
      </c>
      <c r="V470">
        <f t="shared" si="115"/>
        <v>301.7</v>
      </c>
      <c r="W470" s="7">
        <v>301.7</v>
      </c>
      <c r="X470" s="8">
        <v>0.14000000000000001</v>
      </c>
      <c r="Y470" s="14">
        <v>47</v>
      </c>
      <c r="Z470" s="7">
        <f t="shared" si="116"/>
        <v>42.238</v>
      </c>
      <c r="AA470" s="7">
        <f t="shared" si="117"/>
        <v>12194.714</v>
      </c>
      <c r="AB470" s="7">
        <f t="shared" si="118"/>
        <v>12152.476000000001</v>
      </c>
      <c r="AC470" s="7">
        <f t="shared" si="119"/>
        <v>6350.64</v>
      </c>
      <c r="AD470" s="7">
        <f t="shared" si="120"/>
        <v>5844.0739999999996</v>
      </c>
      <c r="AE470" s="7">
        <f t="shared" si="121"/>
        <v>5801.8360000000002</v>
      </c>
      <c r="AF470" s="26">
        <f t="shared" si="122"/>
        <v>1.9202338661930136</v>
      </c>
      <c r="AG470" s="8">
        <f>IF(DASHBOARD!$Q$7&gt;'staging data'!X470,'staging data'!X470,DASHBOARD!$Q$7)</f>
        <v>0.14000000000000001</v>
      </c>
      <c r="AH470">
        <f>(100%+DASHBOARD!$Q$8)*'staging data'!T470</f>
        <v>155.38800000000001</v>
      </c>
      <c r="AI470">
        <f>(100%+DASHBOARD!$Q$9)*'staging data'!Y470</f>
        <v>56.4</v>
      </c>
    </row>
    <row r="471" spans="1:35" x14ac:dyDescent="0.3">
      <c r="A471" s="3" t="s">
        <v>176</v>
      </c>
      <c r="B471" s="28">
        <v>45668</v>
      </c>
      <c r="C471" s="28" t="str">
        <f t="shared" si="123"/>
        <v>Q1</v>
      </c>
      <c r="D471" s="28" t="str">
        <f t="shared" si="124"/>
        <v>2024</v>
      </c>
      <c r="E471" s="28" t="str">
        <f t="shared" si="125"/>
        <v>Apr</v>
      </c>
      <c r="F471" s="5">
        <v>45385</v>
      </c>
      <c r="G471" s="5">
        <f t="shared" si="113"/>
        <v>45389</v>
      </c>
      <c r="H471" s="5">
        <v>45389</v>
      </c>
      <c r="I471" s="5" t="str">
        <f t="shared" si="126"/>
        <v>Not achieved</v>
      </c>
      <c r="J471" s="14">
        <f t="shared" si="127"/>
        <v>4</v>
      </c>
      <c r="K471" s="14">
        <f t="shared" si="114"/>
        <v>4</v>
      </c>
      <c r="L471" s="3" t="s">
        <v>647</v>
      </c>
      <c r="M471" s="3" t="s">
        <v>654</v>
      </c>
      <c r="N471" s="3" t="s">
        <v>671</v>
      </c>
      <c r="O471" s="3" t="s">
        <v>702</v>
      </c>
      <c r="P471" s="3" t="s">
        <v>710</v>
      </c>
      <c r="Q471" s="3" t="s">
        <v>724</v>
      </c>
      <c r="R471" s="3" t="s">
        <v>729</v>
      </c>
      <c r="S471" s="3" t="s">
        <v>895</v>
      </c>
      <c r="T471" s="21">
        <v>1023.27</v>
      </c>
      <c r="U471" s="21" t="str">
        <f t="shared" si="128"/>
        <v>Medium</v>
      </c>
      <c r="V471">
        <f t="shared" si="115"/>
        <v>1343.64</v>
      </c>
      <c r="W471" s="7">
        <v>1343.64</v>
      </c>
      <c r="X471" s="8">
        <v>0.13300000000000001</v>
      </c>
      <c r="Y471" s="14">
        <v>7</v>
      </c>
      <c r="Z471" s="7">
        <f t="shared" si="116"/>
        <v>178.70412000000002</v>
      </c>
      <c r="AA471" s="7">
        <f t="shared" si="117"/>
        <v>8154.5511600000009</v>
      </c>
      <c r="AB471" s="7">
        <f t="shared" si="118"/>
        <v>7975.8470400000006</v>
      </c>
      <c r="AC471" s="7">
        <f t="shared" si="119"/>
        <v>7162.8899999999994</v>
      </c>
      <c r="AD471" s="7">
        <f t="shared" si="120"/>
        <v>991.66116000000147</v>
      </c>
      <c r="AE471" s="7">
        <f t="shared" si="121"/>
        <v>812.95704000000114</v>
      </c>
      <c r="AF471" s="26">
        <f t="shared" si="122"/>
        <v>1.1384442815679148</v>
      </c>
      <c r="AG471" s="8">
        <f>IF(DASHBOARD!$Q$7&gt;'staging data'!X471,'staging data'!X471,DASHBOARD!$Q$7)</f>
        <v>0.13300000000000001</v>
      </c>
      <c r="AH471">
        <f>(100%+DASHBOARD!$Q$8)*'staging data'!T471</f>
        <v>1176.7604999999999</v>
      </c>
      <c r="AI471">
        <f>(100%+DASHBOARD!$Q$9)*'staging data'!Y471</f>
        <v>8.4</v>
      </c>
    </row>
    <row r="472" spans="1:35" x14ac:dyDescent="0.3">
      <c r="A472" s="3" t="s">
        <v>175</v>
      </c>
      <c r="B472" s="28">
        <v>45670</v>
      </c>
      <c r="C472" s="28" t="str">
        <f t="shared" si="123"/>
        <v>Q1</v>
      </c>
      <c r="D472" s="28" t="str">
        <f t="shared" si="124"/>
        <v>2024</v>
      </c>
      <c r="E472" s="28" t="str">
        <f t="shared" si="125"/>
        <v>Oct</v>
      </c>
      <c r="F472" s="5">
        <v>45595</v>
      </c>
      <c r="G472" s="5">
        <f t="shared" si="113"/>
        <v>45620</v>
      </c>
      <c r="H472" s="5">
        <v>45620</v>
      </c>
      <c r="I472" s="5" t="str">
        <f t="shared" si="126"/>
        <v>Achieved</v>
      </c>
      <c r="J472" s="14">
        <f t="shared" si="127"/>
        <v>25</v>
      </c>
      <c r="K472" s="14">
        <f t="shared" si="114"/>
        <v>25</v>
      </c>
      <c r="L472" s="3" t="s">
        <v>646</v>
      </c>
      <c r="M472" s="3" t="s">
        <v>658</v>
      </c>
      <c r="N472" s="3" t="s">
        <v>675</v>
      </c>
      <c r="O472" s="3" t="s">
        <v>704</v>
      </c>
      <c r="P472" s="3" t="s">
        <v>707</v>
      </c>
      <c r="Q472" s="3" t="s">
        <v>717</v>
      </c>
      <c r="R472" s="3" t="s">
        <v>726</v>
      </c>
      <c r="S472" s="3" t="s">
        <v>894</v>
      </c>
      <c r="T472" s="21">
        <v>811.05</v>
      </c>
      <c r="U472" s="21" t="str">
        <f t="shared" si="128"/>
        <v>Medium</v>
      </c>
      <c r="V472">
        <f t="shared" si="115"/>
        <v>1217.71</v>
      </c>
      <c r="W472" s="7">
        <v>1217.71</v>
      </c>
      <c r="X472" s="8">
        <v>7.1999999999999995E-2</v>
      </c>
      <c r="Y472" s="14">
        <v>5</v>
      </c>
      <c r="Z472" s="7">
        <f t="shared" si="116"/>
        <v>87.675119999999993</v>
      </c>
      <c r="AA472" s="7">
        <f t="shared" si="117"/>
        <v>5650.1744000000008</v>
      </c>
      <c r="AB472" s="7">
        <f t="shared" si="118"/>
        <v>5562.4992800000009</v>
      </c>
      <c r="AC472" s="7">
        <f t="shared" si="119"/>
        <v>4055.25</v>
      </c>
      <c r="AD472" s="7">
        <f t="shared" si="120"/>
        <v>1594.9244000000008</v>
      </c>
      <c r="AE472" s="7">
        <f t="shared" si="121"/>
        <v>1507.2492800000009</v>
      </c>
      <c r="AF472" s="26">
        <f t="shared" si="122"/>
        <v>1.3932986622279764</v>
      </c>
      <c r="AG472" s="8">
        <f>IF(DASHBOARD!$Q$7&gt;'staging data'!X472,'staging data'!X472,DASHBOARD!$Q$7)</f>
        <v>7.1999999999999995E-2</v>
      </c>
      <c r="AH472">
        <f>(100%+DASHBOARD!$Q$8)*'staging data'!T472</f>
        <v>932.70749999999987</v>
      </c>
      <c r="AI472">
        <f>(100%+DASHBOARD!$Q$9)*'staging data'!Y472</f>
        <v>6</v>
      </c>
    </row>
    <row r="473" spans="1:35" x14ac:dyDescent="0.3">
      <c r="A473" s="3" t="s">
        <v>174</v>
      </c>
      <c r="B473" s="28">
        <v>45674</v>
      </c>
      <c r="C473" s="28" t="str">
        <f t="shared" si="123"/>
        <v>Q1</v>
      </c>
      <c r="D473" s="28" t="str">
        <f t="shared" si="124"/>
        <v>2023</v>
      </c>
      <c r="E473" s="28" t="str">
        <f t="shared" si="125"/>
        <v>Feb</v>
      </c>
      <c r="F473" s="5">
        <v>44977</v>
      </c>
      <c r="G473" s="5">
        <f t="shared" si="113"/>
        <v>44989</v>
      </c>
      <c r="H473" s="5">
        <v>44989</v>
      </c>
      <c r="I473" s="5" t="str">
        <f t="shared" si="126"/>
        <v>Achieved</v>
      </c>
      <c r="J473" s="14">
        <f t="shared" si="127"/>
        <v>12</v>
      </c>
      <c r="K473" s="14">
        <f t="shared" si="114"/>
        <v>12</v>
      </c>
      <c r="L473" s="3" t="s">
        <v>646</v>
      </c>
      <c r="M473" s="3" t="s">
        <v>653</v>
      </c>
      <c r="N473" s="3" t="s">
        <v>679</v>
      </c>
      <c r="O473" s="3" t="s">
        <v>703</v>
      </c>
      <c r="P473" s="3" t="s">
        <v>709</v>
      </c>
      <c r="Q473" s="3" t="s">
        <v>723</v>
      </c>
      <c r="R473" s="3" t="s">
        <v>731</v>
      </c>
      <c r="S473" s="3" t="s">
        <v>893</v>
      </c>
      <c r="T473" s="21">
        <v>299.75</v>
      </c>
      <c r="U473" s="21" t="str">
        <f t="shared" si="128"/>
        <v>Low</v>
      </c>
      <c r="V473">
        <f t="shared" si="115"/>
        <v>523.01</v>
      </c>
      <c r="W473" s="7">
        <v>523.01</v>
      </c>
      <c r="X473" s="8">
        <v>0.157</v>
      </c>
      <c r="Y473" s="14">
        <v>50</v>
      </c>
      <c r="Z473" s="7">
        <f t="shared" si="116"/>
        <v>82.112570000000005</v>
      </c>
      <c r="AA473" s="7">
        <f t="shared" si="117"/>
        <v>22044.871499999997</v>
      </c>
      <c r="AB473" s="7">
        <f t="shared" si="118"/>
        <v>21962.758929999996</v>
      </c>
      <c r="AC473" s="7">
        <f t="shared" si="119"/>
        <v>14987.5</v>
      </c>
      <c r="AD473" s="7">
        <f t="shared" si="120"/>
        <v>7057.3714999999975</v>
      </c>
      <c r="AE473" s="7">
        <f t="shared" si="121"/>
        <v>6975.2589299999963</v>
      </c>
      <c r="AF473" s="26">
        <f t="shared" si="122"/>
        <v>1.470883836530442</v>
      </c>
      <c r="AG473" s="8">
        <f>IF(DASHBOARD!$Q$7&gt;'staging data'!X473,'staging data'!X473,DASHBOARD!$Q$7)</f>
        <v>0.157</v>
      </c>
      <c r="AH473">
        <f>(100%+DASHBOARD!$Q$8)*'staging data'!T473</f>
        <v>344.71249999999998</v>
      </c>
      <c r="AI473">
        <f>(100%+DASHBOARD!$Q$9)*'staging data'!Y473</f>
        <v>60</v>
      </c>
    </row>
    <row r="474" spans="1:35" x14ac:dyDescent="0.3">
      <c r="A474" s="3" t="s">
        <v>173</v>
      </c>
      <c r="B474" s="28">
        <v>45677</v>
      </c>
      <c r="C474" s="28" t="str">
        <f t="shared" si="123"/>
        <v>Q1</v>
      </c>
      <c r="D474" s="28" t="str">
        <f t="shared" si="124"/>
        <v>2025</v>
      </c>
      <c r="E474" s="28" t="str">
        <f t="shared" si="125"/>
        <v>Aug</v>
      </c>
      <c r="F474" s="5">
        <v>45870</v>
      </c>
      <c r="G474" s="5">
        <f t="shared" si="113"/>
        <v>45890</v>
      </c>
      <c r="H474" s="5">
        <v>45890</v>
      </c>
      <c r="I474" s="5" t="str">
        <f t="shared" si="126"/>
        <v>Achieved</v>
      </c>
      <c r="J474" s="14">
        <f t="shared" si="127"/>
        <v>20</v>
      </c>
      <c r="K474" s="14">
        <f t="shared" si="114"/>
        <v>20</v>
      </c>
      <c r="L474" s="3" t="s">
        <v>646</v>
      </c>
      <c r="M474" s="3" t="s">
        <v>658</v>
      </c>
      <c r="N474" s="3" t="s">
        <v>684</v>
      </c>
      <c r="O474" s="3" t="s">
        <v>700</v>
      </c>
      <c r="P474" s="3" t="s">
        <v>710</v>
      </c>
      <c r="Q474" s="3" t="s">
        <v>713</v>
      </c>
      <c r="R474" s="3" t="s">
        <v>729</v>
      </c>
      <c r="S474" s="3" t="s">
        <v>892</v>
      </c>
      <c r="T474" s="21">
        <v>1220.4100000000001</v>
      </c>
      <c r="U474" s="21" t="str">
        <f t="shared" si="128"/>
        <v>High</v>
      </c>
      <c r="V474">
        <f t="shared" si="115"/>
        <v>2552.2199999999998</v>
      </c>
      <c r="W474" s="7">
        <v>2552.2199999999998</v>
      </c>
      <c r="X474" s="8">
        <v>0.18099999999999999</v>
      </c>
      <c r="Y474" s="14">
        <v>14</v>
      </c>
      <c r="Z474" s="7">
        <f t="shared" si="116"/>
        <v>461.95181999999994</v>
      </c>
      <c r="AA474" s="7">
        <f t="shared" si="117"/>
        <v>29263.754519999995</v>
      </c>
      <c r="AB474" s="7">
        <f t="shared" si="118"/>
        <v>28801.802699999997</v>
      </c>
      <c r="AC474" s="7">
        <f t="shared" si="119"/>
        <v>17085.740000000002</v>
      </c>
      <c r="AD474" s="7">
        <f t="shared" si="120"/>
        <v>12178.014519999993</v>
      </c>
      <c r="AE474" s="7">
        <f t="shared" si="121"/>
        <v>11716.062699999995</v>
      </c>
      <c r="AF474" s="26">
        <f t="shared" si="122"/>
        <v>1.7127589744430145</v>
      </c>
      <c r="AG474" s="8">
        <f>IF(DASHBOARD!$Q$7&gt;'staging data'!X474,'staging data'!X474,DASHBOARD!$Q$7)</f>
        <v>0.18099999999999999</v>
      </c>
      <c r="AH474">
        <f>(100%+DASHBOARD!$Q$8)*'staging data'!T474</f>
        <v>1403.4714999999999</v>
      </c>
      <c r="AI474">
        <f>(100%+DASHBOARD!$Q$9)*'staging data'!Y474</f>
        <v>16.8</v>
      </c>
    </row>
    <row r="475" spans="1:35" x14ac:dyDescent="0.3">
      <c r="A475" s="3" t="s">
        <v>171</v>
      </c>
      <c r="B475" s="28">
        <v>45678</v>
      </c>
      <c r="C475" s="28" t="str">
        <f t="shared" si="123"/>
        <v>Q1</v>
      </c>
      <c r="D475" s="28" t="str">
        <f t="shared" si="124"/>
        <v>2024</v>
      </c>
      <c r="E475" s="28" t="str">
        <f t="shared" si="125"/>
        <v>Aug</v>
      </c>
      <c r="F475" s="5">
        <v>45531</v>
      </c>
      <c r="G475" s="5">
        <f t="shared" si="113"/>
        <v>45553</v>
      </c>
      <c r="H475" s="5">
        <v>45553</v>
      </c>
      <c r="I475" s="5" t="str">
        <f t="shared" si="126"/>
        <v>Achieved</v>
      </c>
      <c r="J475" s="14">
        <f t="shared" si="127"/>
        <v>22</v>
      </c>
      <c r="K475" s="14">
        <f t="shared" si="114"/>
        <v>22</v>
      </c>
      <c r="L475" s="3" t="s">
        <v>646</v>
      </c>
      <c r="M475" s="3" t="s">
        <v>653</v>
      </c>
      <c r="N475" s="3" t="s">
        <v>679</v>
      </c>
      <c r="O475" s="3" t="s">
        <v>703</v>
      </c>
      <c r="P475" s="3" t="s">
        <v>710</v>
      </c>
      <c r="Q475" s="3" t="s">
        <v>716</v>
      </c>
      <c r="R475" s="3" t="s">
        <v>726</v>
      </c>
      <c r="S475" s="3" t="s">
        <v>890</v>
      </c>
      <c r="T475" s="21">
        <v>896.75</v>
      </c>
      <c r="U475" s="21" t="str">
        <f t="shared" si="128"/>
        <v>Medium</v>
      </c>
      <c r="V475">
        <f t="shared" si="115"/>
        <v>1651.14</v>
      </c>
      <c r="W475" s="7">
        <v>1651.14</v>
      </c>
      <c r="X475" s="8">
        <v>2.5000000000000001E-2</v>
      </c>
      <c r="Y475" s="14">
        <v>15</v>
      </c>
      <c r="Z475" s="7">
        <f t="shared" si="116"/>
        <v>41.278500000000008</v>
      </c>
      <c r="AA475" s="7">
        <f t="shared" si="117"/>
        <v>24147.922500000001</v>
      </c>
      <c r="AB475" s="7">
        <f t="shared" si="118"/>
        <v>24106.644</v>
      </c>
      <c r="AC475" s="7">
        <f t="shared" si="119"/>
        <v>13451.25</v>
      </c>
      <c r="AD475" s="7">
        <f t="shared" si="120"/>
        <v>10696.672500000001</v>
      </c>
      <c r="AE475" s="7">
        <f t="shared" si="121"/>
        <v>10655.394</v>
      </c>
      <c r="AF475" s="26">
        <f t="shared" si="122"/>
        <v>1.7952177306941735</v>
      </c>
      <c r="AG475" s="8">
        <f>IF(DASHBOARD!$Q$7&gt;'staging data'!X475,'staging data'!X475,DASHBOARD!$Q$7)</f>
        <v>2.5000000000000001E-2</v>
      </c>
      <c r="AH475">
        <f>(100%+DASHBOARD!$Q$8)*'staging data'!T475</f>
        <v>1031.2624999999998</v>
      </c>
      <c r="AI475">
        <f>(100%+DASHBOARD!$Q$9)*'staging data'!Y475</f>
        <v>18</v>
      </c>
    </row>
    <row r="476" spans="1:35" x14ac:dyDescent="0.3">
      <c r="A476" s="3" t="s">
        <v>172</v>
      </c>
      <c r="B476" s="28">
        <v>45678</v>
      </c>
      <c r="C476" s="28" t="str">
        <f t="shared" si="123"/>
        <v>Q1</v>
      </c>
      <c r="D476" s="28" t="str">
        <f t="shared" si="124"/>
        <v>2025</v>
      </c>
      <c r="E476" s="28" t="str">
        <f t="shared" si="125"/>
        <v>Feb</v>
      </c>
      <c r="F476" s="5">
        <v>45703</v>
      </c>
      <c r="G476" s="5">
        <f t="shared" si="113"/>
        <v>45703</v>
      </c>
      <c r="H476" s="5">
        <v>45703</v>
      </c>
      <c r="I476" s="5" t="str">
        <f t="shared" si="126"/>
        <v>Not achieved</v>
      </c>
      <c r="J476" s="14">
        <f t="shared" si="127"/>
        <v>0</v>
      </c>
      <c r="K476" s="14">
        <f t="shared" si="114"/>
        <v>0</v>
      </c>
      <c r="L476" s="3" t="s">
        <v>648</v>
      </c>
      <c r="M476" s="3" t="s">
        <v>655</v>
      </c>
      <c r="N476" s="3" t="s">
        <v>697</v>
      </c>
      <c r="O476" s="3" t="s">
        <v>704</v>
      </c>
      <c r="P476" s="3" t="s">
        <v>708</v>
      </c>
      <c r="Q476" s="3" t="s">
        <v>715</v>
      </c>
      <c r="R476" s="3" t="s">
        <v>732</v>
      </c>
      <c r="S476" s="3" t="s">
        <v>891</v>
      </c>
      <c r="T476" s="21">
        <v>815.83</v>
      </c>
      <c r="U476" s="21" t="str">
        <f t="shared" si="128"/>
        <v>High</v>
      </c>
      <c r="V476">
        <f t="shared" si="115"/>
        <v>1982.18</v>
      </c>
      <c r="W476" s="7">
        <v>1982.18</v>
      </c>
      <c r="X476" s="8">
        <v>0.127</v>
      </c>
      <c r="Y476" s="14">
        <v>6</v>
      </c>
      <c r="Z476" s="7">
        <f t="shared" si="116"/>
        <v>251.73686000000001</v>
      </c>
      <c r="AA476" s="7">
        <f t="shared" si="117"/>
        <v>10382.65884</v>
      </c>
      <c r="AB476" s="7">
        <f t="shared" si="118"/>
        <v>10130.921979999999</v>
      </c>
      <c r="AC476" s="7">
        <f t="shared" si="119"/>
        <v>4894.9800000000005</v>
      </c>
      <c r="AD476" s="7">
        <f t="shared" si="120"/>
        <v>5487.6788399999996</v>
      </c>
      <c r="AE476" s="7">
        <f t="shared" si="121"/>
        <v>5235.9419799999987</v>
      </c>
      <c r="AF476" s="26">
        <f t="shared" si="122"/>
        <v>2.1210829952318497</v>
      </c>
      <c r="AG476" s="8">
        <f>IF(DASHBOARD!$Q$7&gt;'staging data'!X476,'staging data'!X476,DASHBOARD!$Q$7)</f>
        <v>0.127</v>
      </c>
      <c r="AH476">
        <f>(100%+DASHBOARD!$Q$8)*'staging data'!T476</f>
        <v>938.20449999999994</v>
      </c>
      <c r="AI476">
        <f>(100%+DASHBOARD!$Q$9)*'staging data'!Y476</f>
        <v>7.1999999999999993</v>
      </c>
    </row>
    <row r="477" spans="1:35" x14ac:dyDescent="0.3">
      <c r="A477" s="3" t="s">
        <v>169</v>
      </c>
      <c r="B477" s="28">
        <v>45679</v>
      </c>
      <c r="C477" s="28" t="str">
        <f t="shared" si="123"/>
        <v>Q1</v>
      </c>
      <c r="D477" s="28" t="str">
        <f t="shared" si="124"/>
        <v>2024</v>
      </c>
      <c r="E477" s="28" t="str">
        <f t="shared" si="125"/>
        <v>Aug</v>
      </c>
      <c r="F477" s="5">
        <v>45511</v>
      </c>
      <c r="G477" s="5">
        <f t="shared" si="113"/>
        <v>45521</v>
      </c>
      <c r="H477" s="5">
        <v>45521</v>
      </c>
      <c r="I477" s="5" t="str">
        <f t="shared" si="126"/>
        <v>Achieved</v>
      </c>
      <c r="J477" s="14">
        <f t="shared" si="127"/>
        <v>10</v>
      </c>
      <c r="K477" s="14">
        <f t="shared" si="114"/>
        <v>10</v>
      </c>
      <c r="L477" s="3" t="s">
        <v>646</v>
      </c>
      <c r="M477" s="3" t="s">
        <v>651</v>
      </c>
      <c r="N477" s="3" t="s">
        <v>665</v>
      </c>
      <c r="O477" s="3" t="s">
        <v>703</v>
      </c>
      <c r="P477" s="3" t="s">
        <v>707</v>
      </c>
      <c r="Q477" s="3" t="s">
        <v>722</v>
      </c>
      <c r="R477" s="3" t="s">
        <v>728</v>
      </c>
      <c r="S477" s="3" t="s">
        <v>888</v>
      </c>
      <c r="T477" s="21">
        <v>436.58</v>
      </c>
      <c r="U477" s="21" t="str">
        <f t="shared" si="128"/>
        <v>Low</v>
      </c>
      <c r="V477">
        <f t="shared" si="115"/>
        <v>527.48</v>
      </c>
      <c r="W477" s="7">
        <v>527.48</v>
      </c>
      <c r="X477" s="8">
        <v>0.111</v>
      </c>
      <c r="Y477" s="14">
        <v>19</v>
      </c>
      <c r="Z477" s="7">
        <f t="shared" si="116"/>
        <v>58.550280000000001</v>
      </c>
      <c r="AA477" s="7">
        <f t="shared" si="117"/>
        <v>8909.6646800000017</v>
      </c>
      <c r="AB477" s="7">
        <f t="shared" si="118"/>
        <v>8851.1144000000022</v>
      </c>
      <c r="AC477" s="7">
        <f t="shared" si="119"/>
        <v>8295.02</v>
      </c>
      <c r="AD477" s="7">
        <f t="shared" si="120"/>
        <v>614.64468000000124</v>
      </c>
      <c r="AE477" s="7">
        <f t="shared" si="121"/>
        <v>556.09440000000177</v>
      </c>
      <c r="AF477" s="26">
        <f t="shared" si="122"/>
        <v>1.0740980347244493</v>
      </c>
      <c r="AG477" s="8">
        <f>IF(DASHBOARD!$Q$7&gt;'staging data'!X477,'staging data'!X477,DASHBOARD!$Q$7)</f>
        <v>0.111</v>
      </c>
      <c r="AH477">
        <f>(100%+DASHBOARD!$Q$8)*'staging data'!T477</f>
        <v>502.06699999999995</v>
      </c>
      <c r="AI477">
        <f>(100%+DASHBOARD!$Q$9)*'staging data'!Y477</f>
        <v>22.8</v>
      </c>
    </row>
    <row r="478" spans="1:35" x14ac:dyDescent="0.3">
      <c r="A478" s="3" t="s">
        <v>170</v>
      </c>
      <c r="B478" s="28">
        <v>45679</v>
      </c>
      <c r="C478" s="28" t="str">
        <f t="shared" si="123"/>
        <v>Q1</v>
      </c>
      <c r="D478" s="28" t="str">
        <f t="shared" si="124"/>
        <v>2024</v>
      </c>
      <c r="E478" s="28" t="str">
        <f t="shared" si="125"/>
        <v>Feb</v>
      </c>
      <c r="F478" s="5">
        <v>45323</v>
      </c>
      <c r="G478" s="5">
        <f t="shared" si="113"/>
        <v>45343</v>
      </c>
      <c r="H478" s="5">
        <v>45343</v>
      </c>
      <c r="I478" s="5" t="str">
        <f t="shared" si="126"/>
        <v>Achieved</v>
      </c>
      <c r="J478" s="14">
        <f t="shared" si="127"/>
        <v>20</v>
      </c>
      <c r="K478" s="14">
        <f t="shared" si="114"/>
        <v>20</v>
      </c>
      <c r="L478" s="3" t="s">
        <v>648</v>
      </c>
      <c r="M478" s="3" t="s">
        <v>656</v>
      </c>
      <c r="N478" s="3" t="s">
        <v>689</v>
      </c>
      <c r="O478" s="3" t="s">
        <v>704</v>
      </c>
      <c r="P478" s="3" t="s">
        <v>708</v>
      </c>
      <c r="Q478" s="3" t="s">
        <v>719</v>
      </c>
      <c r="R478" s="3" t="s">
        <v>728</v>
      </c>
      <c r="S478" s="3" t="s">
        <v>889</v>
      </c>
      <c r="T478" s="21">
        <v>656.2</v>
      </c>
      <c r="U478" s="21" t="str">
        <f t="shared" si="128"/>
        <v>Medium</v>
      </c>
      <c r="V478">
        <f t="shared" si="115"/>
        <v>1467.17</v>
      </c>
      <c r="W478" s="7">
        <v>1467.17</v>
      </c>
      <c r="X478" s="8">
        <v>1.7999999999999999E-2</v>
      </c>
      <c r="Y478" s="14">
        <v>5</v>
      </c>
      <c r="Z478" s="7">
        <f t="shared" si="116"/>
        <v>26.40906</v>
      </c>
      <c r="AA478" s="7">
        <f t="shared" si="117"/>
        <v>7203.8047000000006</v>
      </c>
      <c r="AB478" s="7">
        <f t="shared" si="118"/>
        <v>7177.3956400000006</v>
      </c>
      <c r="AC478" s="7">
        <f t="shared" si="119"/>
        <v>3281</v>
      </c>
      <c r="AD478" s="7">
        <f t="shared" si="120"/>
        <v>3922.8047000000006</v>
      </c>
      <c r="AE478" s="7">
        <f t="shared" si="121"/>
        <v>3896.3956400000006</v>
      </c>
      <c r="AF478" s="26">
        <f t="shared" si="122"/>
        <v>2.1956125266686985</v>
      </c>
      <c r="AG478" s="8">
        <f>IF(DASHBOARD!$Q$7&gt;'staging data'!X478,'staging data'!X478,DASHBOARD!$Q$7)</f>
        <v>1.7999999999999999E-2</v>
      </c>
      <c r="AH478">
        <f>(100%+DASHBOARD!$Q$8)*'staging data'!T478</f>
        <v>754.63</v>
      </c>
      <c r="AI478">
        <f>(100%+DASHBOARD!$Q$9)*'staging data'!Y478</f>
        <v>6</v>
      </c>
    </row>
    <row r="479" spans="1:35" x14ac:dyDescent="0.3">
      <c r="A479" s="3" t="s">
        <v>168</v>
      </c>
      <c r="B479" s="28">
        <v>45684</v>
      </c>
      <c r="C479" s="28" t="str">
        <f t="shared" si="123"/>
        <v>Q1</v>
      </c>
      <c r="D479" s="28" t="str">
        <f t="shared" si="124"/>
        <v>2023</v>
      </c>
      <c r="E479" s="28" t="str">
        <f t="shared" si="125"/>
        <v>Oct</v>
      </c>
      <c r="F479" s="5">
        <v>45230</v>
      </c>
      <c r="G479" s="5">
        <f t="shared" si="113"/>
        <v>45232</v>
      </c>
      <c r="H479" s="5">
        <v>45232</v>
      </c>
      <c r="I479" s="5" t="str">
        <f t="shared" si="126"/>
        <v>Not achieved</v>
      </c>
      <c r="J479" s="14">
        <f t="shared" si="127"/>
        <v>2</v>
      </c>
      <c r="K479" s="14">
        <f t="shared" si="114"/>
        <v>2</v>
      </c>
      <c r="L479" s="3" t="s">
        <v>645</v>
      </c>
      <c r="M479" s="3" t="s">
        <v>649</v>
      </c>
      <c r="N479" s="3" t="s">
        <v>661</v>
      </c>
      <c r="O479" s="3" t="s">
        <v>701</v>
      </c>
      <c r="P479" s="3" t="s">
        <v>706</v>
      </c>
      <c r="Q479" s="3" t="s">
        <v>718</v>
      </c>
      <c r="R479" s="3" t="s">
        <v>732</v>
      </c>
      <c r="S479" s="3" t="s">
        <v>887</v>
      </c>
      <c r="T479" s="21">
        <v>867.89</v>
      </c>
      <c r="U479" s="21" t="str">
        <f t="shared" si="128"/>
        <v>Medium</v>
      </c>
      <c r="V479">
        <f t="shared" si="115"/>
        <v>1349.94</v>
      </c>
      <c r="W479" s="7">
        <v>1349.94</v>
      </c>
      <c r="X479" s="8">
        <v>0.184</v>
      </c>
      <c r="Y479" s="14">
        <v>10</v>
      </c>
      <c r="Z479" s="7">
        <f t="shared" si="116"/>
        <v>248.38896</v>
      </c>
      <c r="AA479" s="7">
        <f t="shared" si="117"/>
        <v>11015.510400000003</v>
      </c>
      <c r="AB479" s="7">
        <f t="shared" si="118"/>
        <v>10767.121440000003</v>
      </c>
      <c r="AC479" s="7">
        <f t="shared" si="119"/>
        <v>8678.9</v>
      </c>
      <c r="AD479" s="7">
        <f t="shared" si="120"/>
        <v>2336.6104000000032</v>
      </c>
      <c r="AE479" s="7">
        <f t="shared" si="121"/>
        <v>2088.221440000003</v>
      </c>
      <c r="AF479" s="26">
        <f t="shared" si="122"/>
        <v>1.2692288654092112</v>
      </c>
      <c r="AG479" s="8">
        <f>IF(DASHBOARD!$Q$7&gt;'staging data'!X479,'staging data'!X479,DASHBOARD!$Q$7)</f>
        <v>0.184</v>
      </c>
      <c r="AH479">
        <f>(100%+DASHBOARD!$Q$8)*'staging data'!T479</f>
        <v>998.07349999999985</v>
      </c>
      <c r="AI479">
        <f>(100%+DASHBOARD!$Q$9)*'staging data'!Y479</f>
        <v>12</v>
      </c>
    </row>
    <row r="480" spans="1:35" x14ac:dyDescent="0.3">
      <c r="A480" s="3" t="s">
        <v>167</v>
      </c>
      <c r="B480" s="28">
        <v>45686</v>
      </c>
      <c r="C480" s="28" t="str">
        <f t="shared" si="123"/>
        <v>Q1</v>
      </c>
      <c r="D480" s="28" t="str">
        <f t="shared" si="124"/>
        <v>2024</v>
      </c>
      <c r="E480" s="28" t="str">
        <f t="shared" si="125"/>
        <v>Feb</v>
      </c>
      <c r="F480" s="5">
        <v>45340</v>
      </c>
      <c r="G480" s="5">
        <f t="shared" si="113"/>
        <v>45355</v>
      </c>
      <c r="H480" s="5">
        <v>45355</v>
      </c>
      <c r="I480" s="5" t="str">
        <f t="shared" si="126"/>
        <v>Achieved</v>
      </c>
      <c r="J480" s="14">
        <f t="shared" si="127"/>
        <v>15</v>
      </c>
      <c r="K480" s="14">
        <f t="shared" si="114"/>
        <v>15</v>
      </c>
      <c r="L480" s="3" t="s">
        <v>645</v>
      </c>
      <c r="M480" s="3" t="s">
        <v>649</v>
      </c>
      <c r="N480" s="3" t="s">
        <v>661</v>
      </c>
      <c r="O480" s="3" t="s">
        <v>701</v>
      </c>
      <c r="P480" s="3" t="s">
        <v>710</v>
      </c>
      <c r="Q480" s="3" t="s">
        <v>722</v>
      </c>
      <c r="R480" s="3" t="s">
        <v>727</v>
      </c>
      <c r="S480" s="3" t="s">
        <v>886</v>
      </c>
      <c r="T480" s="21">
        <v>928.68</v>
      </c>
      <c r="U480" s="21" t="str">
        <f t="shared" si="128"/>
        <v>High</v>
      </c>
      <c r="V480">
        <f t="shared" si="115"/>
        <v>2145.17</v>
      </c>
      <c r="W480" s="7">
        <v>2145.17</v>
      </c>
      <c r="X480" s="8">
        <v>0.13600000000000001</v>
      </c>
      <c r="Y480" s="14">
        <v>16</v>
      </c>
      <c r="Z480" s="7">
        <f t="shared" si="116"/>
        <v>291.74312000000003</v>
      </c>
      <c r="AA480" s="7">
        <f t="shared" si="117"/>
        <v>29654.83008</v>
      </c>
      <c r="AB480" s="7">
        <f t="shared" si="118"/>
        <v>29363.086960000001</v>
      </c>
      <c r="AC480" s="7">
        <f t="shared" si="119"/>
        <v>14858.88</v>
      </c>
      <c r="AD480" s="7">
        <f t="shared" si="120"/>
        <v>14795.950080000001</v>
      </c>
      <c r="AE480" s="7">
        <f t="shared" si="121"/>
        <v>14504.206960000001</v>
      </c>
      <c r="AF480" s="26">
        <f t="shared" si="122"/>
        <v>1.9957648274970927</v>
      </c>
      <c r="AG480" s="8">
        <f>IF(DASHBOARD!$Q$7&gt;'staging data'!X480,'staging data'!X480,DASHBOARD!$Q$7)</f>
        <v>0.13600000000000001</v>
      </c>
      <c r="AH480">
        <f>(100%+DASHBOARD!$Q$8)*'staging data'!T480</f>
        <v>1067.982</v>
      </c>
      <c r="AI480">
        <f>(100%+DASHBOARD!$Q$9)*'staging data'!Y480</f>
        <v>19.2</v>
      </c>
    </row>
    <row r="481" spans="1:35" x14ac:dyDescent="0.3">
      <c r="A481" s="3" t="s">
        <v>166</v>
      </c>
      <c r="B481" s="28">
        <v>45688</v>
      </c>
      <c r="C481" s="28" t="str">
        <f t="shared" si="123"/>
        <v>Q1</v>
      </c>
      <c r="D481" s="28" t="str">
        <f t="shared" si="124"/>
        <v>2023</v>
      </c>
      <c r="E481" s="28" t="str">
        <f t="shared" si="125"/>
        <v>Dec</v>
      </c>
      <c r="F481" s="5">
        <v>45267</v>
      </c>
      <c r="G481" s="5">
        <f t="shared" si="113"/>
        <v>45267</v>
      </c>
      <c r="H481" s="5">
        <v>45265</v>
      </c>
      <c r="I481" s="5" t="str">
        <f t="shared" si="126"/>
        <v>Not achieved</v>
      </c>
      <c r="J481" s="14">
        <f t="shared" si="127"/>
        <v>0</v>
      </c>
      <c r="K481" s="14">
        <f t="shared" si="114"/>
        <v>-2</v>
      </c>
      <c r="L481" s="3" t="s">
        <v>646</v>
      </c>
      <c r="M481" s="3" t="s">
        <v>651</v>
      </c>
      <c r="N481" s="3" t="s">
        <v>688</v>
      </c>
      <c r="O481" s="3" t="s">
        <v>702</v>
      </c>
      <c r="P481" s="3" t="s">
        <v>708</v>
      </c>
      <c r="Q481" s="3" t="s">
        <v>721</v>
      </c>
      <c r="R481" s="3" t="s">
        <v>727</v>
      </c>
      <c r="S481" s="3" t="s">
        <v>885</v>
      </c>
      <c r="T481" s="21">
        <v>1097.5899999999999</v>
      </c>
      <c r="U481" s="21" t="str">
        <f t="shared" si="128"/>
        <v>Medium</v>
      </c>
      <c r="V481">
        <f t="shared" si="115"/>
        <v>845.55</v>
      </c>
      <c r="W481" s="7">
        <v>845.55</v>
      </c>
      <c r="X481" s="8">
        <v>0.184</v>
      </c>
      <c r="Y481" s="14">
        <v>6</v>
      </c>
      <c r="Z481" s="7">
        <f t="shared" si="116"/>
        <v>155.5812</v>
      </c>
      <c r="AA481" s="7">
        <f t="shared" si="117"/>
        <v>4139.8127999999997</v>
      </c>
      <c r="AB481" s="7">
        <f t="shared" si="118"/>
        <v>3984.2315999999996</v>
      </c>
      <c r="AC481" s="7">
        <f t="shared" si="119"/>
        <v>6585.5399999999991</v>
      </c>
      <c r="AD481" s="7">
        <f t="shared" si="120"/>
        <v>-2445.7271999999994</v>
      </c>
      <c r="AE481" s="7">
        <f t="shared" si="121"/>
        <v>-2601.3083999999994</v>
      </c>
      <c r="AF481" s="26">
        <f t="shared" si="122"/>
        <v>0.62862161645058723</v>
      </c>
      <c r="AG481" s="8">
        <f>IF(DASHBOARD!$Q$7&gt;'staging data'!X481,'staging data'!X481,DASHBOARD!$Q$7)</f>
        <v>0.184</v>
      </c>
      <c r="AH481">
        <f>(100%+DASHBOARD!$Q$8)*'staging data'!T481</f>
        <v>1262.2284999999997</v>
      </c>
      <c r="AI481">
        <f>(100%+DASHBOARD!$Q$9)*'staging data'!Y481</f>
        <v>7.1999999999999993</v>
      </c>
    </row>
    <row r="482" spans="1:35" x14ac:dyDescent="0.3">
      <c r="A482" s="3" t="s">
        <v>165</v>
      </c>
      <c r="B482" s="28">
        <v>45690</v>
      </c>
      <c r="C482" s="28" t="str">
        <f t="shared" si="123"/>
        <v>Q1</v>
      </c>
      <c r="D482" s="28" t="str">
        <f t="shared" si="124"/>
        <v>2023</v>
      </c>
      <c r="E482" s="28" t="str">
        <f t="shared" si="125"/>
        <v>Jul</v>
      </c>
      <c r="F482" s="5">
        <v>45110</v>
      </c>
      <c r="G482" s="5">
        <f t="shared" si="113"/>
        <v>45130</v>
      </c>
      <c r="H482" s="5">
        <v>45130</v>
      </c>
      <c r="I482" s="5" t="str">
        <f t="shared" si="126"/>
        <v>Achieved</v>
      </c>
      <c r="J482" s="14">
        <f t="shared" si="127"/>
        <v>20</v>
      </c>
      <c r="K482" s="14">
        <f t="shared" si="114"/>
        <v>20</v>
      </c>
      <c r="L482" s="3" t="s">
        <v>645</v>
      </c>
      <c r="M482" s="3" t="s">
        <v>660</v>
      </c>
      <c r="N482" s="3" t="s">
        <v>681</v>
      </c>
      <c r="O482" s="3" t="s">
        <v>704</v>
      </c>
      <c r="P482" s="3" t="s">
        <v>709</v>
      </c>
      <c r="Q482" s="3" t="s">
        <v>720</v>
      </c>
      <c r="R482" s="3" t="s">
        <v>730</v>
      </c>
      <c r="S482" s="3" t="s">
        <v>884</v>
      </c>
      <c r="T482" s="21">
        <v>1001.96</v>
      </c>
      <c r="U482" s="21" t="str">
        <f t="shared" si="128"/>
        <v>Medium</v>
      </c>
      <c r="V482">
        <f t="shared" si="115"/>
        <v>1254.95</v>
      </c>
      <c r="W482" s="7">
        <v>1254.95</v>
      </c>
      <c r="X482" s="8">
        <v>4.4999999999999998E-2</v>
      </c>
      <c r="Y482" s="14">
        <v>18</v>
      </c>
      <c r="Z482" s="7">
        <f t="shared" si="116"/>
        <v>56.472749999999998</v>
      </c>
      <c r="AA482" s="7">
        <f t="shared" si="117"/>
        <v>21572.590500000002</v>
      </c>
      <c r="AB482" s="7">
        <f t="shared" si="118"/>
        <v>21516.117750000001</v>
      </c>
      <c r="AC482" s="7">
        <f t="shared" si="119"/>
        <v>18035.28</v>
      </c>
      <c r="AD482" s="7">
        <f t="shared" si="120"/>
        <v>3537.3105000000032</v>
      </c>
      <c r="AE482" s="7">
        <f t="shared" si="121"/>
        <v>3480.8377500000024</v>
      </c>
      <c r="AF482" s="26">
        <f t="shared" si="122"/>
        <v>1.1961328296538787</v>
      </c>
      <c r="AG482" s="8">
        <f>IF(DASHBOARD!$Q$7&gt;'staging data'!X482,'staging data'!X482,DASHBOARD!$Q$7)</f>
        <v>4.4999999999999998E-2</v>
      </c>
      <c r="AH482">
        <f>(100%+DASHBOARD!$Q$8)*'staging data'!T482</f>
        <v>1152.2539999999999</v>
      </c>
      <c r="AI482">
        <f>(100%+DASHBOARD!$Q$9)*'staging data'!Y482</f>
        <v>21.599999999999998</v>
      </c>
    </row>
    <row r="483" spans="1:35" x14ac:dyDescent="0.3">
      <c r="A483" s="3" t="s">
        <v>163</v>
      </c>
      <c r="B483" s="28">
        <v>45692</v>
      </c>
      <c r="C483" s="28" t="str">
        <f t="shared" si="123"/>
        <v>Q1</v>
      </c>
      <c r="D483" s="28" t="str">
        <f t="shared" si="124"/>
        <v>2024</v>
      </c>
      <c r="E483" s="28" t="str">
        <f t="shared" si="125"/>
        <v>Sept</v>
      </c>
      <c r="F483" s="5">
        <v>45558</v>
      </c>
      <c r="G483" s="5">
        <f t="shared" si="113"/>
        <v>45583</v>
      </c>
      <c r="H483" s="5">
        <v>45583</v>
      </c>
      <c r="I483" s="5" t="str">
        <f t="shared" si="126"/>
        <v>Achieved</v>
      </c>
      <c r="J483" s="14">
        <f t="shared" si="127"/>
        <v>25</v>
      </c>
      <c r="K483" s="14">
        <f t="shared" si="114"/>
        <v>25</v>
      </c>
      <c r="L483" s="3" t="s">
        <v>647</v>
      </c>
      <c r="M483" s="3" t="s">
        <v>652</v>
      </c>
      <c r="N483" s="3" t="s">
        <v>687</v>
      </c>
      <c r="O483" s="3" t="s">
        <v>704</v>
      </c>
      <c r="P483" s="3" t="s">
        <v>707</v>
      </c>
      <c r="Q483" s="3" t="s">
        <v>724</v>
      </c>
      <c r="R483" s="3" t="s">
        <v>729</v>
      </c>
      <c r="S483" s="3" t="s">
        <v>882</v>
      </c>
      <c r="T483" s="21">
        <v>1297</v>
      </c>
      <c r="U483" s="21" t="str">
        <f t="shared" si="128"/>
        <v>High</v>
      </c>
      <c r="V483">
        <f t="shared" si="115"/>
        <v>2411.52</v>
      </c>
      <c r="W483" s="7">
        <v>2411.52</v>
      </c>
      <c r="X483" s="8">
        <v>2.1000000000000001E-2</v>
      </c>
      <c r="Y483" s="14">
        <v>18</v>
      </c>
      <c r="Z483" s="7">
        <f t="shared" si="116"/>
        <v>50.641920000000006</v>
      </c>
      <c r="AA483" s="7">
        <f t="shared" si="117"/>
        <v>42495.805439999996</v>
      </c>
      <c r="AB483" s="7">
        <f t="shared" si="118"/>
        <v>42445.163519999995</v>
      </c>
      <c r="AC483" s="7">
        <f t="shared" si="119"/>
        <v>23346</v>
      </c>
      <c r="AD483" s="7">
        <f t="shared" si="120"/>
        <v>19149.805439999996</v>
      </c>
      <c r="AE483" s="7">
        <f t="shared" si="121"/>
        <v>19099.163519999995</v>
      </c>
      <c r="AF483" s="26">
        <f t="shared" si="122"/>
        <v>1.8202606630686198</v>
      </c>
      <c r="AG483" s="8">
        <f>IF(DASHBOARD!$Q$7&gt;'staging data'!X483,'staging data'!X483,DASHBOARD!$Q$7)</f>
        <v>2.1000000000000001E-2</v>
      </c>
      <c r="AH483">
        <f>(100%+DASHBOARD!$Q$8)*'staging data'!T483</f>
        <v>1491.55</v>
      </c>
      <c r="AI483">
        <f>(100%+DASHBOARD!$Q$9)*'staging data'!Y483</f>
        <v>21.599999999999998</v>
      </c>
    </row>
    <row r="484" spans="1:35" x14ac:dyDescent="0.3">
      <c r="A484" s="3" t="s">
        <v>164</v>
      </c>
      <c r="B484" s="28">
        <v>45692</v>
      </c>
      <c r="C484" s="28" t="str">
        <f t="shared" si="123"/>
        <v>Q1</v>
      </c>
      <c r="D484" s="28" t="str">
        <f t="shared" si="124"/>
        <v>2025</v>
      </c>
      <c r="E484" s="28" t="str">
        <f t="shared" si="125"/>
        <v>Apr</v>
      </c>
      <c r="F484" s="5">
        <v>45763</v>
      </c>
      <c r="G484" s="5">
        <f t="shared" si="113"/>
        <v>45793</v>
      </c>
      <c r="H484" s="5">
        <v>45793</v>
      </c>
      <c r="I484" s="5" t="str">
        <f t="shared" si="126"/>
        <v>Achieved</v>
      </c>
      <c r="J484" s="14">
        <f t="shared" si="127"/>
        <v>30</v>
      </c>
      <c r="K484" s="14">
        <f t="shared" si="114"/>
        <v>30</v>
      </c>
      <c r="L484" s="3" t="s">
        <v>647</v>
      </c>
      <c r="M484" s="3" t="s">
        <v>652</v>
      </c>
      <c r="N484" s="3" t="s">
        <v>680</v>
      </c>
      <c r="O484" s="3" t="s">
        <v>705</v>
      </c>
      <c r="P484" s="3" t="s">
        <v>709</v>
      </c>
      <c r="Q484" s="3" t="s">
        <v>722</v>
      </c>
      <c r="R484" s="3" t="s">
        <v>727</v>
      </c>
      <c r="S484" s="3" t="s">
        <v>883</v>
      </c>
      <c r="T484" s="21">
        <v>763.32</v>
      </c>
      <c r="U484" s="21" t="str">
        <f t="shared" si="128"/>
        <v>Low</v>
      </c>
      <c r="V484">
        <f t="shared" si="115"/>
        <v>568.29</v>
      </c>
      <c r="W484" s="7">
        <v>568.29</v>
      </c>
      <c r="X484" s="8">
        <v>0.13100000000000001</v>
      </c>
      <c r="Y484" s="14">
        <v>16</v>
      </c>
      <c r="Z484" s="7">
        <f t="shared" si="116"/>
        <v>74.445989999999995</v>
      </c>
      <c r="AA484" s="7">
        <f t="shared" si="117"/>
        <v>7901.5041599999995</v>
      </c>
      <c r="AB484" s="7">
        <f t="shared" si="118"/>
        <v>7827.0581699999993</v>
      </c>
      <c r="AC484" s="7">
        <f t="shared" si="119"/>
        <v>12213.12</v>
      </c>
      <c r="AD484" s="7">
        <f t="shared" si="120"/>
        <v>-4311.6158400000013</v>
      </c>
      <c r="AE484" s="7">
        <f t="shared" si="121"/>
        <v>-4386.0618300000015</v>
      </c>
      <c r="AF484" s="26">
        <f t="shared" si="122"/>
        <v>0.64696851910077025</v>
      </c>
      <c r="AG484" s="8">
        <f>IF(DASHBOARD!$Q$7&gt;'staging data'!X484,'staging data'!X484,DASHBOARD!$Q$7)</f>
        <v>0.13100000000000001</v>
      </c>
      <c r="AH484">
        <f>(100%+DASHBOARD!$Q$8)*'staging data'!T484</f>
        <v>877.81799999999998</v>
      </c>
      <c r="AI484">
        <f>(100%+DASHBOARD!$Q$9)*'staging data'!Y484</f>
        <v>19.2</v>
      </c>
    </row>
    <row r="485" spans="1:35" x14ac:dyDescent="0.3">
      <c r="A485" s="3" t="s">
        <v>162</v>
      </c>
      <c r="B485" s="28">
        <v>45694</v>
      </c>
      <c r="C485" s="28" t="str">
        <f t="shared" si="123"/>
        <v>Q1</v>
      </c>
      <c r="D485" s="28" t="str">
        <f t="shared" si="124"/>
        <v>2023</v>
      </c>
      <c r="E485" s="28" t="str">
        <f t="shared" si="125"/>
        <v>Sept</v>
      </c>
      <c r="F485" s="5">
        <v>45183</v>
      </c>
      <c r="G485" s="5">
        <f t="shared" si="113"/>
        <v>45185</v>
      </c>
      <c r="H485" s="5">
        <v>45185</v>
      </c>
      <c r="I485" s="5" t="str">
        <f t="shared" si="126"/>
        <v>Not achieved</v>
      </c>
      <c r="J485" s="14">
        <f t="shared" si="127"/>
        <v>2</v>
      </c>
      <c r="K485" s="14">
        <f t="shared" si="114"/>
        <v>2</v>
      </c>
      <c r="L485" s="3" t="s">
        <v>648</v>
      </c>
      <c r="M485" s="3" t="s">
        <v>656</v>
      </c>
      <c r="N485" s="3" t="s">
        <v>678</v>
      </c>
      <c r="O485" s="3" t="s">
        <v>702</v>
      </c>
      <c r="P485" s="3" t="s">
        <v>710</v>
      </c>
      <c r="Q485" s="3" t="s">
        <v>716</v>
      </c>
      <c r="R485" s="3" t="s">
        <v>727</v>
      </c>
      <c r="S485" s="3" t="s">
        <v>881</v>
      </c>
      <c r="T485" s="21">
        <v>376.83</v>
      </c>
      <c r="U485" s="21" t="str">
        <f t="shared" si="128"/>
        <v>Medium</v>
      </c>
      <c r="V485">
        <f t="shared" si="115"/>
        <v>732.88</v>
      </c>
      <c r="W485" s="7">
        <v>732.88</v>
      </c>
      <c r="X485" s="8">
        <v>0.188</v>
      </c>
      <c r="Y485" s="14">
        <v>25</v>
      </c>
      <c r="Z485" s="7">
        <f t="shared" si="116"/>
        <v>137.78144</v>
      </c>
      <c r="AA485" s="7">
        <f t="shared" si="117"/>
        <v>14877.464000000002</v>
      </c>
      <c r="AB485" s="7">
        <f t="shared" si="118"/>
        <v>14739.682560000001</v>
      </c>
      <c r="AC485" s="7">
        <f t="shared" si="119"/>
        <v>9420.75</v>
      </c>
      <c r="AD485" s="7">
        <f t="shared" si="120"/>
        <v>5456.7140000000018</v>
      </c>
      <c r="AE485" s="7">
        <f t="shared" si="121"/>
        <v>5318.9325600000011</v>
      </c>
      <c r="AF485" s="26">
        <f t="shared" si="122"/>
        <v>1.5792228856513548</v>
      </c>
      <c r="AG485" s="8">
        <f>IF(DASHBOARD!$Q$7&gt;'staging data'!X485,'staging data'!X485,DASHBOARD!$Q$7)</f>
        <v>0.188</v>
      </c>
      <c r="AH485">
        <f>(100%+DASHBOARD!$Q$8)*'staging data'!T485</f>
        <v>433.35449999999997</v>
      </c>
      <c r="AI485">
        <f>(100%+DASHBOARD!$Q$9)*'staging data'!Y485</f>
        <v>30</v>
      </c>
    </row>
    <row r="486" spans="1:35" x14ac:dyDescent="0.3">
      <c r="A486" s="3" t="s">
        <v>161</v>
      </c>
      <c r="B486" s="28">
        <v>45695</v>
      </c>
      <c r="C486" s="28" t="str">
        <f t="shared" si="123"/>
        <v>Q1</v>
      </c>
      <c r="D486" s="28" t="str">
        <f t="shared" si="124"/>
        <v>2024</v>
      </c>
      <c r="E486" s="28" t="str">
        <f t="shared" si="125"/>
        <v>Apr</v>
      </c>
      <c r="F486" s="5">
        <v>45386</v>
      </c>
      <c r="G486" s="5">
        <f t="shared" si="113"/>
        <v>45406</v>
      </c>
      <c r="H486" s="5">
        <v>45406</v>
      </c>
      <c r="I486" s="5" t="str">
        <f t="shared" si="126"/>
        <v>Achieved</v>
      </c>
      <c r="J486" s="14">
        <f t="shared" si="127"/>
        <v>20</v>
      </c>
      <c r="K486" s="14">
        <f t="shared" si="114"/>
        <v>20</v>
      </c>
      <c r="L486" s="3" t="s">
        <v>648</v>
      </c>
      <c r="M486" s="3" t="s">
        <v>655</v>
      </c>
      <c r="N486" s="3" t="s">
        <v>697</v>
      </c>
      <c r="O486" s="3" t="s">
        <v>702</v>
      </c>
      <c r="P486" s="3" t="s">
        <v>710</v>
      </c>
      <c r="Q486" s="3" t="s">
        <v>718</v>
      </c>
      <c r="R486" s="3" t="s">
        <v>732</v>
      </c>
      <c r="S486" s="3" t="s">
        <v>880</v>
      </c>
      <c r="T486" s="21">
        <v>683.42</v>
      </c>
      <c r="U486" s="21" t="str">
        <f t="shared" si="128"/>
        <v>Medium</v>
      </c>
      <c r="V486">
        <f t="shared" si="115"/>
        <v>951.51</v>
      </c>
      <c r="W486" s="7">
        <v>951.51</v>
      </c>
      <c r="X486" s="8">
        <v>0</v>
      </c>
      <c r="Y486" s="14">
        <v>14</v>
      </c>
      <c r="Z486" s="7">
        <f t="shared" si="116"/>
        <v>0</v>
      </c>
      <c r="AA486" s="7">
        <f t="shared" si="117"/>
        <v>13321.14</v>
      </c>
      <c r="AB486" s="7">
        <f t="shared" si="118"/>
        <v>13321.14</v>
      </c>
      <c r="AC486" s="7">
        <f t="shared" si="119"/>
        <v>9567.8799999999992</v>
      </c>
      <c r="AD486" s="7">
        <f t="shared" si="120"/>
        <v>3753.26</v>
      </c>
      <c r="AE486" s="7">
        <f t="shared" si="121"/>
        <v>3753.26</v>
      </c>
      <c r="AF486" s="26">
        <f t="shared" si="122"/>
        <v>1.3922770770536421</v>
      </c>
      <c r="AG486" s="8">
        <f>IF(DASHBOARD!$Q$7&gt;'staging data'!X486,'staging data'!X486,DASHBOARD!$Q$7)</f>
        <v>0</v>
      </c>
      <c r="AH486">
        <f>(100%+DASHBOARD!$Q$8)*'staging data'!T486</f>
        <v>785.93299999999988</v>
      </c>
      <c r="AI486">
        <f>(100%+DASHBOARD!$Q$9)*'staging data'!Y486</f>
        <v>16.8</v>
      </c>
    </row>
    <row r="487" spans="1:35" x14ac:dyDescent="0.3">
      <c r="A487" s="3" t="s">
        <v>160</v>
      </c>
      <c r="B487" s="28">
        <v>45697</v>
      </c>
      <c r="C487" s="28" t="str">
        <f t="shared" si="123"/>
        <v>Q1</v>
      </c>
      <c r="D487" s="28" t="str">
        <f t="shared" si="124"/>
        <v>2025</v>
      </c>
      <c r="E487" s="28" t="str">
        <f t="shared" si="125"/>
        <v>Sept</v>
      </c>
      <c r="F487" s="5">
        <v>45911</v>
      </c>
      <c r="G487" s="5">
        <f t="shared" si="113"/>
        <v>45928</v>
      </c>
      <c r="H487" s="5">
        <v>45928</v>
      </c>
      <c r="I487" s="5" t="str">
        <f t="shared" si="126"/>
        <v>Achieved</v>
      </c>
      <c r="J487" s="14">
        <f t="shared" si="127"/>
        <v>17</v>
      </c>
      <c r="K487" s="14">
        <f t="shared" si="114"/>
        <v>17</v>
      </c>
      <c r="L487" s="3" t="s">
        <v>645</v>
      </c>
      <c r="M487" s="3" t="s">
        <v>649</v>
      </c>
      <c r="N487" s="3" t="s">
        <v>663</v>
      </c>
      <c r="O487" s="3" t="s">
        <v>702</v>
      </c>
      <c r="P487" s="3" t="s">
        <v>709</v>
      </c>
      <c r="Q487" s="3" t="s">
        <v>712</v>
      </c>
      <c r="R487" s="3" t="s">
        <v>730</v>
      </c>
      <c r="S487" s="3" t="s">
        <v>879</v>
      </c>
      <c r="T487" s="21">
        <v>891.46</v>
      </c>
      <c r="U487" s="21" t="str">
        <f t="shared" si="128"/>
        <v>Medium</v>
      </c>
      <c r="V487">
        <f t="shared" si="115"/>
        <v>728.61</v>
      </c>
      <c r="W487" s="7">
        <v>728.61</v>
      </c>
      <c r="X487" s="8">
        <v>0.185</v>
      </c>
      <c r="Y487" s="14">
        <v>6</v>
      </c>
      <c r="Z487" s="7">
        <f t="shared" si="116"/>
        <v>134.79284999999999</v>
      </c>
      <c r="AA487" s="7">
        <f t="shared" si="117"/>
        <v>3562.9028999999996</v>
      </c>
      <c r="AB487" s="7">
        <f t="shared" si="118"/>
        <v>3428.1100499999998</v>
      </c>
      <c r="AC487" s="7">
        <f t="shared" si="119"/>
        <v>5348.76</v>
      </c>
      <c r="AD487" s="7">
        <f t="shared" si="120"/>
        <v>-1785.8571000000006</v>
      </c>
      <c r="AE487" s="7">
        <f t="shared" si="121"/>
        <v>-1920.6499500000004</v>
      </c>
      <c r="AF487" s="26">
        <f t="shared" si="122"/>
        <v>0.66611754874026863</v>
      </c>
      <c r="AG487" s="8">
        <f>IF(DASHBOARD!$Q$7&gt;'staging data'!X487,'staging data'!X487,DASHBOARD!$Q$7)</f>
        <v>0.185</v>
      </c>
      <c r="AH487">
        <f>(100%+DASHBOARD!$Q$8)*'staging data'!T487</f>
        <v>1025.1789999999999</v>
      </c>
      <c r="AI487">
        <f>(100%+DASHBOARD!$Q$9)*'staging data'!Y487</f>
        <v>7.1999999999999993</v>
      </c>
    </row>
    <row r="488" spans="1:35" x14ac:dyDescent="0.3">
      <c r="A488" s="3" t="s">
        <v>159</v>
      </c>
      <c r="B488" s="28">
        <v>45700</v>
      </c>
      <c r="C488" s="28" t="str">
        <f t="shared" si="123"/>
        <v>Q1</v>
      </c>
      <c r="D488" s="28" t="str">
        <f t="shared" si="124"/>
        <v>2023</v>
      </c>
      <c r="E488" s="28" t="str">
        <f t="shared" si="125"/>
        <v>Nov</v>
      </c>
      <c r="F488" s="5">
        <v>45260</v>
      </c>
      <c r="G488" s="5">
        <f t="shared" si="113"/>
        <v>45260</v>
      </c>
      <c r="H488" s="5">
        <v>45259</v>
      </c>
      <c r="I488" s="5" t="str">
        <f t="shared" si="126"/>
        <v>Not achieved</v>
      </c>
      <c r="J488" s="14">
        <f t="shared" si="127"/>
        <v>0</v>
      </c>
      <c r="K488" s="14">
        <f t="shared" si="114"/>
        <v>-1</v>
      </c>
      <c r="L488" s="3" t="s">
        <v>645</v>
      </c>
      <c r="M488" s="3" t="s">
        <v>660</v>
      </c>
      <c r="N488" s="3" t="s">
        <v>686</v>
      </c>
      <c r="O488" s="3" t="s">
        <v>704</v>
      </c>
      <c r="P488" s="3" t="s">
        <v>708</v>
      </c>
      <c r="Q488" s="3" t="s">
        <v>717</v>
      </c>
      <c r="R488" s="3" t="s">
        <v>730</v>
      </c>
      <c r="S488" s="3" t="s">
        <v>878</v>
      </c>
      <c r="T488" s="21">
        <v>275.56</v>
      </c>
      <c r="U488" s="21" t="str">
        <f t="shared" si="128"/>
        <v>Medium</v>
      </c>
      <c r="V488">
        <f t="shared" si="115"/>
        <v>630.72</v>
      </c>
      <c r="W488" s="7">
        <v>630.72</v>
      </c>
      <c r="X488" s="8">
        <v>0.107</v>
      </c>
      <c r="Y488" s="14">
        <v>23</v>
      </c>
      <c r="Z488" s="7">
        <f t="shared" si="116"/>
        <v>67.487040000000007</v>
      </c>
      <c r="AA488" s="7">
        <f t="shared" si="117"/>
        <v>12954.358080000002</v>
      </c>
      <c r="AB488" s="7">
        <f t="shared" si="118"/>
        <v>12886.871040000002</v>
      </c>
      <c r="AC488" s="7">
        <f t="shared" si="119"/>
        <v>6337.88</v>
      </c>
      <c r="AD488" s="7">
        <f t="shared" si="120"/>
        <v>6616.4780800000017</v>
      </c>
      <c r="AE488" s="7">
        <f t="shared" si="121"/>
        <v>6548.9910400000017</v>
      </c>
      <c r="AF488" s="26">
        <f t="shared" si="122"/>
        <v>2.043957613586878</v>
      </c>
      <c r="AG488" s="8">
        <f>IF(DASHBOARD!$Q$7&gt;'staging data'!X488,'staging data'!X488,DASHBOARD!$Q$7)</f>
        <v>0.107</v>
      </c>
      <c r="AH488">
        <f>(100%+DASHBOARD!$Q$8)*'staging data'!T488</f>
        <v>316.89400000000001</v>
      </c>
      <c r="AI488">
        <f>(100%+DASHBOARD!$Q$9)*'staging data'!Y488</f>
        <v>27.599999999999998</v>
      </c>
    </row>
    <row r="489" spans="1:35" x14ac:dyDescent="0.3">
      <c r="A489" s="3" t="s">
        <v>156</v>
      </c>
      <c r="B489" s="28">
        <v>45703</v>
      </c>
      <c r="C489" s="28" t="str">
        <f t="shared" si="123"/>
        <v>Q1</v>
      </c>
      <c r="D489" s="28" t="str">
        <f t="shared" si="124"/>
        <v>2023</v>
      </c>
      <c r="E489" s="28" t="str">
        <f t="shared" si="125"/>
        <v>Jul</v>
      </c>
      <c r="F489" s="5">
        <v>45133</v>
      </c>
      <c r="G489" s="5">
        <f t="shared" si="113"/>
        <v>45163</v>
      </c>
      <c r="H489" s="5">
        <v>45163</v>
      </c>
      <c r="I489" s="5" t="str">
        <f t="shared" si="126"/>
        <v>Achieved</v>
      </c>
      <c r="J489" s="14">
        <f t="shared" si="127"/>
        <v>30</v>
      </c>
      <c r="K489" s="14">
        <f t="shared" si="114"/>
        <v>30</v>
      </c>
      <c r="L489" s="3" t="s">
        <v>647</v>
      </c>
      <c r="M489" s="3" t="s">
        <v>659</v>
      </c>
      <c r="N489" s="3" t="s">
        <v>699</v>
      </c>
      <c r="O489" s="3" t="s">
        <v>703</v>
      </c>
      <c r="P489" s="3" t="s">
        <v>706</v>
      </c>
      <c r="Q489" s="3" t="s">
        <v>723</v>
      </c>
      <c r="R489" s="3" t="s">
        <v>732</v>
      </c>
      <c r="S489" s="3" t="s">
        <v>875</v>
      </c>
      <c r="T489" s="21">
        <v>1261.48</v>
      </c>
      <c r="U489" s="21" t="str">
        <f t="shared" si="128"/>
        <v>Medium</v>
      </c>
      <c r="V489">
        <f t="shared" si="115"/>
        <v>1643.18</v>
      </c>
      <c r="W489" s="7">
        <v>1643.18</v>
      </c>
      <c r="X489" s="8">
        <v>0.151</v>
      </c>
      <c r="Y489" s="14">
        <v>23</v>
      </c>
      <c r="Z489" s="7">
        <f t="shared" si="116"/>
        <v>248.12018</v>
      </c>
      <c r="AA489" s="7">
        <f t="shared" si="117"/>
        <v>32086.37586</v>
      </c>
      <c r="AB489" s="7">
        <f t="shared" si="118"/>
        <v>31838.255679999998</v>
      </c>
      <c r="AC489" s="7">
        <f t="shared" si="119"/>
        <v>29014.04</v>
      </c>
      <c r="AD489" s="7">
        <f t="shared" si="120"/>
        <v>3072.3358599999992</v>
      </c>
      <c r="AE489" s="7">
        <f t="shared" si="121"/>
        <v>2824.2156799999975</v>
      </c>
      <c r="AF489" s="26">
        <f t="shared" si="122"/>
        <v>1.1058913498430414</v>
      </c>
      <c r="AG489" s="8">
        <f>IF(DASHBOARD!$Q$7&gt;'staging data'!X489,'staging data'!X489,DASHBOARD!$Q$7)</f>
        <v>0.151</v>
      </c>
      <c r="AH489">
        <f>(100%+DASHBOARD!$Q$8)*'staging data'!T489</f>
        <v>1450.702</v>
      </c>
      <c r="AI489">
        <f>(100%+DASHBOARD!$Q$9)*'staging data'!Y489</f>
        <v>27.599999999999998</v>
      </c>
    </row>
    <row r="490" spans="1:35" x14ac:dyDescent="0.3">
      <c r="A490" s="3" t="s">
        <v>157</v>
      </c>
      <c r="B490" s="28">
        <v>45703</v>
      </c>
      <c r="C490" s="28" t="str">
        <f t="shared" si="123"/>
        <v>Q1</v>
      </c>
      <c r="D490" s="28" t="str">
        <f t="shared" si="124"/>
        <v>2024</v>
      </c>
      <c r="E490" s="28" t="str">
        <f t="shared" si="125"/>
        <v>Jun</v>
      </c>
      <c r="F490" s="5">
        <v>45458</v>
      </c>
      <c r="G490" s="5">
        <f t="shared" si="113"/>
        <v>45479</v>
      </c>
      <c r="H490" s="5">
        <v>45479</v>
      </c>
      <c r="I490" s="5" t="str">
        <f t="shared" si="126"/>
        <v>Achieved</v>
      </c>
      <c r="J490" s="14">
        <f t="shared" si="127"/>
        <v>21</v>
      </c>
      <c r="K490" s="14">
        <f t="shared" si="114"/>
        <v>21</v>
      </c>
      <c r="L490" s="3" t="s">
        <v>647</v>
      </c>
      <c r="M490" s="3" t="s">
        <v>652</v>
      </c>
      <c r="N490" s="3" t="s">
        <v>666</v>
      </c>
      <c r="O490" s="3" t="s">
        <v>705</v>
      </c>
      <c r="P490" s="3" t="s">
        <v>709</v>
      </c>
      <c r="Q490" s="3" t="s">
        <v>715</v>
      </c>
      <c r="R490" s="3" t="s">
        <v>727</v>
      </c>
      <c r="S490" s="3" t="s">
        <v>876</v>
      </c>
      <c r="T490" s="21">
        <v>817.23</v>
      </c>
      <c r="U490" s="21" t="str">
        <f t="shared" si="128"/>
        <v>Medium</v>
      </c>
      <c r="V490">
        <f t="shared" si="115"/>
        <v>1467.17</v>
      </c>
      <c r="W490" s="7">
        <v>1467.17</v>
      </c>
      <c r="X490" s="8">
        <v>0.245</v>
      </c>
      <c r="Y490" s="14">
        <v>9</v>
      </c>
      <c r="Z490" s="7">
        <f t="shared" si="116"/>
        <v>359.45665000000002</v>
      </c>
      <c r="AA490" s="7">
        <f t="shared" si="117"/>
        <v>9969.4201499999999</v>
      </c>
      <c r="AB490" s="7">
        <f t="shared" si="118"/>
        <v>9609.9634999999998</v>
      </c>
      <c r="AC490" s="7">
        <f t="shared" si="119"/>
        <v>7355.07</v>
      </c>
      <c r="AD490" s="7">
        <f t="shared" si="120"/>
        <v>2614.3501500000002</v>
      </c>
      <c r="AE490" s="7">
        <f t="shared" si="121"/>
        <v>2254.8935000000001</v>
      </c>
      <c r="AF490" s="26">
        <f t="shared" si="122"/>
        <v>1.3554487108892235</v>
      </c>
      <c r="AG490" s="8">
        <f>IF(DASHBOARD!$Q$7&gt;'staging data'!X490,'staging data'!X490,DASHBOARD!$Q$7)</f>
        <v>0.2</v>
      </c>
      <c r="AH490">
        <f>(100%+DASHBOARD!$Q$8)*'staging data'!T490</f>
        <v>939.81449999999995</v>
      </c>
      <c r="AI490">
        <f>(100%+DASHBOARD!$Q$9)*'staging data'!Y490</f>
        <v>10.799999999999999</v>
      </c>
    </row>
    <row r="491" spans="1:35" x14ac:dyDescent="0.3">
      <c r="A491" s="3" t="s">
        <v>158</v>
      </c>
      <c r="B491" s="28">
        <v>45703</v>
      </c>
      <c r="C491" s="28" t="str">
        <f t="shared" si="123"/>
        <v>Q1</v>
      </c>
      <c r="D491" s="28" t="str">
        <f t="shared" si="124"/>
        <v>2023</v>
      </c>
      <c r="E491" s="28" t="str">
        <f t="shared" si="125"/>
        <v>Jul</v>
      </c>
      <c r="F491" s="5">
        <v>45112</v>
      </c>
      <c r="G491" s="5">
        <f t="shared" si="113"/>
        <v>45121</v>
      </c>
      <c r="H491" s="5">
        <v>45121</v>
      </c>
      <c r="I491" s="5" t="str">
        <f t="shared" si="126"/>
        <v>Achieved</v>
      </c>
      <c r="J491" s="14">
        <f t="shared" si="127"/>
        <v>9</v>
      </c>
      <c r="K491" s="14">
        <f t="shared" si="114"/>
        <v>9</v>
      </c>
      <c r="L491" s="3" t="s">
        <v>647</v>
      </c>
      <c r="M491" s="3" t="s">
        <v>654</v>
      </c>
      <c r="N491" s="3" t="s">
        <v>671</v>
      </c>
      <c r="O491" s="3" t="s">
        <v>705</v>
      </c>
      <c r="P491" s="3" t="s">
        <v>710</v>
      </c>
      <c r="Q491" s="3" t="s">
        <v>716</v>
      </c>
      <c r="R491" s="3" t="s">
        <v>728</v>
      </c>
      <c r="S491" s="3" t="s">
        <v>877</v>
      </c>
      <c r="T491" s="21">
        <v>578.85</v>
      </c>
      <c r="U491" s="21" t="str">
        <f t="shared" si="128"/>
        <v>Medium</v>
      </c>
      <c r="V491">
        <f t="shared" si="115"/>
        <v>998.76</v>
      </c>
      <c r="W491" s="7">
        <v>998.76</v>
      </c>
      <c r="X491" s="8">
        <v>8.2000000000000003E-2</v>
      </c>
      <c r="Y491" s="14">
        <v>28</v>
      </c>
      <c r="Z491" s="7">
        <f t="shared" si="116"/>
        <v>81.898319999999998</v>
      </c>
      <c r="AA491" s="7">
        <f t="shared" si="117"/>
        <v>25672.127039999999</v>
      </c>
      <c r="AB491" s="7">
        <f t="shared" si="118"/>
        <v>25590.228719999999</v>
      </c>
      <c r="AC491" s="7">
        <f t="shared" si="119"/>
        <v>16207.800000000001</v>
      </c>
      <c r="AD491" s="7">
        <f t="shared" si="120"/>
        <v>9464.3270399999983</v>
      </c>
      <c r="AE491" s="7">
        <f t="shared" si="121"/>
        <v>9382.4287199999981</v>
      </c>
      <c r="AF491" s="26">
        <f t="shared" si="122"/>
        <v>1.5839365638766518</v>
      </c>
      <c r="AG491" s="8">
        <f>IF(DASHBOARD!$Q$7&gt;'staging data'!X491,'staging data'!X491,DASHBOARD!$Q$7)</f>
        <v>8.2000000000000003E-2</v>
      </c>
      <c r="AH491">
        <f>(100%+DASHBOARD!$Q$8)*'staging data'!T491</f>
        <v>665.67750000000001</v>
      </c>
      <c r="AI491">
        <f>(100%+DASHBOARD!$Q$9)*'staging data'!Y491</f>
        <v>33.6</v>
      </c>
    </row>
    <row r="492" spans="1:35" x14ac:dyDescent="0.3">
      <c r="A492" s="3" t="s">
        <v>155</v>
      </c>
      <c r="B492" s="28">
        <v>45704</v>
      </c>
      <c r="C492" s="28" t="str">
        <f t="shared" si="123"/>
        <v>Q1</v>
      </c>
      <c r="D492" s="28" t="str">
        <f t="shared" si="124"/>
        <v>2024</v>
      </c>
      <c r="E492" s="28" t="str">
        <f t="shared" si="125"/>
        <v>Dec</v>
      </c>
      <c r="F492" s="5">
        <v>45649</v>
      </c>
      <c r="G492" s="5">
        <f t="shared" si="113"/>
        <v>45668</v>
      </c>
      <c r="H492" s="5">
        <v>45668</v>
      </c>
      <c r="I492" s="5" t="str">
        <f t="shared" si="126"/>
        <v>Achieved</v>
      </c>
      <c r="J492" s="14">
        <f t="shared" si="127"/>
        <v>19</v>
      </c>
      <c r="K492" s="14">
        <f t="shared" si="114"/>
        <v>19</v>
      </c>
      <c r="L492" s="3" t="s">
        <v>648</v>
      </c>
      <c r="M492" s="3" t="s">
        <v>655</v>
      </c>
      <c r="N492" s="3" t="s">
        <v>670</v>
      </c>
      <c r="O492" s="3" t="s">
        <v>701</v>
      </c>
      <c r="P492" s="3" t="s">
        <v>706</v>
      </c>
      <c r="Q492" s="3" t="s">
        <v>722</v>
      </c>
      <c r="R492" s="3" t="s">
        <v>729</v>
      </c>
      <c r="S492" s="3" t="s">
        <v>874</v>
      </c>
      <c r="T492" s="21">
        <v>501.81</v>
      </c>
      <c r="U492" s="21" t="str">
        <f t="shared" si="128"/>
        <v>Medium</v>
      </c>
      <c r="V492">
        <f t="shared" si="115"/>
        <v>921.62</v>
      </c>
      <c r="W492" s="7">
        <v>921.62</v>
      </c>
      <c r="X492" s="8">
        <v>0.01</v>
      </c>
      <c r="Y492" s="14">
        <v>9</v>
      </c>
      <c r="Z492" s="7">
        <f t="shared" si="116"/>
        <v>9.2162000000000006</v>
      </c>
      <c r="AA492" s="7">
        <f t="shared" si="117"/>
        <v>8211.6342000000004</v>
      </c>
      <c r="AB492" s="7">
        <f t="shared" si="118"/>
        <v>8202.4179999999997</v>
      </c>
      <c r="AC492" s="7">
        <f t="shared" si="119"/>
        <v>4516.29</v>
      </c>
      <c r="AD492" s="7">
        <f t="shared" si="120"/>
        <v>3695.3442000000005</v>
      </c>
      <c r="AE492" s="7">
        <f t="shared" si="121"/>
        <v>3686.1279999999997</v>
      </c>
      <c r="AF492" s="26">
        <f t="shared" si="122"/>
        <v>1.8182256232438574</v>
      </c>
      <c r="AG492" s="8">
        <f>IF(DASHBOARD!$Q$7&gt;'staging data'!X492,'staging data'!X492,DASHBOARD!$Q$7)</f>
        <v>0.01</v>
      </c>
      <c r="AH492">
        <f>(100%+DASHBOARD!$Q$8)*'staging data'!T492</f>
        <v>577.08150000000001</v>
      </c>
      <c r="AI492">
        <f>(100%+DASHBOARD!$Q$9)*'staging data'!Y492</f>
        <v>10.799999999999999</v>
      </c>
    </row>
    <row r="493" spans="1:35" x14ac:dyDescent="0.3">
      <c r="A493" s="3" t="s">
        <v>154</v>
      </c>
      <c r="B493" s="28">
        <v>45705</v>
      </c>
      <c r="C493" s="28" t="str">
        <f t="shared" si="123"/>
        <v>Q1</v>
      </c>
      <c r="D493" s="28" t="str">
        <f t="shared" si="124"/>
        <v>2023</v>
      </c>
      <c r="E493" s="28" t="str">
        <f t="shared" si="125"/>
        <v>May</v>
      </c>
      <c r="F493" s="5">
        <v>45048</v>
      </c>
      <c r="G493" s="5">
        <f t="shared" si="113"/>
        <v>45064</v>
      </c>
      <c r="H493" s="5">
        <v>45064</v>
      </c>
      <c r="I493" s="5" t="str">
        <f t="shared" si="126"/>
        <v>Achieved</v>
      </c>
      <c r="J493" s="14">
        <f t="shared" si="127"/>
        <v>16</v>
      </c>
      <c r="K493" s="14">
        <f t="shared" si="114"/>
        <v>16</v>
      </c>
      <c r="L493" s="3" t="s">
        <v>646</v>
      </c>
      <c r="M493" s="3" t="s">
        <v>653</v>
      </c>
      <c r="N493" s="3" t="s">
        <v>679</v>
      </c>
      <c r="O493" s="3" t="s">
        <v>704</v>
      </c>
      <c r="P493" s="3" t="s">
        <v>708</v>
      </c>
      <c r="Q493" s="3" t="s">
        <v>722</v>
      </c>
      <c r="R493" s="3" t="s">
        <v>731</v>
      </c>
      <c r="S493" s="3" t="s">
        <v>873</v>
      </c>
      <c r="T493" s="21">
        <v>1463.92</v>
      </c>
      <c r="U493" s="21" t="str">
        <f t="shared" si="128"/>
        <v>High</v>
      </c>
      <c r="V493">
        <f t="shared" si="115"/>
        <v>2252.2399999999998</v>
      </c>
      <c r="W493" s="7">
        <v>2252.2399999999998</v>
      </c>
      <c r="X493" s="8">
        <v>0.11799999999999999</v>
      </c>
      <c r="Y493" s="14">
        <v>44</v>
      </c>
      <c r="Z493" s="7">
        <f t="shared" si="116"/>
        <v>265.76431999999994</v>
      </c>
      <c r="AA493" s="7">
        <f t="shared" si="117"/>
        <v>87404.929919999995</v>
      </c>
      <c r="AB493" s="7">
        <f t="shared" si="118"/>
        <v>87139.165599999993</v>
      </c>
      <c r="AC493" s="7">
        <f t="shared" si="119"/>
        <v>64412.480000000003</v>
      </c>
      <c r="AD493" s="7">
        <f t="shared" si="120"/>
        <v>22992.449919999992</v>
      </c>
      <c r="AE493" s="7">
        <f t="shared" si="121"/>
        <v>22726.68559999999</v>
      </c>
      <c r="AF493" s="26">
        <f t="shared" si="122"/>
        <v>1.3569564457074155</v>
      </c>
      <c r="AG493" s="8">
        <f>IF(DASHBOARD!$Q$7&gt;'staging data'!X493,'staging data'!X493,DASHBOARD!$Q$7)</f>
        <v>0.11799999999999999</v>
      </c>
      <c r="AH493">
        <f>(100%+DASHBOARD!$Q$8)*'staging data'!T493</f>
        <v>1683.508</v>
      </c>
      <c r="AI493">
        <f>(100%+DASHBOARD!$Q$9)*'staging data'!Y493</f>
        <v>52.8</v>
      </c>
    </row>
    <row r="494" spans="1:35" x14ac:dyDescent="0.3">
      <c r="A494" s="3" t="s">
        <v>153</v>
      </c>
      <c r="B494" s="28">
        <v>45707</v>
      </c>
      <c r="C494" s="28" t="str">
        <f t="shared" si="123"/>
        <v>Q1</v>
      </c>
      <c r="D494" s="28" t="str">
        <f t="shared" si="124"/>
        <v>2024</v>
      </c>
      <c r="E494" s="28" t="str">
        <f t="shared" si="125"/>
        <v>Feb</v>
      </c>
      <c r="F494" s="5">
        <v>45336</v>
      </c>
      <c r="G494" s="5">
        <f t="shared" si="113"/>
        <v>45336</v>
      </c>
      <c r="H494" s="5">
        <v>45336</v>
      </c>
      <c r="I494" s="5" t="str">
        <f t="shared" si="126"/>
        <v>Not achieved</v>
      </c>
      <c r="J494" s="14">
        <f t="shared" si="127"/>
        <v>0</v>
      </c>
      <c r="K494" s="14">
        <f t="shared" si="114"/>
        <v>0</v>
      </c>
      <c r="L494" s="3" t="s">
        <v>646</v>
      </c>
      <c r="M494" s="3" t="s">
        <v>658</v>
      </c>
      <c r="N494" s="3" t="s">
        <v>698</v>
      </c>
      <c r="O494" s="3" t="s">
        <v>700</v>
      </c>
      <c r="P494" s="3" t="s">
        <v>709</v>
      </c>
      <c r="Q494" s="3" t="s">
        <v>715</v>
      </c>
      <c r="R494" s="3" t="s">
        <v>732</v>
      </c>
      <c r="S494" s="3" t="s">
        <v>872</v>
      </c>
      <c r="T494" s="21">
        <v>65.930000000000007</v>
      </c>
      <c r="U494" s="21" t="str">
        <f t="shared" si="128"/>
        <v>Low</v>
      </c>
      <c r="V494">
        <f t="shared" si="115"/>
        <v>84.9</v>
      </c>
      <c r="W494" s="7">
        <v>84.9</v>
      </c>
      <c r="X494" s="8">
        <v>0.25900000000000001</v>
      </c>
      <c r="Y494" s="14">
        <v>23</v>
      </c>
      <c r="Z494" s="7">
        <f t="shared" si="116"/>
        <v>21.989100000000001</v>
      </c>
      <c r="AA494" s="7">
        <f t="shared" si="117"/>
        <v>1446.9507000000001</v>
      </c>
      <c r="AB494" s="7">
        <f t="shared" si="118"/>
        <v>1424.9616000000001</v>
      </c>
      <c r="AC494" s="7">
        <f t="shared" si="119"/>
        <v>1516.39</v>
      </c>
      <c r="AD494" s="7">
        <f t="shared" si="120"/>
        <v>-69.439300000000003</v>
      </c>
      <c r="AE494" s="7">
        <f t="shared" si="121"/>
        <v>-91.428400000000011</v>
      </c>
      <c r="AF494" s="26">
        <f t="shared" si="122"/>
        <v>0.95420749279538908</v>
      </c>
      <c r="AG494" s="8">
        <f>IF(DASHBOARD!$Q$7&gt;'staging data'!X494,'staging data'!X494,DASHBOARD!$Q$7)</f>
        <v>0.2</v>
      </c>
      <c r="AH494">
        <f>(100%+DASHBOARD!$Q$8)*'staging data'!T494</f>
        <v>75.819500000000005</v>
      </c>
      <c r="AI494">
        <f>(100%+DASHBOARD!$Q$9)*'staging data'!Y494</f>
        <v>27.599999999999998</v>
      </c>
    </row>
    <row r="495" spans="1:35" x14ac:dyDescent="0.3">
      <c r="A495" s="3" t="s">
        <v>152</v>
      </c>
      <c r="B495" s="28">
        <v>45709</v>
      </c>
      <c r="C495" s="28" t="str">
        <f t="shared" si="123"/>
        <v>Q1</v>
      </c>
      <c r="D495" s="28" t="str">
        <f t="shared" si="124"/>
        <v>2024</v>
      </c>
      <c r="E495" s="28" t="str">
        <f t="shared" si="125"/>
        <v>Nov</v>
      </c>
      <c r="F495" s="5">
        <v>45616</v>
      </c>
      <c r="G495" s="5">
        <f t="shared" si="113"/>
        <v>45641</v>
      </c>
      <c r="H495" s="5">
        <v>45641</v>
      </c>
      <c r="I495" s="5" t="str">
        <f t="shared" si="126"/>
        <v>Achieved</v>
      </c>
      <c r="J495" s="14">
        <f t="shared" si="127"/>
        <v>25</v>
      </c>
      <c r="K495" s="14">
        <f t="shared" si="114"/>
        <v>25</v>
      </c>
      <c r="L495" s="3" t="s">
        <v>648</v>
      </c>
      <c r="M495" s="3" t="s">
        <v>656</v>
      </c>
      <c r="N495" s="3" t="s">
        <v>689</v>
      </c>
      <c r="O495" s="3" t="s">
        <v>700</v>
      </c>
      <c r="P495" s="3" t="s">
        <v>707</v>
      </c>
      <c r="Q495" s="3" t="s">
        <v>714</v>
      </c>
      <c r="R495" s="3" t="s">
        <v>727</v>
      </c>
      <c r="S495" s="3" t="s">
        <v>871</v>
      </c>
      <c r="T495" s="21">
        <v>1203.58</v>
      </c>
      <c r="U495" s="21" t="str">
        <f t="shared" si="128"/>
        <v>Medium</v>
      </c>
      <c r="V495">
        <f t="shared" si="115"/>
        <v>1856.16</v>
      </c>
      <c r="W495" s="7">
        <v>1856.16</v>
      </c>
      <c r="X495" s="8">
        <v>0.129</v>
      </c>
      <c r="Y495" s="14">
        <v>22</v>
      </c>
      <c r="Z495" s="7">
        <f t="shared" si="116"/>
        <v>239.44464000000002</v>
      </c>
      <c r="AA495" s="7">
        <f t="shared" si="117"/>
        <v>35567.737920000007</v>
      </c>
      <c r="AB495" s="7">
        <f t="shared" si="118"/>
        <v>35328.293280000005</v>
      </c>
      <c r="AC495" s="7">
        <f t="shared" si="119"/>
        <v>26478.76</v>
      </c>
      <c r="AD495" s="7">
        <f t="shared" si="120"/>
        <v>9088.9779200000085</v>
      </c>
      <c r="AE495" s="7">
        <f t="shared" si="121"/>
        <v>8849.5332800000069</v>
      </c>
      <c r="AF495" s="26">
        <f t="shared" si="122"/>
        <v>1.3432554213263765</v>
      </c>
      <c r="AG495" s="8">
        <f>IF(DASHBOARD!$Q$7&gt;'staging data'!X495,'staging data'!X495,DASHBOARD!$Q$7)</f>
        <v>0.129</v>
      </c>
      <c r="AH495">
        <f>(100%+DASHBOARD!$Q$8)*'staging data'!T495</f>
        <v>1384.1169999999997</v>
      </c>
      <c r="AI495">
        <f>(100%+DASHBOARD!$Q$9)*'staging data'!Y495</f>
        <v>26.4</v>
      </c>
    </row>
    <row r="496" spans="1:35" x14ac:dyDescent="0.3">
      <c r="A496" s="3" t="s">
        <v>151</v>
      </c>
      <c r="B496" s="28">
        <v>45713</v>
      </c>
      <c r="C496" s="28" t="str">
        <f t="shared" si="123"/>
        <v>Q1</v>
      </c>
      <c r="D496" s="28" t="str">
        <f t="shared" si="124"/>
        <v>2023</v>
      </c>
      <c r="E496" s="28" t="str">
        <f t="shared" si="125"/>
        <v>Mar</v>
      </c>
      <c r="F496" s="5">
        <v>45016</v>
      </c>
      <c r="G496" s="5">
        <f t="shared" si="113"/>
        <v>45028</v>
      </c>
      <c r="H496" s="5">
        <v>45028</v>
      </c>
      <c r="I496" s="5" t="str">
        <f t="shared" si="126"/>
        <v>Achieved</v>
      </c>
      <c r="J496" s="14">
        <f t="shared" si="127"/>
        <v>12</v>
      </c>
      <c r="K496" s="14">
        <f t="shared" si="114"/>
        <v>12</v>
      </c>
      <c r="L496" s="3" t="s">
        <v>645</v>
      </c>
      <c r="M496" s="3" t="s">
        <v>649</v>
      </c>
      <c r="N496" s="3" t="s">
        <v>674</v>
      </c>
      <c r="O496" s="3" t="s">
        <v>704</v>
      </c>
      <c r="P496" s="3" t="s">
        <v>707</v>
      </c>
      <c r="Q496" s="3" t="s">
        <v>711</v>
      </c>
      <c r="R496" s="3" t="s">
        <v>729</v>
      </c>
      <c r="S496" s="3" t="s">
        <v>870</v>
      </c>
      <c r="T496" s="21">
        <v>304.22000000000003</v>
      </c>
      <c r="U496" s="21" t="str">
        <f t="shared" si="128"/>
        <v>Low</v>
      </c>
      <c r="V496">
        <f t="shared" si="115"/>
        <v>393.31</v>
      </c>
      <c r="W496" s="7">
        <v>393.31</v>
      </c>
      <c r="X496" s="8">
        <v>0.26500000000000001</v>
      </c>
      <c r="Y496" s="14">
        <v>15</v>
      </c>
      <c r="Z496" s="7">
        <f t="shared" si="116"/>
        <v>104.22715000000001</v>
      </c>
      <c r="AA496" s="7">
        <f t="shared" si="117"/>
        <v>4336.2427499999994</v>
      </c>
      <c r="AB496" s="7">
        <f t="shared" si="118"/>
        <v>4232.0155999999997</v>
      </c>
      <c r="AC496" s="7">
        <f t="shared" si="119"/>
        <v>4563.3</v>
      </c>
      <c r="AD496" s="7">
        <f t="shared" si="120"/>
        <v>-227.05725000000075</v>
      </c>
      <c r="AE496" s="7">
        <f t="shared" si="121"/>
        <v>-331.28440000000046</v>
      </c>
      <c r="AF496" s="26">
        <f t="shared" si="122"/>
        <v>0.95024275195582131</v>
      </c>
      <c r="AG496" s="8">
        <f>IF(DASHBOARD!$Q$7&gt;'staging data'!X496,'staging data'!X496,DASHBOARD!$Q$7)</f>
        <v>0.2</v>
      </c>
      <c r="AH496">
        <f>(100%+DASHBOARD!$Q$8)*'staging data'!T496</f>
        <v>349.85300000000001</v>
      </c>
      <c r="AI496">
        <f>(100%+DASHBOARD!$Q$9)*'staging data'!Y496</f>
        <v>18</v>
      </c>
    </row>
    <row r="497" spans="1:35" x14ac:dyDescent="0.3">
      <c r="A497" s="3" t="s">
        <v>150</v>
      </c>
      <c r="B497" s="28">
        <v>45716</v>
      </c>
      <c r="C497" s="28" t="str">
        <f t="shared" si="123"/>
        <v>Q1</v>
      </c>
      <c r="D497" s="28" t="str">
        <f t="shared" si="124"/>
        <v>2024</v>
      </c>
      <c r="E497" s="28" t="str">
        <f t="shared" si="125"/>
        <v>Dec</v>
      </c>
      <c r="F497" s="5">
        <v>45640</v>
      </c>
      <c r="G497" s="5">
        <f t="shared" si="113"/>
        <v>45669</v>
      </c>
      <c r="H497" s="5">
        <v>45669</v>
      </c>
      <c r="I497" s="5" t="str">
        <f t="shared" si="126"/>
        <v>Achieved</v>
      </c>
      <c r="J497" s="14">
        <f t="shared" si="127"/>
        <v>29</v>
      </c>
      <c r="K497" s="14">
        <f t="shared" si="114"/>
        <v>29</v>
      </c>
      <c r="L497" s="3" t="s">
        <v>646</v>
      </c>
      <c r="M497" s="3" t="s">
        <v>658</v>
      </c>
      <c r="N497" s="3" t="s">
        <v>675</v>
      </c>
      <c r="O497" s="3" t="s">
        <v>701</v>
      </c>
      <c r="P497" s="3" t="s">
        <v>707</v>
      </c>
      <c r="Q497" s="3" t="s">
        <v>712</v>
      </c>
      <c r="R497" s="3" t="s">
        <v>726</v>
      </c>
      <c r="S497" s="3" t="s">
        <v>869</v>
      </c>
      <c r="T497" s="21">
        <v>1412.15</v>
      </c>
      <c r="U497" s="21" t="str">
        <f t="shared" si="128"/>
        <v>Medium</v>
      </c>
      <c r="V497">
        <f t="shared" si="115"/>
        <v>1631.04</v>
      </c>
      <c r="W497" s="7">
        <v>1631.04</v>
      </c>
      <c r="X497" s="8">
        <v>8.9999999999999993E-3</v>
      </c>
      <c r="Y497" s="14">
        <v>6</v>
      </c>
      <c r="Z497" s="7">
        <f t="shared" si="116"/>
        <v>14.679359999999999</v>
      </c>
      <c r="AA497" s="7">
        <f t="shared" si="117"/>
        <v>9698.1638399999993</v>
      </c>
      <c r="AB497" s="7">
        <f t="shared" si="118"/>
        <v>9683.4844799999992</v>
      </c>
      <c r="AC497" s="7">
        <f t="shared" si="119"/>
        <v>8472.9000000000015</v>
      </c>
      <c r="AD497" s="7">
        <f t="shared" si="120"/>
        <v>1225.2638399999978</v>
      </c>
      <c r="AE497" s="7">
        <f t="shared" si="121"/>
        <v>1210.5844799999977</v>
      </c>
      <c r="AF497" s="26">
        <f t="shared" si="122"/>
        <v>1.1446097369259636</v>
      </c>
      <c r="AG497" s="8">
        <f>IF(DASHBOARD!$Q$7&gt;'staging data'!X497,'staging data'!X497,DASHBOARD!$Q$7)</f>
        <v>8.9999999999999993E-3</v>
      </c>
      <c r="AH497">
        <f>(100%+DASHBOARD!$Q$8)*'staging data'!T497</f>
        <v>1623.9725000000001</v>
      </c>
      <c r="AI497">
        <f>(100%+DASHBOARD!$Q$9)*'staging data'!Y497</f>
        <v>7.1999999999999993</v>
      </c>
    </row>
    <row r="498" spans="1:35" x14ac:dyDescent="0.3">
      <c r="A498" s="3" t="s">
        <v>149</v>
      </c>
      <c r="B498" s="28">
        <v>45719</v>
      </c>
      <c r="C498" s="28" t="str">
        <f t="shared" si="123"/>
        <v>Q1</v>
      </c>
      <c r="D498" s="28" t="str">
        <f t="shared" si="124"/>
        <v>2023</v>
      </c>
      <c r="E498" s="28" t="str">
        <f t="shared" si="125"/>
        <v>Apr</v>
      </c>
      <c r="F498" s="5">
        <v>45028</v>
      </c>
      <c r="G498" s="5">
        <f t="shared" si="113"/>
        <v>45033</v>
      </c>
      <c r="H498" s="5">
        <v>45033</v>
      </c>
      <c r="I498" s="5" t="str">
        <f t="shared" si="126"/>
        <v>Not achieved</v>
      </c>
      <c r="J498" s="14">
        <f t="shared" si="127"/>
        <v>5</v>
      </c>
      <c r="K498" s="14">
        <f t="shared" si="114"/>
        <v>5</v>
      </c>
      <c r="L498" s="3" t="s">
        <v>648</v>
      </c>
      <c r="M498" s="3" t="s">
        <v>656</v>
      </c>
      <c r="N498" s="3" t="s">
        <v>678</v>
      </c>
      <c r="O498" s="3" t="s">
        <v>705</v>
      </c>
      <c r="P498" s="3" t="s">
        <v>710</v>
      </c>
      <c r="Q498" s="3" t="s">
        <v>717</v>
      </c>
      <c r="R498" s="3" t="s">
        <v>731</v>
      </c>
      <c r="S498" s="3" t="s">
        <v>868</v>
      </c>
      <c r="T498" s="21">
        <v>1087.81</v>
      </c>
      <c r="U498" s="21" t="str">
        <f t="shared" si="128"/>
        <v>High</v>
      </c>
      <c r="V498">
        <f t="shared" si="115"/>
        <v>2323.87</v>
      </c>
      <c r="W498" s="7">
        <v>2323.87</v>
      </c>
      <c r="X498" s="8">
        <v>9.4E-2</v>
      </c>
      <c r="Y498" s="14">
        <v>13</v>
      </c>
      <c r="Z498" s="7">
        <f t="shared" si="116"/>
        <v>218.44378</v>
      </c>
      <c r="AA498" s="7">
        <f t="shared" si="117"/>
        <v>27370.540859999997</v>
      </c>
      <c r="AB498" s="7">
        <f t="shared" si="118"/>
        <v>27152.097079999996</v>
      </c>
      <c r="AC498" s="7">
        <f t="shared" si="119"/>
        <v>14141.529999999999</v>
      </c>
      <c r="AD498" s="7">
        <f t="shared" si="120"/>
        <v>13229.010859999999</v>
      </c>
      <c r="AE498" s="7">
        <f t="shared" si="121"/>
        <v>13010.567079999997</v>
      </c>
      <c r="AF498" s="26">
        <f t="shared" si="122"/>
        <v>1.9354723894797805</v>
      </c>
      <c r="AG498" s="8">
        <f>IF(DASHBOARD!$Q$7&gt;'staging data'!X498,'staging data'!X498,DASHBOARD!$Q$7)</f>
        <v>9.4E-2</v>
      </c>
      <c r="AH498">
        <f>(100%+DASHBOARD!$Q$8)*'staging data'!T498</f>
        <v>1250.9814999999999</v>
      </c>
      <c r="AI498">
        <f>(100%+DASHBOARD!$Q$9)*'staging data'!Y498</f>
        <v>15.6</v>
      </c>
    </row>
    <row r="499" spans="1:35" x14ac:dyDescent="0.3">
      <c r="A499" s="3" t="s">
        <v>148</v>
      </c>
      <c r="B499" s="28">
        <v>45722</v>
      </c>
      <c r="C499" s="28" t="str">
        <f t="shared" si="123"/>
        <v>Q1</v>
      </c>
      <c r="D499" s="28" t="str">
        <f t="shared" si="124"/>
        <v>2024</v>
      </c>
      <c r="E499" s="28" t="str">
        <f t="shared" si="125"/>
        <v>Dec</v>
      </c>
      <c r="F499" s="5">
        <v>45647</v>
      </c>
      <c r="G499" s="5">
        <f t="shared" si="113"/>
        <v>45652</v>
      </c>
      <c r="H499" s="5">
        <v>45652</v>
      </c>
      <c r="I499" s="5" t="str">
        <f t="shared" si="126"/>
        <v>Not achieved</v>
      </c>
      <c r="J499" s="14">
        <f t="shared" si="127"/>
        <v>5</v>
      </c>
      <c r="K499" s="14">
        <f t="shared" si="114"/>
        <v>5</v>
      </c>
      <c r="L499" s="3" t="s">
        <v>647</v>
      </c>
      <c r="M499" s="3" t="s">
        <v>659</v>
      </c>
      <c r="N499" s="3" t="s">
        <v>685</v>
      </c>
      <c r="O499" s="3" t="s">
        <v>703</v>
      </c>
      <c r="P499" s="3" t="s">
        <v>708</v>
      </c>
      <c r="Q499" s="3" t="s">
        <v>723</v>
      </c>
      <c r="R499" s="3" t="s">
        <v>727</v>
      </c>
      <c r="S499" s="3" t="s">
        <v>867</v>
      </c>
      <c r="T499" s="21">
        <v>699.57</v>
      </c>
      <c r="U499" s="21" t="str">
        <f t="shared" si="128"/>
        <v>Medium</v>
      </c>
      <c r="V499">
        <f t="shared" si="115"/>
        <v>572.71</v>
      </c>
      <c r="W499" s="7">
        <v>572.71</v>
      </c>
      <c r="X499" s="8">
        <v>0.192</v>
      </c>
      <c r="Y499" s="14">
        <v>26</v>
      </c>
      <c r="Z499" s="7">
        <f t="shared" si="116"/>
        <v>109.96032000000001</v>
      </c>
      <c r="AA499" s="7">
        <f t="shared" si="117"/>
        <v>12031.491680000001</v>
      </c>
      <c r="AB499" s="7">
        <f t="shared" si="118"/>
        <v>11921.531360000001</v>
      </c>
      <c r="AC499" s="7">
        <f t="shared" si="119"/>
        <v>18188.82</v>
      </c>
      <c r="AD499" s="7">
        <f t="shared" si="120"/>
        <v>-6157.3283199999987</v>
      </c>
      <c r="AE499" s="7">
        <f t="shared" si="121"/>
        <v>-6267.2886399999988</v>
      </c>
      <c r="AF499" s="26">
        <f t="shared" si="122"/>
        <v>0.66147730748888611</v>
      </c>
      <c r="AG499" s="8">
        <f>IF(DASHBOARD!$Q$7&gt;'staging data'!X499,'staging data'!X499,DASHBOARD!$Q$7)</f>
        <v>0.192</v>
      </c>
      <c r="AH499">
        <f>(100%+DASHBOARD!$Q$8)*'staging data'!T499</f>
        <v>804.50549999999998</v>
      </c>
      <c r="AI499">
        <f>(100%+DASHBOARD!$Q$9)*'staging data'!Y499</f>
        <v>31.2</v>
      </c>
    </row>
    <row r="500" spans="1:35" x14ac:dyDescent="0.3">
      <c r="A500" s="3" t="s">
        <v>147</v>
      </c>
      <c r="B500" s="28">
        <v>45724</v>
      </c>
      <c r="C500" s="28" t="str">
        <f t="shared" si="123"/>
        <v>Q1</v>
      </c>
      <c r="D500" s="28" t="str">
        <f t="shared" si="124"/>
        <v>2025</v>
      </c>
      <c r="E500" s="28" t="str">
        <f t="shared" si="125"/>
        <v>Jan</v>
      </c>
      <c r="F500" s="5">
        <v>45666</v>
      </c>
      <c r="G500" s="5">
        <f t="shared" si="113"/>
        <v>45672</v>
      </c>
      <c r="H500" s="5">
        <v>45672</v>
      </c>
      <c r="I500" s="5" t="str">
        <f t="shared" si="126"/>
        <v>Not achieved</v>
      </c>
      <c r="J500" s="14">
        <f t="shared" si="127"/>
        <v>6</v>
      </c>
      <c r="K500" s="14">
        <f t="shared" si="114"/>
        <v>6</v>
      </c>
      <c r="L500" s="3" t="s">
        <v>646</v>
      </c>
      <c r="M500" s="3" t="s">
        <v>658</v>
      </c>
      <c r="N500" s="3" t="s">
        <v>698</v>
      </c>
      <c r="O500" s="3" t="s">
        <v>701</v>
      </c>
      <c r="P500" s="3" t="s">
        <v>707</v>
      </c>
      <c r="Q500" s="3" t="s">
        <v>711</v>
      </c>
      <c r="R500" s="3" t="s">
        <v>729</v>
      </c>
      <c r="S500" s="3" t="s">
        <v>866</v>
      </c>
      <c r="T500" s="21">
        <v>304.77999999999997</v>
      </c>
      <c r="U500" s="21" t="str">
        <f t="shared" si="128"/>
        <v>Low</v>
      </c>
      <c r="V500">
        <f t="shared" si="115"/>
        <v>537.27</v>
      </c>
      <c r="W500" s="7">
        <v>537.27</v>
      </c>
      <c r="X500" s="8">
        <v>0.187</v>
      </c>
      <c r="Y500" s="14">
        <v>8</v>
      </c>
      <c r="Z500" s="7">
        <f t="shared" si="116"/>
        <v>100.46948999999999</v>
      </c>
      <c r="AA500" s="7">
        <f t="shared" si="117"/>
        <v>3494.4040799999998</v>
      </c>
      <c r="AB500" s="7">
        <f t="shared" si="118"/>
        <v>3393.9345899999998</v>
      </c>
      <c r="AC500" s="7">
        <f t="shared" si="119"/>
        <v>2438.2399999999998</v>
      </c>
      <c r="AD500" s="7">
        <f t="shared" si="120"/>
        <v>1056.16408</v>
      </c>
      <c r="AE500" s="7">
        <f t="shared" si="121"/>
        <v>955.69459000000006</v>
      </c>
      <c r="AF500" s="26">
        <f t="shared" si="122"/>
        <v>1.4331665791718617</v>
      </c>
      <c r="AG500" s="8">
        <f>IF(DASHBOARD!$Q$7&gt;'staging data'!X500,'staging data'!X500,DASHBOARD!$Q$7)</f>
        <v>0.187</v>
      </c>
      <c r="AH500">
        <f>(100%+DASHBOARD!$Q$8)*'staging data'!T500</f>
        <v>350.49699999999996</v>
      </c>
      <c r="AI500">
        <f>(100%+DASHBOARD!$Q$9)*'staging data'!Y500</f>
        <v>9.6</v>
      </c>
    </row>
    <row r="501" spans="1:35" x14ac:dyDescent="0.3">
      <c r="A501" s="3" t="s">
        <v>145</v>
      </c>
      <c r="B501" s="28">
        <v>45726</v>
      </c>
      <c r="C501" s="28" t="str">
        <f t="shared" si="123"/>
        <v>Q1</v>
      </c>
      <c r="D501" s="28" t="str">
        <f t="shared" si="124"/>
        <v>2025</v>
      </c>
      <c r="E501" s="28" t="str">
        <f t="shared" si="125"/>
        <v>Mar</v>
      </c>
      <c r="F501" s="5">
        <v>45719</v>
      </c>
      <c r="G501" s="5">
        <f t="shared" si="113"/>
        <v>45740</v>
      </c>
      <c r="H501" s="5">
        <v>45740</v>
      </c>
      <c r="I501" s="5" t="str">
        <f t="shared" si="126"/>
        <v>Achieved</v>
      </c>
      <c r="J501" s="14">
        <f t="shared" si="127"/>
        <v>21</v>
      </c>
      <c r="K501" s="14">
        <f t="shared" si="114"/>
        <v>21</v>
      </c>
      <c r="L501" s="3" t="s">
        <v>645</v>
      </c>
      <c r="M501" s="3" t="s">
        <v>650</v>
      </c>
      <c r="N501" s="3" t="s">
        <v>668</v>
      </c>
      <c r="O501" s="3" t="s">
        <v>705</v>
      </c>
      <c r="P501" s="3" t="s">
        <v>710</v>
      </c>
      <c r="Q501" s="3" t="s">
        <v>721</v>
      </c>
      <c r="R501" s="3" t="s">
        <v>732</v>
      </c>
      <c r="S501" s="3" t="s">
        <v>864</v>
      </c>
      <c r="T501" s="21">
        <v>555.95000000000005</v>
      </c>
      <c r="U501" s="21" t="str">
        <f t="shared" si="128"/>
        <v>Low</v>
      </c>
      <c r="V501">
        <f t="shared" si="115"/>
        <v>468.09</v>
      </c>
      <c r="W501" s="7">
        <v>468.09</v>
      </c>
      <c r="X501" s="8">
        <v>0.14199999999999999</v>
      </c>
      <c r="Y501" s="14">
        <v>11</v>
      </c>
      <c r="Z501" s="7">
        <f t="shared" si="116"/>
        <v>66.468779999999995</v>
      </c>
      <c r="AA501" s="7">
        <f t="shared" si="117"/>
        <v>4417.8334199999999</v>
      </c>
      <c r="AB501" s="7">
        <f t="shared" si="118"/>
        <v>4351.3646399999998</v>
      </c>
      <c r="AC501" s="7">
        <f t="shared" si="119"/>
        <v>6115.4500000000007</v>
      </c>
      <c r="AD501" s="7">
        <f t="shared" si="120"/>
        <v>-1697.6165800000008</v>
      </c>
      <c r="AE501" s="7">
        <f t="shared" si="121"/>
        <v>-1764.0853600000009</v>
      </c>
      <c r="AF501" s="26">
        <f t="shared" si="122"/>
        <v>0.72240528824534567</v>
      </c>
      <c r="AG501" s="8">
        <f>IF(DASHBOARD!$Q$7&gt;'staging data'!X501,'staging data'!X501,DASHBOARD!$Q$7)</f>
        <v>0.14199999999999999</v>
      </c>
      <c r="AH501">
        <f>(100%+DASHBOARD!$Q$8)*'staging data'!T501</f>
        <v>639.34249999999997</v>
      </c>
      <c r="AI501">
        <f>(100%+DASHBOARD!$Q$9)*'staging data'!Y501</f>
        <v>13.2</v>
      </c>
    </row>
    <row r="502" spans="1:35" x14ac:dyDescent="0.3">
      <c r="A502" s="3" t="s">
        <v>146</v>
      </c>
      <c r="B502" s="28">
        <v>45726</v>
      </c>
      <c r="C502" s="28" t="str">
        <f t="shared" si="123"/>
        <v>Q1</v>
      </c>
      <c r="D502" s="28" t="str">
        <f t="shared" si="124"/>
        <v>2023</v>
      </c>
      <c r="E502" s="28" t="str">
        <f t="shared" si="125"/>
        <v>Jan</v>
      </c>
      <c r="F502" s="5">
        <v>44953</v>
      </c>
      <c r="G502" s="5">
        <f t="shared" si="113"/>
        <v>44957</v>
      </c>
      <c r="H502" s="5">
        <v>44957</v>
      </c>
      <c r="I502" s="5" t="str">
        <f t="shared" si="126"/>
        <v>Not achieved</v>
      </c>
      <c r="J502" s="14">
        <f t="shared" si="127"/>
        <v>4</v>
      </c>
      <c r="K502" s="14">
        <f t="shared" si="114"/>
        <v>4</v>
      </c>
      <c r="L502" s="3" t="s">
        <v>648</v>
      </c>
      <c r="M502" s="3" t="s">
        <v>657</v>
      </c>
      <c r="N502" s="3" t="s">
        <v>692</v>
      </c>
      <c r="O502" s="3" t="s">
        <v>705</v>
      </c>
      <c r="P502" s="3" t="s">
        <v>707</v>
      </c>
      <c r="Q502" s="3" t="s">
        <v>724</v>
      </c>
      <c r="R502" s="3" t="s">
        <v>730</v>
      </c>
      <c r="S502" s="3" t="s">
        <v>865</v>
      </c>
      <c r="T502" s="21">
        <v>941.2</v>
      </c>
      <c r="U502" s="21" t="str">
        <f t="shared" si="128"/>
        <v>Medium</v>
      </c>
      <c r="V502">
        <f t="shared" si="115"/>
        <v>668.02</v>
      </c>
      <c r="W502" s="7">
        <v>668.02</v>
      </c>
      <c r="X502" s="8">
        <v>0.22</v>
      </c>
      <c r="Y502" s="14">
        <v>16</v>
      </c>
      <c r="Z502" s="7">
        <f t="shared" si="116"/>
        <v>146.96439999999998</v>
      </c>
      <c r="AA502" s="7">
        <f t="shared" si="117"/>
        <v>8336.8896000000004</v>
      </c>
      <c r="AB502" s="7">
        <f t="shared" si="118"/>
        <v>8189.9252000000006</v>
      </c>
      <c r="AC502" s="7">
        <f t="shared" si="119"/>
        <v>15059.2</v>
      </c>
      <c r="AD502" s="7">
        <f t="shared" si="120"/>
        <v>-6722.3104000000003</v>
      </c>
      <c r="AE502" s="7">
        <f t="shared" si="121"/>
        <v>-6869.2748000000001</v>
      </c>
      <c r="AF502" s="26">
        <f t="shared" si="122"/>
        <v>0.55360773480662984</v>
      </c>
      <c r="AG502" s="8">
        <f>IF(DASHBOARD!$Q$7&gt;'staging data'!X502,'staging data'!X502,DASHBOARD!$Q$7)</f>
        <v>0.2</v>
      </c>
      <c r="AH502">
        <f>(100%+DASHBOARD!$Q$8)*'staging data'!T502</f>
        <v>1082.3799999999999</v>
      </c>
      <c r="AI502">
        <f>(100%+DASHBOARD!$Q$9)*'staging data'!Y502</f>
        <v>19.2</v>
      </c>
    </row>
    <row r="503" spans="1:35" x14ac:dyDescent="0.3">
      <c r="A503" s="3" t="s">
        <v>143</v>
      </c>
      <c r="B503" s="28">
        <v>45727</v>
      </c>
      <c r="C503" s="28" t="str">
        <f t="shared" si="123"/>
        <v>Q1</v>
      </c>
      <c r="D503" s="28" t="str">
        <f t="shared" si="124"/>
        <v>2023</v>
      </c>
      <c r="E503" s="28" t="str">
        <f t="shared" si="125"/>
        <v>Jan</v>
      </c>
      <c r="F503" s="5">
        <v>44948</v>
      </c>
      <c r="G503" s="5">
        <f t="shared" si="113"/>
        <v>44956</v>
      </c>
      <c r="H503" s="5">
        <v>44956</v>
      </c>
      <c r="I503" s="5" t="str">
        <f t="shared" si="126"/>
        <v>Achieved</v>
      </c>
      <c r="J503" s="14">
        <f t="shared" si="127"/>
        <v>8</v>
      </c>
      <c r="K503" s="14">
        <f t="shared" si="114"/>
        <v>8</v>
      </c>
      <c r="L503" s="3" t="s">
        <v>647</v>
      </c>
      <c r="M503" s="3" t="s">
        <v>659</v>
      </c>
      <c r="N503" s="3" t="s">
        <v>685</v>
      </c>
      <c r="O503" s="3" t="s">
        <v>704</v>
      </c>
      <c r="P503" s="3" t="s">
        <v>707</v>
      </c>
      <c r="Q503" s="3" t="s">
        <v>719</v>
      </c>
      <c r="R503" s="3" t="s">
        <v>728</v>
      </c>
      <c r="S503" s="3" t="s">
        <v>862</v>
      </c>
      <c r="T503" s="21">
        <v>413.52</v>
      </c>
      <c r="U503" s="21" t="str">
        <f t="shared" si="128"/>
        <v>Medium</v>
      </c>
      <c r="V503">
        <f t="shared" si="115"/>
        <v>1004.34</v>
      </c>
      <c r="W503" s="7">
        <v>1004.34</v>
      </c>
      <c r="X503" s="8">
        <v>0.111</v>
      </c>
      <c r="Y503" s="14">
        <v>18</v>
      </c>
      <c r="Z503" s="7">
        <f t="shared" si="116"/>
        <v>111.48174</v>
      </c>
      <c r="AA503" s="7">
        <f t="shared" si="117"/>
        <v>16071.44868</v>
      </c>
      <c r="AB503" s="7">
        <f t="shared" si="118"/>
        <v>15959.96694</v>
      </c>
      <c r="AC503" s="7">
        <f t="shared" si="119"/>
        <v>7443.36</v>
      </c>
      <c r="AD503" s="7">
        <f t="shared" si="120"/>
        <v>8628.0886800000007</v>
      </c>
      <c r="AE503" s="7">
        <f t="shared" si="121"/>
        <v>8516.6069400000015</v>
      </c>
      <c r="AF503" s="26">
        <f t="shared" si="122"/>
        <v>2.1591658444573421</v>
      </c>
      <c r="AG503" s="8">
        <f>IF(DASHBOARD!$Q$7&gt;'staging data'!X503,'staging data'!X503,DASHBOARD!$Q$7)</f>
        <v>0.111</v>
      </c>
      <c r="AH503">
        <f>(100%+DASHBOARD!$Q$8)*'staging data'!T503</f>
        <v>475.54799999999994</v>
      </c>
      <c r="AI503">
        <f>(100%+DASHBOARD!$Q$9)*'staging data'!Y503</f>
        <v>21.599999999999998</v>
      </c>
    </row>
    <row r="504" spans="1:35" x14ac:dyDescent="0.3">
      <c r="A504" s="3" t="s">
        <v>144</v>
      </c>
      <c r="B504" s="28">
        <v>45727</v>
      </c>
      <c r="C504" s="28" t="str">
        <f t="shared" si="123"/>
        <v>Q1</v>
      </c>
      <c r="D504" s="28" t="str">
        <f t="shared" si="124"/>
        <v>2025</v>
      </c>
      <c r="E504" s="28" t="str">
        <f t="shared" si="125"/>
        <v>Feb</v>
      </c>
      <c r="F504" s="5">
        <v>45700</v>
      </c>
      <c r="G504" s="5">
        <f t="shared" si="113"/>
        <v>45716</v>
      </c>
      <c r="H504" s="5">
        <v>45716</v>
      </c>
      <c r="I504" s="5" t="str">
        <f t="shared" si="126"/>
        <v>Achieved</v>
      </c>
      <c r="J504" s="14">
        <f t="shared" si="127"/>
        <v>16</v>
      </c>
      <c r="K504" s="14">
        <f t="shared" si="114"/>
        <v>16</v>
      </c>
      <c r="L504" s="3" t="s">
        <v>647</v>
      </c>
      <c r="M504" s="3" t="s">
        <v>654</v>
      </c>
      <c r="N504" s="3" t="s">
        <v>669</v>
      </c>
      <c r="O504" s="3" t="s">
        <v>702</v>
      </c>
      <c r="P504" s="3" t="s">
        <v>710</v>
      </c>
      <c r="Q504" s="3" t="s">
        <v>716</v>
      </c>
      <c r="R504" s="3" t="s">
        <v>731</v>
      </c>
      <c r="S504" s="3" t="s">
        <v>863</v>
      </c>
      <c r="T504" s="21">
        <v>414.95</v>
      </c>
      <c r="U504" s="21" t="str">
        <f t="shared" si="128"/>
        <v>Medium</v>
      </c>
      <c r="V504">
        <f t="shared" si="115"/>
        <v>1027.73</v>
      </c>
      <c r="W504" s="7">
        <v>1027.73</v>
      </c>
      <c r="X504" s="8">
        <v>6.3E-2</v>
      </c>
      <c r="Y504" s="14">
        <v>8</v>
      </c>
      <c r="Z504" s="7">
        <f t="shared" si="116"/>
        <v>64.746989999999997</v>
      </c>
      <c r="AA504" s="7">
        <f t="shared" si="117"/>
        <v>7703.8640800000003</v>
      </c>
      <c r="AB504" s="7">
        <f t="shared" si="118"/>
        <v>7639.1170900000006</v>
      </c>
      <c r="AC504" s="7">
        <f t="shared" si="119"/>
        <v>3319.6</v>
      </c>
      <c r="AD504" s="7">
        <f t="shared" si="120"/>
        <v>4384.2640800000008</v>
      </c>
      <c r="AE504" s="7">
        <f t="shared" si="121"/>
        <v>4319.5170900000012</v>
      </c>
      <c r="AF504" s="26">
        <f t="shared" si="122"/>
        <v>2.3207205928425112</v>
      </c>
      <c r="AG504" s="8">
        <f>IF(DASHBOARD!$Q$7&gt;'staging data'!X504,'staging data'!X504,DASHBOARD!$Q$7)</f>
        <v>6.3E-2</v>
      </c>
      <c r="AH504">
        <f>(100%+DASHBOARD!$Q$8)*'staging data'!T504</f>
        <v>477.19249999999994</v>
      </c>
      <c r="AI504">
        <f>(100%+DASHBOARD!$Q$9)*'staging data'!Y504</f>
        <v>9.6</v>
      </c>
    </row>
    <row r="505" spans="1:35" x14ac:dyDescent="0.3">
      <c r="A505" s="3" t="s">
        <v>141</v>
      </c>
      <c r="B505" s="28">
        <v>45730</v>
      </c>
      <c r="C505" s="28" t="str">
        <f t="shared" si="123"/>
        <v>Q1</v>
      </c>
      <c r="D505" s="28" t="str">
        <f t="shared" si="124"/>
        <v>2025</v>
      </c>
      <c r="E505" s="28" t="str">
        <f t="shared" si="125"/>
        <v>Aug</v>
      </c>
      <c r="F505" s="5">
        <v>45874</v>
      </c>
      <c r="G505" s="5">
        <f t="shared" si="113"/>
        <v>45883</v>
      </c>
      <c r="H505" s="5">
        <v>45883</v>
      </c>
      <c r="I505" s="5" t="str">
        <f t="shared" si="126"/>
        <v>Achieved</v>
      </c>
      <c r="J505" s="14">
        <f t="shared" si="127"/>
        <v>9</v>
      </c>
      <c r="K505" s="14">
        <f t="shared" si="114"/>
        <v>9</v>
      </c>
      <c r="L505" s="3" t="s">
        <v>648</v>
      </c>
      <c r="M505" s="3" t="s">
        <v>657</v>
      </c>
      <c r="N505" s="3" t="s">
        <v>682</v>
      </c>
      <c r="O505" s="3" t="s">
        <v>702</v>
      </c>
      <c r="P505" s="3" t="s">
        <v>710</v>
      </c>
      <c r="Q505" s="3" t="s">
        <v>717</v>
      </c>
      <c r="R505" s="3" t="s">
        <v>726</v>
      </c>
      <c r="S505" s="3" t="s">
        <v>860</v>
      </c>
      <c r="T505" s="21">
        <v>41.76</v>
      </c>
      <c r="U505" s="21" t="str">
        <f t="shared" si="128"/>
        <v>Low</v>
      </c>
      <c r="V505">
        <f t="shared" si="115"/>
        <v>45.19</v>
      </c>
      <c r="W505" s="7">
        <v>45.19</v>
      </c>
      <c r="X505" s="8">
        <v>0.17899999999999999</v>
      </c>
      <c r="Y505" s="14">
        <v>23</v>
      </c>
      <c r="Z505" s="7">
        <f t="shared" si="116"/>
        <v>8.08901</v>
      </c>
      <c r="AA505" s="7">
        <f t="shared" si="117"/>
        <v>853.32276999999988</v>
      </c>
      <c r="AB505" s="7">
        <f t="shared" si="118"/>
        <v>845.23375999999985</v>
      </c>
      <c r="AC505" s="7">
        <f t="shared" si="119"/>
        <v>960.4799999999999</v>
      </c>
      <c r="AD505" s="7">
        <f t="shared" si="120"/>
        <v>-107.15723000000003</v>
      </c>
      <c r="AE505" s="7">
        <f t="shared" si="121"/>
        <v>-115.24624000000006</v>
      </c>
      <c r="AF505" s="26">
        <f t="shared" si="122"/>
        <v>0.88843366858237549</v>
      </c>
      <c r="AG505" s="8">
        <f>IF(DASHBOARD!$Q$7&gt;'staging data'!X505,'staging data'!X505,DASHBOARD!$Q$7)</f>
        <v>0.17899999999999999</v>
      </c>
      <c r="AH505">
        <f>(100%+DASHBOARD!$Q$8)*'staging data'!T505</f>
        <v>48.023999999999994</v>
      </c>
      <c r="AI505">
        <f>(100%+DASHBOARD!$Q$9)*'staging data'!Y505</f>
        <v>27.599999999999998</v>
      </c>
    </row>
    <row r="506" spans="1:35" x14ac:dyDescent="0.3">
      <c r="A506" s="3" t="s">
        <v>142</v>
      </c>
      <c r="B506" s="28">
        <v>45730</v>
      </c>
      <c r="C506" s="28" t="str">
        <f t="shared" si="123"/>
        <v>Q1</v>
      </c>
      <c r="D506" s="28" t="str">
        <f t="shared" si="124"/>
        <v>2024</v>
      </c>
      <c r="E506" s="28" t="str">
        <f t="shared" si="125"/>
        <v>May</v>
      </c>
      <c r="F506" s="5">
        <v>45442</v>
      </c>
      <c r="G506" s="5">
        <f t="shared" si="113"/>
        <v>45456</v>
      </c>
      <c r="H506" s="5">
        <v>45456</v>
      </c>
      <c r="I506" s="5" t="str">
        <f t="shared" si="126"/>
        <v>Achieved</v>
      </c>
      <c r="J506" s="14">
        <f t="shared" si="127"/>
        <v>14</v>
      </c>
      <c r="K506" s="14">
        <f t="shared" si="114"/>
        <v>14</v>
      </c>
      <c r="L506" s="3" t="s">
        <v>647</v>
      </c>
      <c r="M506" s="3" t="s">
        <v>659</v>
      </c>
      <c r="N506" s="3" t="s">
        <v>685</v>
      </c>
      <c r="O506" s="3" t="s">
        <v>704</v>
      </c>
      <c r="P506" s="3" t="s">
        <v>706</v>
      </c>
      <c r="Q506" s="3" t="s">
        <v>720</v>
      </c>
      <c r="R506" s="3" t="s">
        <v>729</v>
      </c>
      <c r="S506" s="3" t="s">
        <v>861</v>
      </c>
      <c r="T506" s="21">
        <v>157.78</v>
      </c>
      <c r="U506" s="21" t="str">
        <f t="shared" si="128"/>
        <v>Low</v>
      </c>
      <c r="V506">
        <f t="shared" si="115"/>
        <v>361.1</v>
      </c>
      <c r="W506" s="7">
        <v>361.1</v>
      </c>
      <c r="X506" s="8">
        <v>0.187</v>
      </c>
      <c r="Y506" s="14">
        <v>9</v>
      </c>
      <c r="Z506" s="7">
        <f t="shared" si="116"/>
        <v>67.525700000000001</v>
      </c>
      <c r="AA506" s="7">
        <f t="shared" si="117"/>
        <v>2642.1686999999997</v>
      </c>
      <c r="AB506" s="7">
        <f t="shared" si="118"/>
        <v>2574.6429999999996</v>
      </c>
      <c r="AC506" s="7">
        <f t="shared" si="119"/>
        <v>1420.02</v>
      </c>
      <c r="AD506" s="7">
        <f t="shared" si="120"/>
        <v>1222.1486999999997</v>
      </c>
      <c r="AE506" s="7">
        <f t="shared" si="121"/>
        <v>1154.6229999999996</v>
      </c>
      <c r="AF506" s="26">
        <f t="shared" si="122"/>
        <v>1.8606559766763846</v>
      </c>
      <c r="AG506" s="8">
        <f>IF(DASHBOARD!$Q$7&gt;'staging data'!X506,'staging data'!X506,DASHBOARD!$Q$7)</f>
        <v>0.187</v>
      </c>
      <c r="AH506">
        <f>(100%+DASHBOARD!$Q$8)*'staging data'!T506</f>
        <v>181.44699999999997</v>
      </c>
      <c r="AI506">
        <f>(100%+DASHBOARD!$Q$9)*'staging data'!Y506</f>
        <v>10.799999999999999</v>
      </c>
    </row>
    <row r="507" spans="1:35" x14ac:dyDescent="0.3">
      <c r="A507" s="3" t="s">
        <v>140</v>
      </c>
      <c r="B507" s="28">
        <v>45731</v>
      </c>
      <c r="C507" s="28" t="str">
        <f t="shared" si="123"/>
        <v>Q1</v>
      </c>
      <c r="D507" s="28" t="str">
        <f t="shared" si="124"/>
        <v>2024</v>
      </c>
      <c r="E507" s="28" t="str">
        <f t="shared" si="125"/>
        <v>Jun</v>
      </c>
      <c r="F507" s="5">
        <v>45450</v>
      </c>
      <c r="G507" s="5">
        <f t="shared" si="113"/>
        <v>45469</v>
      </c>
      <c r="H507" s="5">
        <v>45469</v>
      </c>
      <c r="I507" s="5" t="str">
        <f t="shared" si="126"/>
        <v>Achieved</v>
      </c>
      <c r="J507" s="14">
        <f t="shared" si="127"/>
        <v>19</v>
      </c>
      <c r="K507" s="14">
        <f t="shared" si="114"/>
        <v>19</v>
      </c>
      <c r="L507" s="3" t="s">
        <v>648</v>
      </c>
      <c r="M507" s="3" t="s">
        <v>655</v>
      </c>
      <c r="N507" s="3" t="s">
        <v>670</v>
      </c>
      <c r="O507" s="3" t="s">
        <v>702</v>
      </c>
      <c r="P507" s="3" t="s">
        <v>708</v>
      </c>
      <c r="Q507" s="3" t="s">
        <v>723</v>
      </c>
      <c r="R507" s="3" t="s">
        <v>726</v>
      </c>
      <c r="S507" s="3" t="s">
        <v>859</v>
      </c>
      <c r="T507" s="21">
        <v>1064.32</v>
      </c>
      <c r="U507" s="21" t="str">
        <f t="shared" si="128"/>
        <v>Medium</v>
      </c>
      <c r="V507">
        <f t="shared" si="115"/>
        <v>1848.39</v>
      </c>
      <c r="W507" s="7">
        <v>1848.39</v>
      </c>
      <c r="X507" s="8">
        <v>7.2999999999999995E-2</v>
      </c>
      <c r="Y507" s="14">
        <v>38</v>
      </c>
      <c r="Z507" s="7">
        <f t="shared" si="116"/>
        <v>134.93247</v>
      </c>
      <c r="AA507" s="7">
        <f t="shared" si="117"/>
        <v>65111.38614000001</v>
      </c>
      <c r="AB507" s="7">
        <f t="shared" si="118"/>
        <v>64976.45367000001</v>
      </c>
      <c r="AC507" s="7">
        <f t="shared" si="119"/>
        <v>40444.159999999996</v>
      </c>
      <c r="AD507" s="7">
        <f t="shared" si="120"/>
        <v>24667.226140000013</v>
      </c>
      <c r="AE507" s="7">
        <f t="shared" si="121"/>
        <v>24532.293670000014</v>
      </c>
      <c r="AF507" s="26">
        <f t="shared" si="122"/>
        <v>1.6099082324864706</v>
      </c>
      <c r="AG507" s="8">
        <f>IF(DASHBOARD!$Q$7&gt;'staging data'!X507,'staging data'!X507,DASHBOARD!$Q$7)</f>
        <v>7.2999999999999995E-2</v>
      </c>
      <c r="AH507">
        <f>(100%+DASHBOARD!$Q$8)*'staging data'!T507</f>
        <v>1223.9679999999998</v>
      </c>
      <c r="AI507">
        <f>(100%+DASHBOARD!$Q$9)*'staging data'!Y507</f>
        <v>45.6</v>
      </c>
    </row>
    <row r="508" spans="1:35" x14ac:dyDescent="0.3">
      <c r="A508" s="3" t="s">
        <v>139</v>
      </c>
      <c r="B508" s="28">
        <v>45737</v>
      </c>
      <c r="C508" s="28" t="str">
        <f t="shared" si="123"/>
        <v>Q1</v>
      </c>
      <c r="D508" s="28" t="str">
        <f t="shared" si="124"/>
        <v>2023</v>
      </c>
      <c r="E508" s="28" t="str">
        <f t="shared" si="125"/>
        <v>Aug</v>
      </c>
      <c r="F508" s="5">
        <v>45150</v>
      </c>
      <c r="G508" s="5">
        <f t="shared" si="113"/>
        <v>45175</v>
      </c>
      <c r="H508" s="5">
        <v>45175</v>
      </c>
      <c r="I508" s="5" t="str">
        <f t="shared" si="126"/>
        <v>Achieved</v>
      </c>
      <c r="J508" s="14">
        <f t="shared" si="127"/>
        <v>25</v>
      </c>
      <c r="K508" s="14">
        <f t="shared" si="114"/>
        <v>25</v>
      </c>
      <c r="L508" s="3" t="s">
        <v>646</v>
      </c>
      <c r="M508" s="3" t="s">
        <v>658</v>
      </c>
      <c r="N508" s="3" t="s">
        <v>684</v>
      </c>
      <c r="O508" s="3" t="s">
        <v>704</v>
      </c>
      <c r="P508" s="3" t="s">
        <v>706</v>
      </c>
      <c r="Q508" s="3" t="s">
        <v>716</v>
      </c>
      <c r="R508" s="3" t="s">
        <v>726</v>
      </c>
      <c r="S508" s="3" t="s">
        <v>858</v>
      </c>
      <c r="T508" s="21">
        <v>950.77</v>
      </c>
      <c r="U508" s="21" t="str">
        <f t="shared" si="128"/>
        <v>Medium</v>
      </c>
      <c r="V508">
        <f t="shared" si="115"/>
        <v>694.78</v>
      </c>
      <c r="W508" s="7">
        <v>694.78</v>
      </c>
      <c r="X508" s="8">
        <v>8.4000000000000005E-2</v>
      </c>
      <c r="Y508" s="14">
        <v>14</v>
      </c>
      <c r="Z508" s="7">
        <f t="shared" si="116"/>
        <v>58.361519999999999</v>
      </c>
      <c r="AA508" s="7">
        <f t="shared" si="117"/>
        <v>8909.8587200000002</v>
      </c>
      <c r="AB508" s="7">
        <f t="shared" si="118"/>
        <v>8851.4971999999998</v>
      </c>
      <c r="AC508" s="7">
        <f t="shared" si="119"/>
        <v>13310.779999999999</v>
      </c>
      <c r="AD508" s="7">
        <f t="shared" si="120"/>
        <v>-4400.9212799999987</v>
      </c>
      <c r="AE508" s="7">
        <f t="shared" si="121"/>
        <v>-4459.282799999999</v>
      </c>
      <c r="AF508" s="26">
        <f t="shared" si="122"/>
        <v>0.669371646139445</v>
      </c>
      <c r="AG508" s="8">
        <f>IF(DASHBOARD!$Q$7&gt;'staging data'!X508,'staging data'!X508,DASHBOARD!$Q$7)</f>
        <v>8.4000000000000005E-2</v>
      </c>
      <c r="AH508">
        <f>(100%+DASHBOARD!$Q$8)*'staging data'!T508</f>
        <v>1093.3854999999999</v>
      </c>
      <c r="AI508">
        <f>(100%+DASHBOARD!$Q$9)*'staging data'!Y508</f>
        <v>16.8</v>
      </c>
    </row>
    <row r="509" spans="1:35" x14ac:dyDescent="0.3">
      <c r="A509" s="3" t="s">
        <v>138</v>
      </c>
      <c r="B509" s="28">
        <v>45739</v>
      </c>
      <c r="C509" s="28" t="str">
        <f t="shared" si="123"/>
        <v>Q1</v>
      </c>
      <c r="D509" s="28" t="str">
        <f t="shared" si="124"/>
        <v>2023</v>
      </c>
      <c r="E509" s="28" t="str">
        <f t="shared" si="125"/>
        <v>Aug</v>
      </c>
      <c r="F509" s="5">
        <v>45159</v>
      </c>
      <c r="G509" s="5">
        <f t="shared" si="113"/>
        <v>45173</v>
      </c>
      <c r="H509" s="5">
        <v>45173</v>
      </c>
      <c r="I509" s="5" t="str">
        <f t="shared" si="126"/>
        <v>Achieved</v>
      </c>
      <c r="J509" s="14">
        <f t="shared" si="127"/>
        <v>14</v>
      </c>
      <c r="K509" s="14">
        <f t="shared" si="114"/>
        <v>14</v>
      </c>
      <c r="L509" s="3" t="s">
        <v>647</v>
      </c>
      <c r="M509" s="3" t="s">
        <v>652</v>
      </c>
      <c r="N509" s="3" t="s">
        <v>680</v>
      </c>
      <c r="O509" s="3" t="s">
        <v>701</v>
      </c>
      <c r="P509" s="3" t="s">
        <v>709</v>
      </c>
      <c r="Q509" s="3" t="s">
        <v>720</v>
      </c>
      <c r="R509" s="3" t="s">
        <v>726</v>
      </c>
      <c r="S509" s="3" t="s">
        <v>857</v>
      </c>
      <c r="T509" s="21">
        <v>178.19</v>
      </c>
      <c r="U509" s="21" t="str">
        <f t="shared" si="128"/>
        <v>Low</v>
      </c>
      <c r="V509">
        <f t="shared" si="115"/>
        <v>284.43</v>
      </c>
      <c r="W509" s="7">
        <v>284.43</v>
      </c>
      <c r="X509" s="8">
        <v>8.8999999999999996E-2</v>
      </c>
      <c r="Y509" s="14">
        <v>8</v>
      </c>
      <c r="Z509" s="7">
        <f t="shared" si="116"/>
        <v>25.31427</v>
      </c>
      <c r="AA509" s="7">
        <f t="shared" si="117"/>
        <v>2072.9258400000003</v>
      </c>
      <c r="AB509" s="7">
        <f t="shared" si="118"/>
        <v>2047.6115700000003</v>
      </c>
      <c r="AC509" s="7">
        <f t="shared" si="119"/>
        <v>1425.52</v>
      </c>
      <c r="AD509" s="7">
        <f t="shared" si="120"/>
        <v>647.40584000000035</v>
      </c>
      <c r="AE509" s="7">
        <f t="shared" si="121"/>
        <v>622.09157000000027</v>
      </c>
      <c r="AF509" s="26">
        <f t="shared" si="122"/>
        <v>1.4541541612885125</v>
      </c>
      <c r="AG509" s="8">
        <f>IF(DASHBOARD!$Q$7&gt;'staging data'!X509,'staging data'!X509,DASHBOARD!$Q$7)</f>
        <v>8.8999999999999996E-2</v>
      </c>
      <c r="AH509">
        <f>(100%+DASHBOARD!$Q$8)*'staging data'!T509</f>
        <v>204.91849999999999</v>
      </c>
      <c r="AI509">
        <f>(100%+DASHBOARD!$Q$9)*'staging data'!Y509</f>
        <v>9.6</v>
      </c>
    </row>
    <row r="510" spans="1:35" x14ac:dyDescent="0.3">
      <c r="A510" s="3" t="s">
        <v>136</v>
      </c>
      <c r="B510" s="28">
        <v>45740</v>
      </c>
      <c r="C510" s="28" t="str">
        <f t="shared" si="123"/>
        <v>Q1</v>
      </c>
      <c r="D510" s="28" t="str">
        <f t="shared" si="124"/>
        <v>2023</v>
      </c>
      <c r="E510" s="28" t="str">
        <f t="shared" si="125"/>
        <v>Dec</v>
      </c>
      <c r="F510" s="5">
        <v>45289</v>
      </c>
      <c r="G510" s="5">
        <f t="shared" si="113"/>
        <v>45311</v>
      </c>
      <c r="H510" s="5">
        <v>45311</v>
      </c>
      <c r="I510" s="5" t="str">
        <f t="shared" si="126"/>
        <v>Achieved</v>
      </c>
      <c r="J510" s="14">
        <f t="shared" si="127"/>
        <v>22</v>
      </c>
      <c r="K510" s="14">
        <f t="shared" si="114"/>
        <v>22</v>
      </c>
      <c r="L510" s="3" t="s">
        <v>645</v>
      </c>
      <c r="M510" s="3" t="s">
        <v>649</v>
      </c>
      <c r="N510" s="3" t="s">
        <v>661</v>
      </c>
      <c r="O510" s="3" t="s">
        <v>700</v>
      </c>
      <c r="P510" s="3" t="s">
        <v>710</v>
      </c>
      <c r="Q510" s="3" t="s">
        <v>715</v>
      </c>
      <c r="R510" s="3" t="s">
        <v>729</v>
      </c>
      <c r="S510" s="3" t="s">
        <v>855</v>
      </c>
      <c r="T510" s="21">
        <v>1395.49</v>
      </c>
      <c r="U510" s="21" t="str">
        <f t="shared" si="128"/>
        <v>Medium</v>
      </c>
      <c r="V510">
        <f t="shared" si="115"/>
        <v>1679.42</v>
      </c>
      <c r="W510" s="7">
        <v>1679.42</v>
      </c>
      <c r="X510" s="8">
        <v>0.20300000000000001</v>
      </c>
      <c r="Y510" s="14">
        <v>12</v>
      </c>
      <c r="Z510" s="7">
        <f t="shared" si="116"/>
        <v>340.92226000000005</v>
      </c>
      <c r="AA510" s="7">
        <f t="shared" si="117"/>
        <v>16061.972879999999</v>
      </c>
      <c r="AB510" s="7">
        <f t="shared" si="118"/>
        <v>15721.05062</v>
      </c>
      <c r="AC510" s="7">
        <f t="shared" si="119"/>
        <v>16745.88</v>
      </c>
      <c r="AD510" s="7">
        <f t="shared" si="120"/>
        <v>-683.90712000000167</v>
      </c>
      <c r="AE510" s="7">
        <f t="shared" si="121"/>
        <v>-1024.829380000001</v>
      </c>
      <c r="AF510" s="26">
        <f t="shared" si="122"/>
        <v>0.95915967867917351</v>
      </c>
      <c r="AG510" s="8">
        <f>IF(DASHBOARD!$Q$7&gt;'staging data'!X510,'staging data'!X510,DASHBOARD!$Q$7)</f>
        <v>0.2</v>
      </c>
      <c r="AH510">
        <f>(100%+DASHBOARD!$Q$8)*'staging data'!T510</f>
        <v>1604.8135</v>
      </c>
      <c r="AI510">
        <f>(100%+DASHBOARD!$Q$9)*'staging data'!Y510</f>
        <v>14.399999999999999</v>
      </c>
    </row>
    <row r="511" spans="1:35" x14ac:dyDescent="0.3">
      <c r="A511" s="3" t="s">
        <v>137</v>
      </c>
      <c r="B511" s="28">
        <v>45740</v>
      </c>
      <c r="C511" s="28" t="str">
        <f t="shared" si="123"/>
        <v>Q1</v>
      </c>
      <c r="D511" s="28" t="str">
        <f t="shared" si="124"/>
        <v>2024</v>
      </c>
      <c r="E511" s="28" t="str">
        <f t="shared" si="125"/>
        <v>Nov</v>
      </c>
      <c r="F511" s="5">
        <v>45598</v>
      </c>
      <c r="G511" s="5">
        <f t="shared" si="113"/>
        <v>45625</v>
      </c>
      <c r="H511" s="5">
        <v>45625</v>
      </c>
      <c r="I511" s="5" t="str">
        <f t="shared" si="126"/>
        <v>Achieved</v>
      </c>
      <c r="J511" s="14">
        <f t="shared" si="127"/>
        <v>27</v>
      </c>
      <c r="K511" s="14">
        <f t="shared" si="114"/>
        <v>27</v>
      </c>
      <c r="L511" s="3" t="s">
        <v>647</v>
      </c>
      <c r="M511" s="3" t="s">
        <v>654</v>
      </c>
      <c r="N511" s="3" t="s">
        <v>671</v>
      </c>
      <c r="O511" s="3" t="s">
        <v>704</v>
      </c>
      <c r="P511" s="3" t="s">
        <v>710</v>
      </c>
      <c r="Q511" s="3" t="s">
        <v>713</v>
      </c>
      <c r="R511" s="3" t="s">
        <v>728</v>
      </c>
      <c r="S511" s="3" t="s">
        <v>856</v>
      </c>
      <c r="T511" s="21">
        <v>1363.51</v>
      </c>
      <c r="U511" s="21" t="str">
        <f t="shared" si="128"/>
        <v>Medium</v>
      </c>
      <c r="V511">
        <f t="shared" si="115"/>
        <v>1433.9</v>
      </c>
      <c r="W511" s="7">
        <v>1433.9</v>
      </c>
      <c r="X511" s="8">
        <v>5.7000000000000002E-2</v>
      </c>
      <c r="Y511" s="14">
        <v>8</v>
      </c>
      <c r="Z511" s="7">
        <f t="shared" si="116"/>
        <v>81.732300000000009</v>
      </c>
      <c r="AA511" s="7">
        <f t="shared" si="117"/>
        <v>10817.3416</v>
      </c>
      <c r="AB511" s="7">
        <f t="shared" si="118"/>
        <v>10735.6093</v>
      </c>
      <c r="AC511" s="7">
        <f t="shared" si="119"/>
        <v>10908.08</v>
      </c>
      <c r="AD511" s="7">
        <f t="shared" si="120"/>
        <v>-90.738400000000183</v>
      </c>
      <c r="AE511" s="7">
        <f t="shared" si="121"/>
        <v>-172.47069999999985</v>
      </c>
      <c r="AF511" s="26">
        <f t="shared" si="122"/>
        <v>0.99168154248960405</v>
      </c>
      <c r="AG511" s="8">
        <f>IF(DASHBOARD!$Q$7&gt;'staging data'!X511,'staging data'!X511,DASHBOARD!$Q$7)</f>
        <v>5.7000000000000002E-2</v>
      </c>
      <c r="AH511">
        <f>(100%+DASHBOARD!$Q$8)*'staging data'!T511</f>
        <v>1568.0364999999999</v>
      </c>
      <c r="AI511">
        <f>(100%+DASHBOARD!$Q$9)*'staging data'!Y511</f>
        <v>9.6</v>
      </c>
    </row>
    <row r="512" spans="1:35" x14ac:dyDescent="0.3">
      <c r="A512" s="3" t="s">
        <v>134</v>
      </c>
      <c r="B512" s="28">
        <v>45741</v>
      </c>
      <c r="C512" s="28" t="str">
        <f t="shared" si="123"/>
        <v>Q1</v>
      </c>
      <c r="D512" s="28" t="str">
        <f t="shared" si="124"/>
        <v>2025</v>
      </c>
      <c r="E512" s="28" t="str">
        <f t="shared" si="125"/>
        <v>Jun</v>
      </c>
      <c r="F512" s="5">
        <v>45827</v>
      </c>
      <c r="G512" s="5">
        <f t="shared" si="113"/>
        <v>45850</v>
      </c>
      <c r="H512" s="5">
        <v>45850</v>
      </c>
      <c r="I512" s="5" t="str">
        <f t="shared" si="126"/>
        <v>Achieved</v>
      </c>
      <c r="J512" s="14">
        <f t="shared" si="127"/>
        <v>23</v>
      </c>
      <c r="K512" s="14">
        <f t="shared" si="114"/>
        <v>23</v>
      </c>
      <c r="L512" s="3" t="s">
        <v>648</v>
      </c>
      <c r="M512" s="3" t="s">
        <v>657</v>
      </c>
      <c r="N512" s="3" t="s">
        <v>682</v>
      </c>
      <c r="O512" s="3" t="s">
        <v>702</v>
      </c>
      <c r="P512" s="3" t="s">
        <v>710</v>
      </c>
      <c r="Q512" s="3" t="s">
        <v>1420</v>
      </c>
      <c r="R512" s="3" t="s">
        <v>728</v>
      </c>
      <c r="S512" s="3" t="s">
        <v>853</v>
      </c>
      <c r="T512" s="21">
        <v>801.24</v>
      </c>
      <c r="U512" s="21" t="str">
        <f t="shared" si="128"/>
        <v>High</v>
      </c>
      <c r="V512">
        <f t="shared" si="115"/>
        <v>1959.09</v>
      </c>
      <c r="W512" s="7">
        <v>1959.09</v>
      </c>
      <c r="X512" s="8">
        <v>0.123</v>
      </c>
      <c r="Y512" s="14">
        <v>23</v>
      </c>
      <c r="Z512" s="7">
        <f t="shared" si="116"/>
        <v>240.96806999999998</v>
      </c>
      <c r="AA512" s="7">
        <f t="shared" si="117"/>
        <v>39516.804389999998</v>
      </c>
      <c r="AB512" s="7">
        <f t="shared" si="118"/>
        <v>39275.836319999995</v>
      </c>
      <c r="AC512" s="7">
        <f t="shared" si="119"/>
        <v>18428.52</v>
      </c>
      <c r="AD512" s="7">
        <f t="shared" si="120"/>
        <v>21088.284389999997</v>
      </c>
      <c r="AE512" s="7">
        <f t="shared" si="121"/>
        <v>20847.316319999994</v>
      </c>
      <c r="AF512" s="26">
        <f t="shared" si="122"/>
        <v>2.1443287030103337</v>
      </c>
      <c r="AG512" s="8">
        <f>IF(DASHBOARD!$Q$7&gt;'staging data'!X512,'staging data'!X512,DASHBOARD!$Q$7)</f>
        <v>0.123</v>
      </c>
      <c r="AH512">
        <f>(100%+DASHBOARD!$Q$8)*'staging data'!T512</f>
        <v>921.42599999999993</v>
      </c>
      <c r="AI512">
        <f>(100%+DASHBOARD!$Q$9)*'staging data'!Y512</f>
        <v>27.599999999999998</v>
      </c>
    </row>
    <row r="513" spans="1:35" x14ac:dyDescent="0.3">
      <c r="A513" s="3" t="s">
        <v>135</v>
      </c>
      <c r="B513" s="28">
        <v>45741</v>
      </c>
      <c r="C513" s="28" t="str">
        <f t="shared" si="123"/>
        <v>Q1</v>
      </c>
      <c r="D513" s="28" t="str">
        <f t="shared" si="124"/>
        <v>2023</v>
      </c>
      <c r="E513" s="28" t="str">
        <f t="shared" si="125"/>
        <v>Nov</v>
      </c>
      <c r="F513" s="5">
        <v>45249</v>
      </c>
      <c r="G513" s="5">
        <f t="shared" si="113"/>
        <v>45273</v>
      </c>
      <c r="H513" s="5">
        <v>45273</v>
      </c>
      <c r="I513" s="5" t="str">
        <f t="shared" si="126"/>
        <v>Achieved</v>
      </c>
      <c r="J513" s="14">
        <f t="shared" si="127"/>
        <v>24</v>
      </c>
      <c r="K513" s="14">
        <f t="shared" si="114"/>
        <v>24</v>
      </c>
      <c r="L513" s="3" t="s">
        <v>648</v>
      </c>
      <c r="M513" s="3" t="s">
        <v>656</v>
      </c>
      <c r="N513" s="3" t="s">
        <v>678</v>
      </c>
      <c r="O513" s="3" t="s">
        <v>702</v>
      </c>
      <c r="P513" s="3" t="s">
        <v>710</v>
      </c>
      <c r="Q513" s="3" t="s">
        <v>721</v>
      </c>
      <c r="R513" s="3" t="s">
        <v>731</v>
      </c>
      <c r="S513" s="3" t="s">
        <v>854</v>
      </c>
      <c r="T513" s="21">
        <v>1297.42</v>
      </c>
      <c r="U513" s="21" t="str">
        <f t="shared" si="128"/>
        <v>High</v>
      </c>
      <c r="V513">
        <f t="shared" si="115"/>
        <v>2742.97</v>
      </c>
      <c r="W513" s="7">
        <v>2742.97</v>
      </c>
      <c r="X513" s="8">
        <v>6.9000000000000006E-2</v>
      </c>
      <c r="Y513" s="14">
        <v>9</v>
      </c>
      <c r="Z513" s="7">
        <f t="shared" si="116"/>
        <v>189.26492999999999</v>
      </c>
      <c r="AA513" s="7">
        <f t="shared" si="117"/>
        <v>22983.34563</v>
      </c>
      <c r="AB513" s="7">
        <f t="shared" si="118"/>
        <v>22794.080699999999</v>
      </c>
      <c r="AC513" s="7">
        <f t="shared" si="119"/>
        <v>11676.78</v>
      </c>
      <c r="AD513" s="7">
        <f t="shared" si="120"/>
        <v>11306.565629999999</v>
      </c>
      <c r="AE513" s="7">
        <f t="shared" si="121"/>
        <v>11117.300699999998</v>
      </c>
      <c r="AF513" s="26">
        <f t="shared" si="122"/>
        <v>1.9682948235729369</v>
      </c>
      <c r="AG513" s="8">
        <f>IF(DASHBOARD!$Q$7&gt;'staging data'!X513,'staging data'!X513,DASHBOARD!$Q$7)</f>
        <v>6.9000000000000006E-2</v>
      </c>
      <c r="AH513">
        <f>(100%+DASHBOARD!$Q$8)*'staging data'!T513</f>
        <v>1492.0329999999999</v>
      </c>
      <c r="AI513">
        <f>(100%+DASHBOARD!$Q$9)*'staging data'!Y513</f>
        <v>10.799999999999999</v>
      </c>
    </row>
    <row r="514" spans="1:35" x14ac:dyDescent="0.3">
      <c r="A514" s="3" t="s">
        <v>133</v>
      </c>
      <c r="B514" s="28">
        <v>45745</v>
      </c>
      <c r="C514" s="28" t="str">
        <f t="shared" si="123"/>
        <v>Q1</v>
      </c>
      <c r="D514" s="28" t="str">
        <f t="shared" si="124"/>
        <v>2025</v>
      </c>
      <c r="E514" s="28" t="str">
        <f t="shared" si="125"/>
        <v>Jul</v>
      </c>
      <c r="F514" s="5">
        <v>45847</v>
      </c>
      <c r="G514" s="5">
        <f t="shared" ref="G514:G577" si="129">IF(H514&gt;=F514, H514, (H514-K514))</f>
        <v>45856</v>
      </c>
      <c r="H514" s="5">
        <v>45856</v>
      </c>
      <c r="I514" s="5" t="str">
        <f t="shared" si="126"/>
        <v>Achieved</v>
      </c>
      <c r="J514" s="14">
        <f t="shared" si="127"/>
        <v>9</v>
      </c>
      <c r="K514" s="14">
        <f t="shared" ref="K514:K577" si="130">_xlfn.DAYS(H514,F514)</f>
        <v>9</v>
      </c>
      <c r="L514" s="3" t="s">
        <v>647</v>
      </c>
      <c r="M514" s="3" t="s">
        <v>652</v>
      </c>
      <c r="N514" s="3" t="s">
        <v>687</v>
      </c>
      <c r="O514" s="3" t="s">
        <v>701</v>
      </c>
      <c r="P514" s="3" t="s">
        <v>709</v>
      </c>
      <c r="Q514" s="3" t="s">
        <v>713</v>
      </c>
      <c r="R514" s="3" t="s">
        <v>730</v>
      </c>
      <c r="S514" s="3" t="s">
        <v>852</v>
      </c>
      <c r="T514" s="21">
        <v>57.96</v>
      </c>
      <c r="U514" s="21" t="str">
        <f t="shared" si="128"/>
        <v>Low</v>
      </c>
      <c r="V514">
        <f t="shared" ref="V514:V577" si="131">ABS(W514)</f>
        <v>88.51</v>
      </c>
      <c r="W514" s="7">
        <v>88.51</v>
      </c>
      <c r="X514" s="8">
        <v>4.2999999999999997E-2</v>
      </c>
      <c r="Y514" s="14">
        <v>7</v>
      </c>
      <c r="Z514" s="7">
        <f t="shared" ref="Z514:Z577" si="132">X514*V514</f>
        <v>3.80593</v>
      </c>
      <c r="AA514" s="7">
        <f t="shared" ref="AA514:AA577" si="133">(V514*Y514)*(1-X514)</f>
        <v>592.92849000000001</v>
      </c>
      <c r="AB514" s="7">
        <f t="shared" ref="AB514:AB577" si="134">AA514-Z514</f>
        <v>589.12256000000002</v>
      </c>
      <c r="AC514" s="7">
        <f t="shared" ref="AC514:AC577" si="135">T514*Y514</f>
        <v>405.72</v>
      </c>
      <c r="AD514" s="7">
        <f t="shared" ref="AD514:AD577" si="136">AA514-AC514</f>
        <v>187.20848999999998</v>
      </c>
      <c r="AE514" s="7">
        <f t="shared" ref="AE514:AE577" si="137">AB514-AC514</f>
        <v>183.40255999999999</v>
      </c>
      <c r="AF514" s="26">
        <f t="shared" ref="AF514:AF577" si="138">IF(AA514=0,0,AA514/AC514)</f>
        <v>1.4614228778467908</v>
      </c>
      <c r="AG514" s="8">
        <f>IF(DASHBOARD!$Q$7&gt;'staging data'!X514,'staging data'!X514,DASHBOARD!$Q$7)</f>
        <v>4.2999999999999997E-2</v>
      </c>
      <c r="AH514">
        <f>(100%+DASHBOARD!$Q$8)*'staging data'!T514</f>
        <v>66.653999999999996</v>
      </c>
      <c r="AI514">
        <f>(100%+DASHBOARD!$Q$9)*'staging data'!Y514</f>
        <v>8.4</v>
      </c>
    </row>
    <row r="515" spans="1:35" x14ac:dyDescent="0.3">
      <c r="A515" s="3" t="s">
        <v>131</v>
      </c>
      <c r="B515" s="28">
        <v>45746</v>
      </c>
      <c r="C515" s="28" t="str">
        <f t="shared" ref="C515:C578" si="139">"Q" &amp; ROUNDUP(MONTH(B515)/3,0)</f>
        <v>Q1</v>
      </c>
      <c r="D515" s="28" t="str">
        <f t="shared" ref="D515:D578" si="140">TEXT(F515,"YYYY")</f>
        <v>2024</v>
      </c>
      <c r="E515" s="28" t="str">
        <f t="shared" ref="E515:E578" si="141">TEXT(F515,"MMM")</f>
        <v>Dec</v>
      </c>
      <c r="F515" s="5">
        <v>45653</v>
      </c>
      <c r="G515" s="5">
        <f t="shared" si="129"/>
        <v>45659</v>
      </c>
      <c r="H515" s="5">
        <v>45659</v>
      </c>
      <c r="I515" s="5" t="str">
        <f t="shared" ref="I515:I578" si="142">IF(J515&gt;=7,"Achieved","Not achieved")</f>
        <v>Not achieved</v>
      </c>
      <c r="J515" s="14">
        <f t="shared" ref="J515:J578" si="143">_xlfn.DAYS(G515,F515)</f>
        <v>6</v>
      </c>
      <c r="K515" s="14">
        <f t="shared" si="130"/>
        <v>6</v>
      </c>
      <c r="L515" s="3" t="s">
        <v>648</v>
      </c>
      <c r="M515" s="3" t="s">
        <v>655</v>
      </c>
      <c r="N515" s="3" t="s">
        <v>697</v>
      </c>
      <c r="O515" s="3" t="s">
        <v>701</v>
      </c>
      <c r="P515" s="3" t="s">
        <v>710</v>
      </c>
      <c r="Q515" s="3" t="s">
        <v>720</v>
      </c>
      <c r="R515" s="3" t="s">
        <v>730</v>
      </c>
      <c r="S515" s="3" t="s">
        <v>850</v>
      </c>
      <c r="T515" s="21">
        <v>1391.99</v>
      </c>
      <c r="U515" s="21" t="str">
        <f t="shared" si="128"/>
        <v>High</v>
      </c>
      <c r="V515">
        <f t="shared" si="131"/>
        <v>3469.7</v>
      </c>
      <c r="W515" s="7">
        <v>3469.7</v>
      </c>
      <c r="X515" s="8">
        <v>0.184</v>
      </c>
      <c r="Y515" s="14">
        <v>23</v>
      </c>
      <c r="Z515" s="7">
        <f t="shared" si="132"/>
        <v>638.4248</v>
      </c>
      <c r="AA515" s="7">
        <f t="shared" si="133"/>
        <v>65119.329599999997</v>
      </c>
      <c r="AB515" s="7">
        <f t="shared" si="134"/>
        <v>64480.904799999997</v>
      </c>
      <c r="AC515" s="7">
        <f t="shared" si="135"/>
        <v>32015.77</v>
      </c>
      <c r="AD515" s="7">
        <f t="shared" si="136"/>
        <v>33103.559599999993</v>
      </c>
      <c r="AE515" s="7">
        <f t="shared" si="137"/>
        <v>32465.134799999996</v>
      </c>
      <c r="AF515" s="26">
        <f t="shared" si="138"/>
        <v>2.0339766808669602</v>
      </c>
      <c r="AG515" s="8">
        <f>IF(DASHBOARD!$Q$7&gt;'staging data'!X515,'staging data'!X515,DASHBOARD!$Q$7)</f>
        <v>0.184</v>
      </c>
      <c r="AH515">
        <f>(100%+DASHBOARD!$Q$8)*'staging data'!T515</f>
        <v>1600.7884999999999</v>
      </c>
      <c r="AI515">
        <f>(100%+DASHBOARD!$Q$9)*'staging data'!Y515</f>
        <v>27.599999999999998</v>
      </c>
    </row>
    <row r="516" spans="1:35" x14ac:dyDescent="0.3">
      <c r="A516" s="3" t="s">
        <v>132</v>
      </c>
      <c r="B516" s="28">
        <v>45746</v>
      </c>
      <c r="C516" s="28" t="str">
        <f t="shared" si="139"/>
        <v>Q1</v>
      </c>
      <c r="D516" s="28" t="str">
        <f t="shared" si="140"/>
        <v>2023</v>
      </c>
      <c r="E516" s="28" t="str">
        <f t="shared" si="141"/>
        <v>Jun</v>
      </c>
      <c r="F516" s="5">
        <v>45086</v>
      </c>
      <c r="G516" s="5">
        <f t="shared" si="129"/>
        <v>45096</v>
      </c>
      <c r="H516" s="5">
        <v>45096</v>
      </c>
      <c r="I516" s="5" t="str">
        <f t="shared" si="142"/>
        <v>Achieved</v>
      </c>
      <c r="J516" s="14">
        <f t="shared" si="143"/>
        <v>10</v>
      </c>
      <c r="K516" s="14">
        <f t="shared" si="130"/>
        <v>10</v>
      </c>
      <c r="L516" s="3" t="s">
        <v>646</v>
      </c>
      <c r="M516" s="3" t="s">
        <v>658</v>
      </c>
      <c r="N516" s="3" t="s">
        <v>698</v>
      </c>
      <c r="O516" s="3" t="s">
        <v>705</v>
      </c>
      <c r="P516" s="3" t="s">
        <v>706</v>
      </c>
      <c r="Q516" s="3" t="s">
        <v>720</v>
      </c>
      <c r="R516" s="3" t="s">
        <v>731</v>
      </c>
      <c r="S516" s="3" t="s">
        <v>851</v>
      </c>
      <c r="T516" s="21">
        <v>339.61</v>
      </c>
      <c r="U516" s="21" t="str">
        <f t="shared" ref="U516:U579" si="144">IF(V516&lt;=QUARTILE(V516:V1145,1),"Low",IF(V516&gt;=QUARTILE(V516:V1145,3),"High","Medium"))</f>
        <v>Medium</v>
      </c>
      <c r="V516">
        <f t="shared" si="131"/>
        <v>621.02</v>
      </c>
      <c r="W516" s="7">
        <v>621.02</v>
      </c>
      <c r="X516" s="8">
        <v>7.0999999999999994E-2</v>
      </c>
      <c r="Y516" s="14">
        <v>10</v>
      </c>
      <c r="Z516" s="7">
        <f t="shared" si="132"/>
        <v>44.092419999999997</v>
      </c>
      <c r="AA516" s="7">
        <f t="shared" si="133"/>
        <v>5769.2758000000003</v>
      </c>
      <c r="AB516" s="7">
        <f t="shared" si="134"/>
        <v>5725.1833800000004</v>
      </c>
      <c r="AC516" s="7">
        <f t="shared" si="135"/>
        <v>3396.1000000000004</v>
      </c>
      <c r="AD516" s="7">
        <f t="shared" si="136"/>
        <v>2373.1758</v>
      </c>
      <c r="AE516" s="7">
        <f t="shared" si="137"/>
        <v>2329.08338</v>
      </c>
      <c r="AF516" s="26">
        <f t="shared" si="138"/>
        <v>1.6987944406819586</v>
      </c>
      <c r="AG516" s="8">
        <f>IF(DASHBOARD!$Q$7&gt;'staging data'!X516,'staging data'!X516,DASHBOARD!$Q$7)</f>
        <v>7.0999999999999994E-2</v>
      </c>
      <c r="AH516">
        <f>(100%+DASHBOARD!$Q$8)*'staging data'!T516</f>
        <v>390.55149999999998</v>
      </c>
      <c r="AI516">
        <f>(100%+DASHBOARD!$Q$9)*'staging data'!Y516</f>
        <v>12</v>
      </c>
    </row>
    <row r="517" spans="1:35" x14ac:dyDescent="0.3">
      <c r="A517" s="3" t="s">
        <v>130</v>
      </c>
      <c r="B517" s="28">
        <v>45747</v>
      </c>
      <c r="C517" s="28" t="str">
        <f t="shared" si="139"/>
        <v>Q1</v>
      </c>
      <c r="D517" s="28" t="str">
        <f t="shared" si="140"/>
        <v>2025</v>
      </c>
      <c r="E517" s="28" t="str">
        <f t="shared" si="141"/>
        <v>Jun</v>
      </c>
      <c r="F517" s="5">
        <v>45811</v>
      </c>
      <c r="G517" s="5">
        <f t="shared" si="129"/>
        <v>45818</v>
      </c>
      <c r="H517" s="5">
        <v>45818</v>
      </c>
      <c r="I517" s="5" t="str">
        <f t="shared" si="142"/>
        <v>Achieved</v>
      </c>
      <c r="J517" s="14">
        <f t="shared" si="143"/>
        <v>7</v>
      </c>
      <c r="K517" s="14">
        <f t="shared" si="130"/>
        <v>7</v>
      </c>
      <c r="L517" s="3" t="s">
        <v>647</v>
      </c>
      <c r="M517" s="3" t="s">
        <v>652</v>
      </c>
      <c r="N517" s="3" t="s">
        <v>666</v>
      </c>
      <c r="O517" s="3" t="s">
        <v>703</v>
      </c>
      <c r="P517" s="3" t="s">
        <v>709</v>
      </c>
      <c r="Q517" s="3" t="s">
        <v>718</v>
      </c>
      <c r="R517" s="3" t="s">
        <v>727</v>
      </c>
      <c r="S517" s="3" t="s">
        <v>849</v>
      </c>
      <c r="T517" s="21">
        <v>75.180000000000007</v>
      </c>
      <c r="U517" s="21" t="str">
        <f t="shared" si="144"/>
        <v>Low</v>
      </c>
      <c r="V517">
        <f t="shared" si="131"/>
        <v>53.45</v>
      </c>
      <c r="W517" s="7">
        <v>53.45</v>
      </c>
      <c r="X517" s="8">
        <v>0.157</v>
      </c>
      <c r="Y517" s="14">
        <v>17</v>
      </c>
      <c r="Z517" s="7">
        <f t="shared" si="132"/>
        <v>8.3916500000000003</v>
      </c>
      <c r="AA517" s="7">
        <f t="shared" si="133"/>
        <v>765.99195000000009</v>
      </c>
      <c r="AB517" s="7">
        <f t="shared" si="134"/>
        <v>757.60030000000006</v>
      </c>
      <c r="AC517" s="7">
        <f t="shared" si="135"/>
        <v>1278.0600000000002</v>
      </c>
      <c r="AD517" s="7">
        <f t="shared" si="136"/>
        <v>-512.06805000000008</v>
      </c>
      <c r="AE517" s="7">
        <f t="shared" si="137"/>
        <v>-520.45970000000011</v>
      </c>
      <c r="AF517" s="26">
        <f t="shared" si="138"/>
        <v>0.59933958499600959</v>
      </c>
      <c r="AG517" s="8">
        <f>IF(DASHBOARD!$Q$7&gt;'staging data'!X517,'staging data'!X517,DASHBOARD!$Q$7)</f>
        <v>0.157</v>
      </c>
      <c r="AH517">
        <f>(100%+DASHBOARD!$Q$8)*'staging data'!T517</f>
        <v>86.457000000000008</v>
      </c>
      <c r="AI517">
        <f>(100%+DASHBOARD!$Q$9)*'staging data'!Y517</f>
        <v>20.399999999999999</v>
      </c>
    </row>
    <row r="518" spans="1:35" x14ac:dyDescent="0.3">
      <c r="A518" s="3" t="s">
        <v>129</v>
      </c>
      <c r="B518" s="28">
        <v>45748</v>
      </c>
      <c r="C518" s="28" t="str">
        <f t="shared" si="139"/>
        <v>Q2</v>
      </c>
      <c r="D518" s="28" t="str">
        <f t="shared" si="140"/>
        <v>2023</v>
      </c>
      <c r="E518" s="28" t="str">
        <f t="shared" si="141"/>
        <v>Mar</v>
      </c>
      <c r="F518" s="5">
        <v>44987</v>
      </c>
      <c r="G518" s="5">
        <f t="shared" si="129"/>
        <v>44990</v>
      </c>
      <c r="H518" s="5">
        <v>44990</v>
      </c>
      <c r="I518" s="5" t="str">
        <f t="shared" si="142"/>
        <v>Not achieved</v>
      </c>
      <c r="J518" s="14">
        <f t="shared" si="143"/>
        <v>3</v>
      </c>
      <c r="K518" s="14">
        <f t="shared" si="130"/>
        <v>3</v>
      </c>
      <c r="L518" s="3" t="s">
        <v>647</v>
      </c>
      <c r="M518" s="3" t="s">
        <v>654</v>
      </c>
      <c r="N518" s="3" t="s">
        <v>671</v>
      </c>
      <c r="O518" s="3" t="s">
        <v>705</v>
      </c>
      <c r="P518" s="3" t="s">
        <v>710</v>
      </c>
      <c r="Q518" s="3" t="s">
        <v>714</v>
      </c>
      <c r="R518" s="3" t="s">
        <v>731</v>
      </c>
      <c r="S518" s="3" t="s">
        <v>848</v>
      </c>
      <c r="T518" s="21">
        <v>1473.58</v>
      </c>
      <c r="U518" s="21" t="str">
        <f t="shared" si="144"/>
        <v>High</v>
      </c>
      <c r="V518">
        <f t="shared" si="131"/>
        <v>3436.52</v>
      </c>
      <c r="W518" s="7">
        <v>3436.52</v>
      </c>
      <c r="X518" s="8">
        <v>0.108</v>
      </c>
      <c r="Y518" s="14">
        <v>8</v>
      </c>
      <c r="Z518" s="7">
        <f t="shared" si="132"/>
        <v>371.14416</v>
      </c>
      <c r="AA518" s="7">
        <f t="shared" si="133"/>
        <v>24523.006720000001</v>
      </c>
      <c r="AB518" s="7">
        <f t="shared" si="134"/>
        <v>24151.862560000001</v>
      </c>
      <c r="AC518" s="7">
        <f t="shared" si="135"/>
        <v>11788.64</v>
      </c>
      <c r="AD518" s="7">
        <f t="shared" si="136"/>
        <v>12734.366720000002</v>
      </c>
      <c r="AE518" s="7">
        <f t="shared" si="137"/>
        <v>12363.222560000002</v>
      </c>
      <c r="AF518" s="26">
        <f t="shared" si="138"/>
        <v>2.0802235643806242</v>
      </c>
      <c r="AG518" s="8">
        <f>IF(DASHBOARD!$Q$7&gt;'staging data'!X518,'staging data'!X518,DASHBOARD!$Q$7)</f>
        <v>0.108</v>
      </c>
      <c r="AH518">
        <f>(100%+DASHBOARD!$Q$8)*'staging data'!T518</f>
        <v>1694.6169999999997</v>
      </c>
      <c r="AI518">
        <f>(100%+DASHBOARD!$Q$9)*'staging data'!Y518</f>
        <v>9.6</v>
      </c>
    </row>
    <row r="519" spans="1:35" x14ac:dyDescent="0.3">
      <c r="A519" s="3" t="s">
        <v>127</v>
      </c>
      <c r="B519" s="28">
        <v>45751</v>
      </c>
      <c r="C519" s="28" t="str">
        <f t="shared" si="139"/>
        <v>Q2</v>
      </c>
      <c r="D519" s="28" t="str">
        <f t="shared" si="140"/>
        <v>2025</v>
      </c>
      <c r="E519" s="28" t="str">
        <f t="shared" si="141"/>
        <v>Jan</v>
      </c>
      <c r="F519" s="5">
        <v>45674</v>
      </c>
      <c r="G519" s="5">
        <f t="shared" si="129"/>
        <v>45681</v>
      </c>
      <c r="H519" s="5">
        <v>45681</v>
      </c>
      <c r="I519" s="5" t="str">
        <f t="shared" si="142"/>
        <v>Achieved</v>
      </c>
      <c r="J519" s="14">
        <f t="shared" si="143"/>
        <v>7</v>
      </c>
      <c r="K519" s="14">
        <f t="shared" si="130"/>
        <v>7</v>
      </c>
      <c r="L519" s="3" t="s">
        <v>647</v>
      </c>
      <c r="M519" s="3" t="s">
        <v>659</v>
      </c>
      <c r="N519" s="3" t="s">
        <v>696</v>
      </c>
      <c r="O519" s="3" t="s">
        <v>705</v>
      </c>
      <c r="P519" s="3" t="s">
        <v>707</v>
      </c>
      <c r="Q519" s="3" t="s">
        <v>714</v>
      </c>
      <c r="R519" s="3" t="s">
        <v>732</v>
      </c>
      <c r="S519" s="3" t="s">
        <v>846</v>
      </c>
      <c r="T519" s="21">
        <v>142.09</v>
      </c>
      <c r="U519" s="21" t="str">
        <f t="shared" si="144"/>
        <v>Low</v>
      </c>
      <c r="V519">
        <f t="shared" si="131"/>
        <v>218.5</v>
      </c>
      <c r="W519" s="7">
        <v>218.5</v>
      </c>
      <c r="X519" s="8">
        <v>0.11899999999999999</v>
      </c>
      <c r="Y519" s="14">
        <v>11</v>
      </c>
      <c r="Z519" s="7">
        <f t="shared" si="132"/>
        <v>26.0015</v>
      </c>
      <c r="AA519" s="7">
        <f t="shared" si="133"/>
        <v>2117.4834999999998</v>
      </c>
      <c r="AB519" s="7">
        <f t="shared" si="134"/>
        <v>2091.482</v>
      </c>
      <c r="AC519" s="7">
        <f t="shared" si="135"/>
        <v>1562.99</v>
      </c>
      <c r="AD519" s="7">
        <f t="shared" si="136"/>
        <v>554.49349999999981</v>
      </c>
      <c r="AE519" s="7">
        <f t="shared" si="137"/>
        <v>528.49199999999996</v>
      </c>
      <c r="AF519" s="26">
        <f t="shared" si="138"/>
        <v>1.3547645858258848</v>
      </c>
      <c r="AG519" s="8">
        <f>IF(DASHBOARD!$Q$7&gt;'staging data'!X519,'staging data'!X519,DASHBOARD!$Q$7)</f>
        <v>0.11899999999999999</v>
      </c>
      <c r="AH519">
        <f>(100%+DASHBOARD!$Q$8)*'staging data'!T519</f>
        <v>163.40349999999998</v>
      </c>
      <c r="AI519">
        <f>(100%+DASHBOARD!$Q$9)*'staging data'!Y519</f>
        <v>13.2</v>
      </c>
    </row>
    <row r="520" spans="1:35" x14ac:dyDescent="0.3">
      <c r="A520" s="3" t="s">
        <v>128</v>
      </c>
      <c r="B520" s="28">
        <v>45751</v>
      </c>
      <c r="C520" s="28" t="str">
        <f t="shared" si="139"/>
        <v>Q2</v>
      </c>
      <c r="D520" s="28" t="str">
        <f t="shared" si="140"/>
        <v>2023</v>
      </c>
      <c r="E520" s="28" t="str">
        <f t="shared" si="141"/>
        <v>Nov</v>
      </c>
      <c r="F520" s="5">
        <v>45250</v>
      </c>
      <c r="G520" s="5">
        <f t="shared" si="129"/>
        <v>45265</v>
      </c>
      <c r="H520" s="5">
        <v>45265</v>
      </c>
      <c r="I520" s="5" t="str">
        <f t="shared" si="142"/>
        <v>Achieved</v>
      </c>
      <c r="J520" s="14">
        <f t="shared" si="143"/>
        <v>15</v>
      </c>
      <c r="K520" s="14">
        <f t="shared" si="130"/>
        <v>15</v>
      </c>
      <c r="L520" s="3" t="s">
        <v>646</v>
      </c>
      <c r="M520" s="3" t="s">
        <v>651</v>
      </c>
      <c r="N520" s="3" t="s">
        <v>688</v>
      </c>
      <c r="O520" s="3" t="s">
        <v>705</v>
      </c>
      <c r="P520" s="3" t="s">
        <v>706</v>
      </c>
      <c r="Q520" s="3" t="s">
        <v>715</v>
      </c>
      <c r="R520" s="3" t="s">
        <v>728</v>
      </c>
      <c r="S520" s="3" t="s">
        <v>847</v>
      </c>
      <c r="T520" s="21">
        <v>354.24</v>
      </c>
      <c r="U520" s="21" t="str">
        <f t="shared" si="144"/>
        <v>Low</v>
      </c>
      <c r="V520">
        <f t="shared" si="131"/>
        <v>249.87</v>
      </c>
      <c r="W520" s="7">
        <v>249.87</v>
      </c>
      <c r="X520" s="8">
        <v>0</v>
      </c>
      <c r="Y520" s="14">
        <v>6</v>
      </c>
      <c r="Z520" s="7">
        <f t="shared" si="132"/>
        <v>0</v>
      </c>
      <c r="AA520" s="7">
        <f t="shared" si="133"/>
        <v>1499.22</v>
      </c>
      <c r="AB520" s="7">
        <f t="shared" si="134"/>
        <v>1499.22</v>
      </c>
      <c r="AC520" s="7">
        <f t="shared" si="135"/>
        <v>2125.44</v>
      </c>
      <c r="AD520" s="7">
        <f t="shared" si="136"/>
        <v>-626.22</v>
      </c>
      <c r="AE520" s="7">
        <f t="shared" si="137"/>
        <v>-626.22</v>
      </c>
      <c r="AF520" s="26">
        <f t="shared" si="138"/>
        <v>0.70536924119241196</v>
      </c>
      <c r="AG520" s="8">
        <f>IF(DASHBOARD!$Q$7&gt;'staging data'!X520,'staging data'!X520,DASHBOARD!$Q$7)</f>
        <v>0</v>
      </c>
      <c r="AH520">
        <f>(100%+DASHBOARD!$Q$8)*'staging data'!T520</f>
        <v>407.37599999999998</v>
      </c>
      <c r="AI520">
        <f>(100%+DASHBOARD!$Q$9)*'staging data'!Y520</f>
        <v>7.1999999999999993</v>
      </c>
    </row>
    <row r="521" spans="1:35" x14ac:dyDescent="0.3">
      <c r="A521" s="3" t="s">
        <v>126</v>
      </c>
      <c r="B521" s="28">
        <v>45753</v>
      </c>
      <c r="C521" s="28" t="str">
        <f t="shared" si="139"/>
        <v>Q2</v>
      </c>
      <c r="D521" s="28" t="str">
        <f t="shared" si="140"/>
        <v>2024</v>
      </c>
      <c r="E521" s="28" t="str">
        <f t="shared" si="141"/>
        <v>Jun</v>
      </c>
      <c r="F521" s="5">
        <v>45472</v>
      </c>
      <c r="G521" s="5">
        <f t="shared" si="129"/>
        <v>45499</v>
      </c>
      <c r="H521" s="5">
        <v>45499</v>
      </c>
      <c r="I521" s="5" t="str">
        <f t="shared" si="142"/>
        <v>Achieved</v>
      </c>
      <c r="J521" s="14">
        <f t="shared" si="143"/>
        <v>27</v>
      </c>
      <c r="K521" s="14">
        <f t="shared" si="130"/>
        <v>27</v>
      </c>
      <c r="L521" s="3" t="s">
        <v>645</v>
      </c>
      <c r="M521" s="3" t="s">
        <v>660</v>
      </c>
      <c r="N521" s="3" t="s">
        <v>686</v>
      </c>
      <c r="O521" s="3" t="s">
        <v>705</v>
      </c>
      <c r="P521" s="3" t="s">
        <v>709</v>
      </c>
      <c r="Q521" s="3" t="s">
        <v>716</v>
      </c>
      <c r="R521" s="3" t="s">
        <v>728</v>
      </c>
      <c r="S521" s="3" t="s">
        <v>845</v>
      </c>
      <c r="T521" s="21">
        <v>5.36</v>
      </c>
      <c r="U521" s="21" t="str">
        <f t="shared" si="144"/>
        <v>Low</v>
      </c>
      <c r="V521">
        <f t="shared" si="131"/>
        <v>4.37</v>
      </c>
      <c r="W521" s="7">
        <v>4.37</v>
      </c>
      <c r="X521" s="8">
        <v>0.11799999999999999</v>
      </c>
      <c r="Y521" s="14">
        <v>9</v>
      </c>
      <c r="Z521" s="7">
        <f t="shared" si="132"/>
        <v>0.51566000000000001</v>
      </c>
      <c r="AA521" s="7">
        <f t="shared" si="133"/>
        <v>34.689059999999998</v>
      </c>
      <c r="AB521" s="7">
        <f t="shared" si="134"/>
        <v>34.173400000000001</v>
      </c>
      <c r="AC521" s="7">
        <f t="shared" si="135"/>
        <v>48.24</v>
      </c>
      <c r="AD521" s="7">
        <f t="shared" si="136"/>
        <v>-13.550940000000004</v>
      </c>
      <c r="AE521" s="7">
        <f t="shared" si="137"/>
        <v>-14.066600000000001</v>
      </c>
      <c r="AF521" s="26">
        <f t="shared" si="138"/>
        <v>0.71909328358208946</v>
      </c>
      <c r="AG521" s="8">
        <f>IF(DASHBOARD!$Q$7&gt;'staging data'!X521,'staging data'!X521,DASHBOARD!$Q$7)</f>
        <v>0.11799999999999999</v>
      </c>
      <c r="AH521">
        <f>(100%+DASHBOARD!$Q$8)*'staging data'!T521</f>
        <v>6.1639999999999997</v>
      </c>
      <c r="AI521">
        <f>(100%+DASHBOARD!$Q$9)*'staging data'!Y521</f>
        <v>10.799999999999999</v>
      </c>
    </row>
    <row r="522" spans="1:35" x14ac:dyDescent="0.3">
      <c r="A522" s="3" t="s">
        <v>125</v>
      </c>
      <c r="B522" s="28">
        <v>45754</v>
      </c>
      <c r="C522" s="28" t="str">
        <f t="shared" si="139"/>
        <v>Q2</v>
      </c>
      <c r="D522" s="28" t="str">
        <f t="shared" si="140"/>
        <v>2024</v>
      </c>
      <c r="E522" s="28" t="str">
        <f t="shared" si="141"/>
        <v>Jun</v>
      </c>
      <c r="F522" s="5">
        <v>45453</v>
      </c>
      <c r="G522" s="5">
        <f t="shared" si="129"/>
        <v>45454</v>
      </c>
      <c r="H522" s="5">
        <v>45454</v>
      </c>
      <c r="I522" s="5" t="str">
        <f t="shared" si="142"/>
        <v>Not achieved</v>
      </c>
      <c r="J522" s="14">
        <f t="shared" si="143"/>
        <v>1</v>
      </c>
      <c r="K522" s="14">
        <f t="shared" si="130"/>
        <v>1</v>
      </c>
      <c r="L522" s="3" t="s">
        <v>648</v>
      </c>
      <c r="M522" s="3" t="s">
        <v>657</v>
      </c>
      <c r="N522" s="3" t="s">
        <v>673</v>
      </c>
      <c r="O522" s="3" t="s">
        <v>704</v>
      </c>
      <c r="P522" s="3" t="s">
        <v>708</v>
      </c>
      <c r="Q522" s="3" t="s">
        <v>723</v>
      </c>
      <c r="R522" s="3" t="s">
        <v>730</v>
      </c>
      <c r="S522" s="3" t="s">
        <v>844</v>
      </c>
      <c r="T522" s="21">
        <v>1187.1300000000001</v>
      </c>
      <c r="U522" s="21" t="str">
        <f t="shared" si="144"/>
        <v>Medium</v>
      </c>
      <c r="V522">
        <f t="shared" si="131"/>
        <v>1795.17</v>
      </c>
      <c r="W522" s="7">
        <v>1795.17</v>
      </c>
      <c r="X522" s="8">
        <v>1.2E-2</v>
      </c>
      <c r="Y522" s="14">
        <v>17</v>
      </c>
      <c r="Z522" s="7">
        <f t="shared" si="132"/>
        <v>21.54204</v>
      </c>
      <c r="AA522" s="7">
        <f t="shared" si="133"/>
        <v>30151.675319999998</v>
      </c>
      <c r="AB522" s="7">
        <f t="shared" si="134"/>
        <v>30130.133279999998</v>
      </c>
      <c r="AC522" s="7">
        <f t="shared" si="135"/>
        <v>20181.210000000003</v>
      </c>
      <c r="AD522" s="7">
        <f t="shared" si="136"/>
        <v>9970.4653199999957</v>
      </c>
      <c r="AE522" s="7">
        <f t="shared" si="137"/>
        <v>9948.9232799999954</v>
      </c>
      <c r="AF522" s="26">
        <f t="shared" si="138"/>
        <v>1.4940469535771144</v>
      </c>
      <c r="AG522" s="8">
        <f>IF(DASHBOARD!$Q$7&gt;'staging data'!X522,'staging data'!X522,DASHBOARD!$Q$7)</f>
        <v>1.2E-2</v>
      </c>
      <c r="AH522">
        <f>(100%+DASHBOARD!$Q$8)*'staging data'!T522</f>
        <v>1365.1994999999999</v>
      </c>
      <c r="AI522">
        <f>(100%+DASHBOARD!$Q$9)*'staging data'!Y522</f>
        <v>20.399999999999999</v>
      </c>
    </row>
    <row r="523" spans="1:35" x14ac:dyDescent="0.3">
      <c r="A523" s="3" t="s">
        <v>123</v>
      </c>
      <c r="B523" s="28">
        <v>45756</v>
      </c>
      <c r="C523" s="28" t="str">
        <f t="shared" si="139"/>
        <v>Q2</v>
      </c>
      <c r="D523" s="28" t="str">
        <f t="shared" si="140"/>
        <v>2024</v>
      </c>
      <c r="E523" s="28" t="str">
        <f t="shared" si="141"/>
        <v>Jun</v>
      </c>
      <c r="F523" s="5">
        <v>45445</v>
      </c>
      <c r="G523" s="5">
        <f t="shared" si="129"/>
        <v>45451</v>
      </c>
      <c r="H523" s="5">
        <v>45451</v>
      </c>
      <c r="I523" s="5" t="str">
        <f t="shared" si="142"/>
        <v>Not achieved</v>
      </c>
      <c r="J523" s="14">
        <f t="shared" si="143"/>
        <v>6</v>
      </c>
      <c r="K523" s="14">
        <f t="shared" si="130"/>
        <v>6</v>
      </c>
      <c r="L523" s="3" t="s">
        <v>645</v>
      </c>
      <c r="M523" s="3" t="s">
        <v>649</v>
      </c>
      <c r="N523" s="3" t="s">
        <v>661</v>
      </c>
      <c r="O523" s="3" t="s">
        <v>703</v>
      </c>
      <c r="P523" s="3" t="s">
        <v>708</v>
      </c>
      <c r="Q523" s="3" t="s">
        <v>719</v>
      </c>
      <c r="R523" s="3" t="s">
        <v>732</v>
      </c>
      <c r="S523" s="3" t="s">
        <v>842</v>
      </c>
      <c r="T523" s="21">
        <v>292.94</v>
      </c>
      <c r="U523" s="21" t="str">
        <f t="shared" si="144"/>
        <v>Low</v>
      </c>
      <c r="V523">
        <f t="shared" si="131"/>
        <v>356.55</v>
      </c>
      <c r="W523" s="7">
        <v>356.55</v>
      </c>
      <c r="X523" s="8">
        <v>0.22900000000000001</v>
      </c>
      <c r="Y523" s="14">
        <v>2</v>
      </c>
      <c r="Z523" s="7">
        <f t="shared" si="132"/>
        <v>81.649950000000004</v>
      </c>
      <c r="AA523" s="7">
        <f t="shared" si="133"/>
        <v>549.80010000000004</v>
      </c>
      <c r="AB523" s="7">
        <f t="shared" si="134"/>
        <v>468.15015000000005</v>
      </c>
      <c r="AC523" s="7">
        <f t="shared" si="135"/>
        <v>585.88</v>
      </c>
      <c r="AD523" s="7">
        <f t="shared" si="136"/>
        <v>-36.079899999999952</v>
      </c>
      <c r="AE523" s="7">
        <f t="shared" si="137"/>
        <v>-117.72984999999994</v>
      </c>
      <c r="AF523" s="26">
        <f t="shared" si="138"/>
        <v>0.93841759404656255</v>
      </c>
      <c r="AG523" s="8">
        <f>IF(DASHBOARD!$Q$7&gt;'staging data'!X523,'staging data'!X523,DASHBOARD!$Q$7)</f>
        <v>0.2</v>
      </c>
      <c r="AH523">
        <f>(100%+DASHBOARD!$Q$8)*'staging data'!T523</f>
        <v>336.88099999999997</v>
      </c>
      <c r="AI523">
        <f>(100%+DASHBOARD!$Q$9)*'staging data'!Y523</f>
        <v>2.4</v>
      </c>
    </row>
    <row r="524" spans="1:35" x14ac:dyDescent="0.3">
      <c r="A524" s="3" t="s">
        <v>124</v>
      </c>
      <c r="B524" s="28">
        <v>45756</v>
      </c>
      <c r="C524" s="28" t="str">
        <f t="shared" si="139"/>
        <v>Q2</v>
      </c>
      <c r="D524" s="28" t="str">
        <f t="shared" si="140"/>
        <v>2024</v>
      </c>
      <c r="E524" s="28" t="str">
        <f t="shared" si="141"/>
        <v>Jun</v>
      </c>
      <c r="F524" s="5">
        <v>45452</v>
      </c>
      <c r="G524" s="5">
        <f t="shared" si="129"/>
        <v>45480</v>
      </c>
      <c r="H524" s="5">
        <v>45480</v>
      </c>
      <c r="I524" s="5" t="str">
        <f t="shared" si="142"/>
        <v>Achieved</v>
      </c>
      <c r="J524" s="14">
        <f t="shared" si="143"/>
        <v>28</v>
      </c>
      <c r="K524" s="14">
        <f t="shared" si="130"/>
        <v>28</v>
      </c>
      <c r="L524" s="3" t="s">
        <v>646</v>
      </c>
      <c r="M524" s="3" t="s">
        <v>658</v>
      </c>
      <c r="N524" s="3" t="s">
        <v>675</v>
      </c>
      <c r="O524" s="3" t="s">
        <v>700</v>
      </c>
      <c r="P524" s="3" t="s">
        <v>707</v>
      </c>
      <c r="Q524" s="3" t="s">
        <v>712</v>
      </c>
      <c r="R524" s="3" t="s">
        <v>726</v>
      </c>
      <c r="S524" s="3" t="s">
        <v>843</v>
      </c>
      <c r="T524" s="21">
        <v>550.22</v>
      </c>
      <c r="U524" s="21" t="str">
        <f t="shared" si="144"/>
        <v>Medium</v>
      </c>
      <c r="V524">
        <f t="shared" si="131"/>
        <v>1025.05</v>
      </c>
      <c r="W524" s="7">
        <v>1025.05</v>
      </c>
      <c r="X524" s="8">
        <v>0</v>
      </c>
      <c r="Y524" s="14">
        <v>27</v>
      </c>
      <c r="Z524" s="7">
        <f t="shared" si="132"/>
        <v>0</v>
      </c>
      <c r="AA524" s="7">
        <f t="shared" si="133"/>
        <v>27676.35</v>
      </c>
      <c r="AB524" s="7">
        <f t="shared" si="134"/>
        <v>27676.35</v>
      </c>
      <c r="AC524" s="7">
        <f t="shared" si="135"/>
        <v>14855.94</v>
      </c>
      <c r="AD524" s="7">
        <f t="shared" si="136"/>
        <v>12820.409999999998</v>
      </c>
      <c r="AE524" s="7">
        <f t="shared" si="137"/>
        <v>12820.409999999998</v>
      </c>
      <c r="AF524" s="26">
        <f t="shared" si="138"/>
        <v>1.8629820798953145</v>
      </c>
      <c r="AG524" s="8">
        <f>IF(DASHBOARD!$Q$7&gt;'staging data'!X524,'staging data'!X524,DASHBOARD!$Q$7)</f>
        <v>0</v>
      </c>
      <c r="AH524">
        <f>(100%+DASHBOARD!$Q$8)*'staging data'!T524</f>
        <v>632.75299999999993</v>
      </c>
      <c r="AI524">
        <f>(100%+DASHBOARD!$Q$9)*'staging data'!Y524</f>
        <v>32.4</v>
      </c>
    </row>
    <row r="525" spans="1:35" x14ac:dyDescent="0.3">
      <c r="A525" s="3" t="s">
        <v>122</v>
      </c>
      <c r="B525" s="28">
        <v>45757</v>
      </c>
      <c r="C525" s="28" t="str">
        <f t="shared" si="139"/>
        <v>Q2</v>
      </c>
      <c r="D525" s="28" t="str">
        <f t="shared" si="140"/>
        <v>2024</v>
      </c>
      <c r="E525" s="28" t="str">
        <f t="shared" si="141"/>
        <v>Oct</v>
      </c>
      <c r="F525" s="5">
        <v>45581</v>
      </c>
      <c r="G525" s="5">
        <f t="shared" si="129"/>
        <v>45604</v>
      </c>
      <c r="H525" s="5">
        <v>45604</v>
      </c>
      <c r="I525" s="5" t="str">
        <f t="shared" si="142"/>
        <v>Achieved</v>
      </c>
      <c r="J525" s="14">
        <f t="shared" si="143"/>
        <v>23</v>
      </c>
      <c r="K525" s="14">
        <f t="shared" si="130"/>
        <v>23</v>
      </c>
      <c r="L525" s="3" t="s">
        <v>646</v>
      </c>
      <c r="M525" s="3" t="s">
        <v>651</v>
      </c>
      <c r="N525" s="3" t="s">
        <v>665</v>
      </c>
      <c r="O525" s="3" t="s">
        <v>704</v>
      </c>
      <c r="P525" s="3" t="s">
        <v>706</v>
      </c>
      <c r="Q525" s="3" t="s">
        <v>712</v>
      </c>
      <c r="R525" s="3" t="s">
        <v>728</v>
      </c>
      <c r="S525" s="3" t="s">
        <v>841</v>
      </c>
      <c r="T525" s="21">
        <v>82.14</v>
      </c>
      <c r="U525" s="21" t="str">
        <f t="shared" si="144"/>
        <v>Low</v>
      </c>
      <c r="V525">
        <f t="shared" si="131"/>
        <v>166.04</v>
      </c>
      <c r="W525" s="7">
        <v>166.04</v>
      </c>
      <c r="X525" s="8">
        <v>0</v>
      </c>
      <c r="Y525" s="14">
        <v>10</v>
      </c>
      <c r="Z525" s="7">
        <f t="shared" si="132"/>
        <v>0</v>
      </c>
      <c r="AA525" s="7">
        <f t="shared" si="133"/>
        <v>1660.3999999999999</v>
      </c>
      <c r="AB525" s="7">
        <f t="shared" si="134"/>
        <v>1660.3999999999999</v>
      </c>
      <c r="AC525" s="7">
        <f t="shared" si="135"/>
        <v>821.4</v>
      </c>
      <c r="AD525" s="7">
        <f t="shared" si="136"/>
        <v>838.99999999999989</v>
      </c>
      <c r="AE525" s="7">
        <f t="shared" si="137"/>
        <v>838.99999999999989</v>
      </c>
      <c r="AF525" s="26">
        <f t="shared" si="138"/>
        <v>2.0214268322376427</v>
      </c>
      <c r="AG525" s="8">
        <f>IF(DASHBOARD!$Q$7&gt;'staging data'!X525,'staging data'!X525,DASHBOARD!$Q$7)</f>
        <v>0</v>
      </c>
      <c r="AH525">
        <f>(100%+DASHBOARD!$Q$8)*'staging data'!T525</f>
        <v>94.460999999999999</v>
      </c>
      <c r="AI525">
        <f>(100%+DASHBOARD!$Q$9)*'staging data'!Y525</f>
        <v>12</v>
      </c>
    </row>
    <row r="526" spans="1:35" x14ac:dyDescent="0.3">
      <c r="A526" s="3" t="s">
        <v>121</v>
      </c>
      <c r="B526" s="28">
        <v>45758</v>
      </c>
      <c r="C526" s="28" t="str">
        <f t="shared" si="139"/>
        <v>Q2</v>
      </c>
      <c r="D526" s="28" t="str">
        <f t="shared" si="140"/>
        <v>2024</v>
      </c>
      <c r="E526" s="28" t="str">
        <f t="shared" si="141"/>
        <v>Aug</v>
      </c>
      <c r="F526" s="5">
        <v>45518</v>
      </c>
      <c r="G526" s="5">
        <f t="shared" si="129"/>
        <v>45539</v>
      </c>
      <c r="H526" s="5">
        <v>45539</v>
      </c>
      <c r="I526" s="5" t="str">
        <f t="shared" si="142"/>
        <v>Achieved</v>
      </c>
      <c r="J526" s="14">
        <f t="shared" si="143"/>
        <v>21</v>
      </c>
      <c r="K526" s="14">
        <f t="shared" si="130"/>
        <v>21</v>
      </c>
      <c r="L526" s="3" t="s">
        <v>648</v>
      </c>
      <c r="M526" s="3" t="s">
        <v>657</v>
      </c>
      <c r="N526" s="3" t="s">
        <v>692</v>
      </c>
      <c r="O526" s="3" t="s">
        <v>702</v>
      </c>
      <c r="P526" s="3" t="s">
        <v>707</v>
      </c>
      <c r="Q526" s="3" t="s">
        <v>712</v>
      </c>
      <c r="R526" s="3" t="s">
        <v>729</v>
      </c>
      <c r="S526" s="3" t="s">
        <v>840</v>
      </c>
      <c r="T526" s="21">
        <v>1138.8</v>
      </c>
      <c r="U526" s="21" t="str">
        <f t="shared" si="144"/>
        <v>High</v>
      </c>
      <c r="V526">
        <f t="shared" si="131"/>
        <v>2250.81</v>
      </c>
      <c r="W526" s="7">
        <v>2250.81</v>
      </c>
      <c r="X526" s="8">
        <v>0.123</v>
      </c>
      <c r="Y526" s="14">
        <v>12</v>
      </c>
      <c r="Z526" s="7">
        <f t="shared" si="132"/>
        <v>276.84962999999999</v>
      </c>
      <c r="AA526" s="7">
        <f t="shared" si="133"/>
        <v>23687.524440000001</v>
      </c>
      <c r="AB526" s="7">
        <f t="shared" si="134"/>
        <v>23410.67481</v>
      </c>
      <c r="AC526" s="7">
        <f t="shared" si="135"/>
        <v>13665.599999999999</v>
      </c>
      <c r="AD526" s="7">
        <f t="shared" si="136"/>
        <v>10021.924440000003</v>
      </c>
      <c r="AE526" s="7">
        <f t="shared" si="137"/>
        <v>9745.0748100000019</v>
      </c>
      <c r="AF526" s="26">
        <f t="shared" si="138"/>
        <v>1.7333687829293996</v>
      </c>
      <c r="AG526" s="8">
        <f>IF(DASHBOARD!$Q$7&gt;'staging data'!X526,'staging data'!X526,DASHBOARD!$Q$7)</f>
        <v>0.123</v>
      </c>
      <c r="AH526">
        <f>(100%+DASHBOARD!$Q$8)*'staging data'!T526</f>
        <v>1309.6199999999999</v>
      </c>
      <c r="AI526">
        <f>(100%+DASHBOARD!$Q$9)*'staging data'!Y526</f>
        <v>14.399999999999999</v>
      </c>
    </row>
    <row r="527" spans="1:35" x14ac:dyDescent="0.3">
      <c r="A527" s="3" t="s">
        <v>120</v>
      </c>
      <c r="B527" s="28">
        <v>45759</v>
      </c>
      <c r="C527" s="28" t="str">
        <f t="shared" si="139"/>
        <v>Q2</v>
      </c>
      <c r="D527" s="28" t="str">
        <f t="shared" si="140"/>
        <v>2023</v>
      </c>
      <c r="E527" s="28" t="str">
        <f t="shared" si="141"/>
        <v>May</v>
      </c>
      <c r="F527" s="5">
        <v>45057</v>
      </c>
      <c r="G527" s="5">
        <f t="shared" si="129"/>
        <v>45084</v>
      </c>
      <c r="H527" s="5">
        <v>45084</v>
      </c>
      <c r="I527" s="5" t="str">
        <f t="shared" si="142"/>
        <v>Achieved</v>
      </c>
      <c r="J527" s="14">
        <f t="shared" si="143"/>
        <v>27</v>
      </c>
      <c r="K527" s="14">
        <f t="shared" si="130"/>
        <v>27</v>
      </c>
      <c r="L527" s="3" t="s">
        <v>645</v>
      </c>
      <c r="M527" s="3" t="s">
        <v>649</v>
      </c>
      <c r="N527" s="3" t="s">
        <v>674</v>
      </c>
      <c r="O527" s="3" t="s">
        <v>700</v>
      </c>
      <c r="P527" s="3" t="s">
        <v>707</v>
      </c>
      <c r="Q527" s="3" t="s">
        <v>712</v>
      </c>
      <c r="R527" s="3" t="s">
        <v>729</v>
      </c>
      <c r="S527" s="3" t="s">
        <v>839</v>
      </c>
      <c r="T527" s="21">
        <v>12.85</v>
      </c>
      <c r="U527" s="21" t="str">
        <f t="shared" si="144"/>
        <v>Low</v>
      </c>
      <c r="V527">
        <f t="shared" si="131"/>
        <v>15.41</v>
      </c>
      <c r="W527" s="7">
        <v>15.41</v>
      </c>
      <c r="X527" s="8">
        <v>0.13700000000000001</v>
      </c>
      <c r="Y527" s="14">
        <v>39</v>
      </c>
      <c r="Z527" s="7">
        <f t="shared" si="132"/>
        <v>2.11117</v>
      </c>
      <c r="AA527" s="7">
        <f t="shared" si="133"/>
        <v>518.65436999999997</v>
      </c>
      <c r="AB527" s="7">
        <f t="shared" si="134"/>
        <v>516.54319999999996</v>
      </c>
      <c r="AC527" s="7">
        <f t="shared" si="135"/>
        <v>501.15</v>
      </c>
      <c r="AD527" s="7">
        <f t="shared" si="136"/>
        <v>17.504369999999994</v>
      </c>
      <c r="AE527" s="7">
        <f t="shared" si="137"/>
        <v>15.393199999999979</v>
      </c>
      <c r="AF527" s="26">
        <f t="shared" si="138"/>
        <v>1.0349284046692606</v>
      </c>
      <c r="AG527" s="8">
        <f>IF(DASHBOARD!$Q$7&gt;'staging data'!X527,'staging data'!X527,DASHBOARD!$Q$7)</f>
        <v>0.13700000000000001</v>
      </c>
      <c r="AH527">
        <f>(100%+DASHBOARD!$Q$8)*'staging data'!T527</f>
        <v>14.777499999999998</v>
      </c>
      <c r="AI527">
        <f>(100%+DASHBOARD!$Q$9)*'staging data'!Y527</f>
        <v>46.8</v>
      </c>
    </row>
    <row r="528" spans="1:35" x14ac:dyDescent="0.3">
      <c r="A528" s="3" t="s">
        <v>119</v>
      </c>
      <c r="B528" s="28">
        <v>45760</v>
      </c>
      <c r="C528" s="28" t="str">
        <f t="shared" si="139"/>
        <v>Q2</v>
      </c>
      <c r="D528" s="28" t="str">
        <f t="shared" si="140"/>
        <v>2024</v>
      </c>
      <c r="E528" s="28" t="str">
        <f t="shared" si="141"/>
        <v>May</v>
      </c>
      <c r="F528" s="5">
        <v>45433</v>
      </c>
      <c r="G528" s="5">
        <f t="shared" si="129"/>
        <v>45439</v>
      </c>
      <c r="H528" s="5">
        <v>45439</v>
      </c>
      <c r="I528" s="5" t="str">
        <f t="shared" si="142"/>
        <v>Not achieved</v>
      </c>
      <c r="J528" s="14">
        <f t="shared" si="143"/>
        <v>6</v>
      </c>
      <c r="K528" s="14">
        <f t="shared" si="130"/>
        <v>6</v>
      </c>
      <c r="L528" s="3" t="s">
        <v>645</v>
      </c>
      <c r="M528" s="3" t="s">
        <v>660</v>
      </c>
      <c r="N528" s="3" t="s">
        <v>681</v>
      </c>
      <c r="O528" s="3" t="s">
        <v>702</v>
      </c>
      <c r="P528" s="3" t="s">
        <v>707</v>
      </c>
      <c r="Q528" s="3" t="s">
        <v>723</v>
      </c>
      <c r="R528" s="3" t="s">
        <v>726</v>
      </c>
      <c r="S528" s="3" t="s">
        <v>838</v>
      </c>
      <c r="T528" s="21">
        <v>1157.51</v>
      </c>
      <c r="U528" s="21" t="str">
        <f t="shared" si="144"/>
        <v>Medium</v>
      </c>
      <c r="V528">
        <f t="shared" si="131"/>
        <v>1394.3</v>
      </c>
      <c r="W528" s="7">
        <v>1394.3</v>
      </c>
      <c r="X528" s="8">
        <v>0.27800000000000002</v>
      </c>
      <c r="Y528" s="14">
        <v>12</v>
      </c>
      <c r="Z528" s="7">
        <f t="shared" si="132"/>
        <v>387.61540000000002</v>
      </c>
      <c r="AA528" s="7">
        <f t="shared" si="133"/>
        <v>12080.215199999999</v>
      </c>
      <c r="AB528" s="7">
        <f t="shared" si="134"/>
        <v>11692.599799999998</v>
      </c>
      <c r="AC528" s="7">
        <f t="shared" si="135"/>
        <v>13890.119999999999</v>
      </c>
      <c r="AD528" s="7">
        <f t="shared" si="136"/>
        <v>-1809.9048000000003</v>
      </c>
      <c r="AE528" s="7">
        <f t="shared" si="137"/>
        <v>-2197.5202000000008</v>
      </c>
      <c r="AF528" s="26">
        <f t="shared" si="138"/>
        <v>0.86969840433343981</v>
      </c>
      <c r="AG528" s="8">
        <f>IF(DASHBOARD!$Q$7&gt;'staging data'!X528,'staging data'!X528,DASHBOARD!$Q$7)</f>
        <v>0.2</v>
      </c>
      <c r="AH528">
        <f>(100%+DASHBOARD!$Q$8)*'staging data'!T528</f>
        <v>1331.1364999999998</v>
      </c>
      <c r="AI528">
        <f>(100%+DASHBOARD!$Q$9)*'staging data'!Y528</f>
        <v>14.399999999999999</v>
      </c>
    </row>
    <row r="529" spans="1:35" x14ac:dyDescent="0.3">
      <c r="A529" s="3" t="s">
        <v>118</v>
      </c>
      <c r="B529" s="28">
        <v>45761</v>
      </c>
      <c r="C529" s="28" t="str">
        <f t="shared" si="139"/>
        <v>Q2</v>
      </c>
      <c r="D529" s="28" t="str">
        <f t="shared" si="140"/>
        <v>2024</v>
      </c>
      <c r="E529" s="28" t="str">
        <f t="shared" si="141"/>
        <v>Sept</v>
      </c>
      <c r="F529" s="5">
        <v>45549</v>
      </c>
      <c r="G529" s="5">
        <f t="shared" si="129"/>
        <v>45570</v>
      </c>
      <c r="H529" s="5">
        <v>45570</v>
      </c>
      <c r="I529" s="5" t="str">
        <f t="shared" si="142"/>
        <v>Achieved</v>
      </c>
      <c r="J529" s="14">
        <f t="shared" si="143"/>
        <v>21</v>
      </c>
      <c r="K529" s="14">
        <f t="shared" si="130"/>
        <v>21</v>
      </c>
      <c r="L529" s="3" t="s">
        <v>646</v>
      </c>
      <c r="M529" s="3" t="s">
        <v>658</v>
      </c>
      <c r="N529" s="3" t="s">
        <v>684</v>
      </c>
      <c r="O529" s="3" t="s">
        <v>704</v>
      </c>
      <c r="P529" s="3" t="s">
        <v>707</v>
      </c>
      <c r="Q529" s="3" t="s">
        <v>721</v>
      </c>
      <c r="R529" s="3" t="s">
        <v>730</v>
      </c>
      <c r="S529" s="3" t="s">
        <v>837</v>
      </c>
      <c r="T529" s="21">
        <v>1405.56</v>
      </c>
      <c r="U529" s="21" t="str">
        <f t="shared" si="144"/>
        <v>High</v>
      </c>
      <c r="V529">
        <f t="shared" si="131"/>
        <v>2968.87</v>
      </c>
      <c r="W529" s="7">
        <v>2968.87</v>
      </c>
      <c r="X529" s="8">
        <v>0.16900000000000001</v>
      </c>
      <c r="Y529" s="14">
        <v>5</v>
      </c>
      <c r="Z529" s="7">
        <f t="shared" si="132"/>
        <v>501.73903000000001</v>
      </c>
      <c r="AA529" s="7">
        <f t="shared" si="133"/>
        <v>12335.654849999999</v>
      </c>
      <c r="AB529" s="7">
        <f t="shared" si="134"/>
        <v>11833.915819999998</v>
      </c>
      <c r="AC529" s="7">
        <f t="shared" si="135"/>
        <v>7027.7999999999993</v>
      </c>
      <c r="AD529" s="7">
        <f t="shared" si="136"/>
        <v>5307.8548499999997</v>
      </c>
      <c r="AE529" s="7">
        <f t="shared" si="137"/>
        <v>4806.1158199999991</v>
      </c>
      <c r="AF529" s="26">
        <f t="shared" si="138"/>
        <v>1.7552654956031759</v>
      </c>
      <c r="AG529" s="8">
        <f>IF(DASHBOARD!$Q$7&gt;'staging data'!X529,'staging data'!X529,DASHBOARD!$Q$7)</f>
        <v>0.16900000000000001</v>
      </c>
      <c r="AH529">
        <f>(100%+DASHBOARD!$Q$8)*'staging data'!T529</f>
        <v>1616.3939999999998</v>
      </c>
      <c r="AI529">
        <f>(100%+DASHBOARD!$Q$9)*'staging data'!Y529</f>
        <v>6</v>
      </c>
    </row>
    <row r="530" spans="1:35" x14ac:dyDescent="0.3">
      <c r="A530" s="3" t="s">
        <v>116</v>
      </c>
      <c r="B530" s="28">
        <v>45763</v>
      </c>
      <c r="C530" s="28" t="str">
        <f t="shared" si="139"/>
        <v>Q2</v>
      </c>
      <c r="D530" s="28" t="str">
        <f t="shared" si="140"/>
        <v>2025</v>
      </c>
      <c r="E530" s="28" t="str">
        <f t="shared" si="141"/>
        <v>Mar</v>
      </c>
      <c r="F530" s="5">
        <v>45747</v>
      </c>
      <c r="G530" s="5">
        <f t="shared" si="129"/>
        <v>45751</v>
      </c>
      <c r="H530" s="5">
        <v>45751</v>
      </c>
      <c r="I530" s="5" t="str">
        <f t="shared" si="142"/>
        <v>Not achieved</v>
      </c>
      <c r="J530" s="14">
        <f t="shared" si="143"/>
        <v>4</v>
      </c>
      <c r="K530" s="14">
        <f t="shared" si="130"/>
        <v>4</v>
      </c>
      <c r="L530" s="3" t="s">
        <v>645</v>
      </c>
      <c r="M530" s="3" t="s">
        <v>649</v>
      </c>
      <c r="N530" s="3" t="s">
        <v>677</v>
      </c>
      <c r="O530" s="3" t="s">
        <v>700</v>
      </c>
      <c r="P530" s="3" t="s">
        <v>710</v>
      </c>
      <c r="Q530" s="3" t="s">
        <v>711</v>
      </c>
      <c r="R530" s="3" t="s">
        <v>730</v>
      </c>
      <c r="S530" s="3" t="s">
        <v>835</v>
      </c>
      <c r="T530" s="21">
        <v>862.08</v>
      </c>
      <c r="U530" s="21" t="str">
        <f t="shared" si="144"/>
        <v>High</v>
      </c>
      <c r="V530">
        <f t="shared" si="131"/>
        <v>1952.83</v>
      </c>
      <c r="W530" s="7">
        <v>1952.83</v>
      </c>
      <c r="X530" s="8">
        <v>0</v>
      </c>
      <c r="Y530" s="14">
        <v>7</v>
      </c>
      <c r="Z530" s="7">
        <f t="shared" si="132"/>
        <v>0</v>
      </c>
      <c r="AA530" s="7">
        <f t="shared" si="133"/>
        <v>13669.81</v>
      </c>
      <c r="AB530" s="7">
        <f t="shared" si="134"/>
        <v>13669.81</v>
      </c>
      <c r="AC530" s="7">
        <f t="shared" si="135"/>
        <v>6034.56</v>
      </c>
      <c r="AD530" s="7">
        <f t="shared" si="136"/>
        <v>7635.2499999999991</v>
      </c>
      <c r="AE530" s="7">
        <f t="shared" si="137"/>
        <v>7635.2499999999991</v>
      </c>
      <c r="AF530" s="26">
        <f t="shared" si="138"/>
        <v>2.2652538047512989</v>
      </c>
      <c r="AG530" s="8">
        <f>IF(DASHBOARD!$Q$7&gt;'staging data'!X530,'staging data'!X530,DASHBOARD!$Q$7)</f>
        <v>0</v>
      </c>
      <c r="AH530">
        <f>(100%+DASHBOARD!$Q$8)*'staging data'!T530</f>
        <v>991.39199999999994</v>
      </c>
      <c r="AI530">
        <f>(100%+DASHBOARD!$Q$9)*'staging data'!Y530</f>
        <v>8.4</v>
      </c>
    </row>
    <row r="531" spans="1:35" x14ac:dyDescent="0.3">
      <c r="A531" s="3" t="s">
        <v>117</v>
      </c>
      <c r="B531" s="28">
        <v>45763</v>
      </c>
      <c r="C531" s="28" t="str">
        <f t="shared" si="139"/>
        <v>Q2</v>
      </c>
      <c r="D531" s="28" t="str">
        <f t="shared" si="140"/>
        <v>2024</v>
      </c>
      <c r="E531" s="28" t="str">
        <f t="shared" si="141"/>
        <v>Dec</v>
      </c>
      <c r="F531" s="5">
        <v>45631</v>
      </c>
      <c r="G531" s="5">
        <f t="shared" si="129"/>
        <v>45654</v>
      </c>
      <c r="H531" s="5">
        <v>45654</v>
      </c>
      <c r="I531" s="5" t="str">
        <f t="shared" si="142"/>
        <v>Achieved</v>
      </c>
      <c r="J531" s="14">
        <f t="shared" si="143"/>
        <v>23</v>
      </c>
      <c r="K531" s="14">
        <f t="shared" si="130"/>
        <v>23</v>
      </c>
      <c r="L531" s="3" t="s">
        <v>647</v>
      </c>
      <c r="M531" s="3" t="s">
        <v>652</v>
      </c>
      <c r="N531" s="3" t="s">
        <v>687</v>
      </c>
      <c r="O531" s="3" t="s">
        <v>700</v>
      </c>
      <c r="P531" s="3" t="s">
        <v>710</v>
      </c>
      <c r="Q531" s="3" t="s">
        <v>720</v>
      </c>
      <c r="R531" s="3" t="s">
        <v>732</v>
      </c>
      <c r="S531" s="3" t="s">
        <v>836</v>
      </c>
      <c r="T531" s="21">
        <v>107.03</v>
      </c>
      <c r="U531" s="21" t="str">
        <f t="shared" si="144"/>
        <v>Low</v>
      </c>
      <c r="V531">
        <f t="shared" si="131"/>
        <v>242.29</v>
      </c>
      <c r="W531" s="7">
        <v>242.29</v>
      </c>
      <c r="X531" s="8">
        <v>0.18</v>
      </c>
      <c r="Y531" s="14">
        <v>30</v>
      </c>
      <c r="Z531" s="7">
        <f t="shared" si="132"/>
        <v>43.612199999999994</v>
      </c>
      <c r="AA531" s="7">
        <f t="shared" si="133"/>
        <v>5960.3340000000007</v>
      </c>
      <c r="AB531" s="7">
        <f t="shared" si="134"/>
        <v>5916.7218000000012</v>
      </c>
      <c r="AC531" s="7">
        <f t="shared" si="135"/>
        <v>3210.9</v>
      </c>
      <c r="AD531" s="7">
        <f t="shared" si="136"/>
        <v>2749.4340000000007</v>
      </c>
      <c r="AE531" s="7">
        <f t="shared" si="137"/>
        <v>2705.8218000000011</v>
      </c>
      <c r="AF531" s="26">
        <f t="shared" si="138"/>
        <v>1.8562814164253014</v>
      </c>
      <c r="AG531" s="8">
        <f>IF(DASHBOARD!$Q$7&gt;'staging data'!X531,'staging data'!X531,DASHBOARD!$Q$7)</f>
        <v>0.18</v>
      </c>
      <c r="AH531">
        <f>(100%+DASHBOARD!$Q$8)*'staging data'!T531</f>
        <v>123.08449999999999</v>
      </c>
      <c r="AI531">
        <f>(100%+DASHBOARD!$Q$9)*'staging data'!Y531</f>
        <v>36</v>
      </c>
    </row>
    <row r="532" spans="1:35" x14ac:dyDescent="0.3">
      <c r="A532" s="3" t="s">
        <v>114</v>
      </c>
      <c r="B532" s="28">
        <v>45764</v>
      </c>
      <c r="C532" s="28" t="str">
        <f t="shared" si="139"/>
        <v>Q2</v>
      </c>
      <c r="D532" s="28" t="str">
        <f t="shared" si="140"/>
        <v>2025</v>
      </c>
      <c r="E532" s="28" t="str">
        <f t="shared" si="141"/>
        <v>Jan</v>
      </c>
      <c r="F532" s="5">
        <v>45684</v>
      </c>
      <c r="G532" s="5">
        <f t="shared" si="129"/>
        <v>45703</v>
      </c>
      <c r="H532" s="5">
        <v>45703</v>
      </c>
      <c r="I532" s="5" t="str">
        <f t="shared" si="142"/>
        <v>Achieved</v>
      </c>
      <c r="J532" s="14">
        <f t="shared" si="143"/>
        <v>19</v>
      </c>
      <c r="K532" s="14">
        <f t="shared" si="130"/>
        <v>19</v>
      </c>
      <c r="L532" s="3" t="s">
        <v>646</v>
      </c>
      <c r="M532" s="3" t="s">
        <v>658</v>
      </c>
      <c r="N532" s="3" t="s">
        <v>675</v>
      </c>
      <c r="O532" s="3" t="s">
        <v>702</v>
      </c>
      <c r="P532" s="3" t="s">
        <v>710</v>
      </c>
      <c r="Q532" s="3" t="s">
        <v>715</v>
      </c>
      <c r="R532" s="3" t="s">
        <v>729</v>
      </c>
      <c r="S532" s="3" t="s">
        <v>833</v>
      </c>
      <c r="T532" s="21">
        <v>1253.22</v>
      </c>
      <c r="U532" s="21" t="str">
        <f t="shared" si="144"/>
        <v>High</v>
      </c>
      <c r="V532">
        <f t="shared" si="131"/>
        <v>3104.71</v>
      </c>
      <c r="W532" s="7">
        <v>3104.71</v>
      </c>
      <c r="X532" s="8">
        <v>0</v>
      </c>
      <c r="Y532" s="14">
        <v>17</v>
      </c>
      <c r="Z532" s="7">
        <f t="shared" si="132"/>
        <v>0</v>
      </c>
      <c r="AA532" s="7">
        <f t="shared" si="133"/>
        <v>52780.07</v>
      </c>
      <c r="AB532" s="7">
        <f t="shared" si="134"/>
        <v>52780.07</v>
      </c>
      <c r="AC532" s="7">
        <f t="shared" si="135"/>
        <v>21304.74</v>
      </c>
      <c r="AD532" s="7">
        <f t="shared" si="136"/>
        <v>31475.329999999998</v>
      </c>
      <c r="AE532" s="7">
        <f t="shared" si="137"/>
        <v>31475.329999999998</v>
      </c>
      <c r="AF532" s="26">
        <f t="shared" si="138"/>
        <v>2.4773862530122401</v>
      </c>
      <c r="AG532" s="8">
        <f>IF(DASHBOARD!$Q$7&gt;'staging data'!X532,'staging data'!X532,DASHBOARD!$Q$7)</f>
        <v>0</v>
      </c>
      <c r="AH532">
        <f>(100%+DASHBOARD!$Q$8)*'staging data'!T532</f>
        <v>1441.203</v>
      </c>
      <c r="AI532">
        <f>(100%+DASHBOARD!$Q$9)*'staging data'!Y532</f>
        <v>20.399999999999999</v>
      </c>
    </row>
    <row r="533" spans="1:35" x14ac:dyDescent="0.3">
      <c r="A533" s="3" t="s">
        <v>115</v>
      </c>
      <c r="B533" s="28">
        <v>45764</v>
      </c>
      <c r="C533" s="28" t="str">
        <f t="shared" si="139"/>
        <v>Q2</v>
      </c>
      <c r="D533" s="28" t="str">
        <f t="shared" si="140"/>
        <v>2024</v>
      </c>
      <c r="E533" s="28" t="str">
        <f t="shared" si="141"/>
        <v>Jan</v>
      </c>
      <c r="F533" s="5">
        <v>45304</v>
      </c>
      <c r="G533" s="5">
        <f t="shared" si="129"/>
        <v>45313</v>
      </c>
      <c r="H533" s="5">
        <v>45313</v>
      </c>
      <c r="I533" s="5" t="str">
        <f t="shared" si="142"/>
        <v>Achieved</v>
      </c>
      <c r="J533" s="14">
        <f t="shared" si="143"/>
        <v>9</v>
      </c>
      <c r="K533" s="14">
        <f t="shared" si="130"/>
        <v>9</v>
      </c>
      <c r="L533" s="3" t="s">
        <v>646</v>
      </c>
      <c r="M533" s="3" t="s">
        <v>653</v>
      </c>
      <c r="N533" s="3" t="s">
        <v>690</v>
      </c>
      <c r="O533" s="3" t="s">
        <v>705</v>
      </c>
      <c r="P533" s="3" t="s">
        <v>708</v>
      </c>
      <c r="Q533" s="3" t="s">
        <v>712</v>
      </c>
      <c r="R533" s="3" t="s">
        <v>726</v>
      </c>
      <c r="S533" s="3" t="s">
        <v>834</v>
      </c>
      <c r="T533" s="21">
        <v>313.60000000000002</v>
      </c>
      <c r="U533" s="21" t="str">
        <f t="shared" si="144"/>
        <v>Low</v>
      </c>
      <c r="V533">
        <f t="shared" si="131"/>
        <v>334.28</v>
      </c>
      <c r="W533" s="7">
        <v>334.28</v>
      </c>
      <c r="X533" s="8">
        <v>0.14000000000000001</v>
      </c>
      <c r="Y533" s="14">
        <v>22</v>
      </c>
      <c r="Z533" s="7">
        <f t="shared" si="132"/>
        <v>46.799199999999999</v>
      </c>
      <c r="AA533" s="7">
        <f t="shared" si="133"/>
        <v>6324.5775999999996</v>
      </c>
      <c r="AB533" s="7">
        <f t="shared" si="134"/>
        <v>6277.7783999999992</v>
      </c>
      <c r="AC533" s="7">
        <f t="shared" si="135"/>
        <v>6899.2000000000007</v>
      </c>
      <c r="AD533" s="7">
        <f t="shared" si="136"/>
        <v>-574.62240000000111</v>
      </c>
      <c r="AE533" s="7">
        <f t="shared" si="137"/>
        <v>-621.42160000000149</v>
      </c>
      <c r="AF533" s="26">
        <f t="shared" si="138"/>
        <v>0.91671173469387734</v>
      </c>
      <c r="AG533" s="8">
        <f>IF(DASHBOARD!$Q$7&gt;'staging data'!X533,'staging data'!X533,DASHBOARD!$Q$7)</f>
        <v>0.14000000000000001</v>
      </c>
      <c r="AH533">
        <f>(100%+DASHBOARD!$Q$8)*'staging data'!T533</f>
        <v>360.64</v>
      </c>
      <c r="AI533">
        <f>(100%+DASHBOARD!$Q$9)*'staging data'!Y533</f>
        <v>26.4</v>
      </c>
    </row>
    <row r="534" spans="1:35" x14ac:dyDescent="0.3">
      <c r="A534" s="3" t="s">
        <v>112</v>
      </c>
      <c r="B534" s="28">
        <v>45769</v>
      </c>
      <c r="C534" s="28" t="str">
        <f t="shared" si="139"/>
        <v>Q2</v>
      </c>
      <c r="D534" s="28" t="str">
        <f t="shared" si="140"/>
        <v>2025</v>
      </c>
      <c r="E534" s="28" t="str">
        <f t="shared" si="141"/>
        <v>Jul</v>
      </c>
      <c r="F534" s="5">
        <v>45860</v>
      </c>
      <c r="G534" s="5">
        <f t="shared" si="129"/>
        <v>45887</v>
      </c>
      <c r="H534" s="5">
        <v>45887</v>
      </c>
      <c r="I534" s="5" t="str">
        <f t="shared" si="142"/>
        <v>Achieved</v>
      </c>
      <c r="J534" s="14">
        <f t="shared" si="143"/>
        <v>27</v>
      </c>
      <c r="K534" s="14">
        <f t="shared" si="130"/>
        <v>27</v>
      </c>
      <c r="L534" s="3" t="s">
        <v>646</v>
      </c>
      <c r="M534" s="3" t="s">
        <v>658</v>
      </c>
      <c r="N534" s="3" t="s">
        <v>675</v>
      </c>
      <c r="O534" s="3" t="s">
        <v>702</v>
      </c>
      <c r="P534" s="3" t="s">
        <v>708</v>
      </c>
      <c r="Q534" s="3" t="s">
        <v>723</v>
      </c>
      <c r="R534" s="3" t="s">
        <v>728</v>
      </c>
      <c r="S534" s="3" t="s">
        <v>831</v>
      </c>
      <c r="T534" s="21">
        <v>547.32000000000005</v>
      </c>
      <c r="U534" s="21" t="str">
        <f t="shared" si="144"/>
        <v>Low</v>
      </c>
      <c r="V534">
        <f t="shared" si="131"/>
        <v>419.17</v>
      </c>
      <c r="W534" s="7">
        <v>419.17</v>
      </c>
      <c r="X534" s="8">
        <v>9.1999999999999998E-2</v>
      </c>
      <c r="Y534" s="14">
        <v>14</v>
      </c>
      <c r="Z534" s="7">
        <f t="shared" si="132"/>
        <v>38.563639999999999</v>
      </c>
      <c r="AA534" s="7">
        <f t="shared" si="133"/>
        <v>5328.4890400000004</v>
      </c>
      <c r="AB534" s="7">
        <f t="shared" si="134"/>
        <v>5289.9254000000001</v>
      </c>
      <c r="AC534" s="7">
        <f t="shared" si="135"/>
        <v>7662.4800000000005</v>
      </c>
      <c r="AD534" s="7">
        <f t="shared" si="136"/>
        <v>-2333.9909600000001</v>
      </c>
      <c r="AE534" s="7">
        <f t="shared" si="137"/>
        <v>-2372.5546000000004</v>
      </c>
      <c r="AF534" s="26">
        <f t="shared" si="138"/>
        <v>0.69540005846671049</v>
      </c>
      <c r="AG534" s="8">
        <f>IF(DASHBOARD!$Q$7&gt;'staging data'!X534,'staging data'!X534,DASHBOARD!$Q$7)</f>
        <v>9.1999999999999998E-2</v>
      </c>
      <c r="AH534">
        <f>(100%+DASHBOARD!$Q$8)*'staging data'!T534</f>
        <v>629.41800000000001</v>
      </c>
      <c r="AI534">
        <f>(100%+DASHBOARD!$Q$9)*'staging data'!Y534</f>
        <v>16.8</v>
      </c>
    </row>
    <row r="535" spans="1:35" x14ac:dyDescent="0.3">
      <c r="A535" s="3" t="s">
        <v>113</v>
      </c>
      <c r="B535" s="28">
        <v>45769</v>
      </c>
      <c r="C535" s="28" t="str">
        <f t="shared" si="139"/>
        <v>Q2</v>
      </c>
      <c r="D535" s="28" t="str">
        <f t="shared" si="140"/>
        <v>2023</v>
      </c>
      <c r="E535" s="28" t="str">
        <f t="shared" si="141"/>
        <v>Feb</v>
      </c>
      <c r="F535" s="5">
        <v>44985</v>
      </c>
      <c r="G535" s="5">
        <f t="shared" si="129"/>
        <v>45005</v>
      </c>
      <c r="H535" s="5">
        <v>45005</v>
      </c>
      <c r="I535" s="5" t="str">
        <f t="shared" si="142"/>
        <v>Achieved</v>
      </c>
      <c r="J535" s="14">
        <f t="shared" si="143"/>
        <v>20</v>
      </c>
      <c r="K535" s="14">
        <f t="shared" si="130"/>
        <v>20</v>
      </c>
      <c r="L535" s="3" t="s">
        <v>648</v>
      </c>
      <c r="M535" s="3" t="s">
        <v>655</v>
      </c>
      <c r="N535" s="3" t="s">
        <v>670</v>
      </c>
      <c r="O535" s="3" t="s">
        <v>704</v>
      </c>
      <c r="P535" s="3" t="s">
        <v>710</v>
      </c>
      <c r="Q535" s="3" t="s">
        <v>721</v>
      </c>
      <c r="R535" s="3" t="s">
        <v>730</v>
      </c>
      <c r="S535" s="3" t="s">
        <v>832</v>
      </c>
      <c r="T535" s="21">
        <v>1200.78</v>
      </c>
      <c r="U535" s="21" t="str">
        <f t="shared" si="144"/>
        <v>High</v>
      </c>
      <c r="V535">
        <f t="shared" si="131"/>
        <v>2001.17</v>
      </c>
      <c r="W535" s="7">
        <v>2001.17</v>
      </c>
      <c r="X535" s="8">
        <v>0.29199999999999998</v>
      </c>
      <c r="Y535" s="14">
        <v>18</v>
      </c>
      <c r="Z535" s="7">
        <f t="shared" si="132"/>
        <v>584.34163999999998</v>
      </c>
      <c r="AA535" s="7">
        <f t="shared" si="133"/>
        <v>25502.910479999999</v>
      </c>
      <c r="AB535" s="7">
        <f t="shared" si="134"/>
        <v>24918.56884</v>
      </c>
      <c r="AC535" s="7">
        <f t="shared" si="135"/>
        <v>21614.04</v>
      </c>
      <c r="AD535" s="7">
        <f t="shared" si="136"/>
        <v>3888.8704799999978</v>
      </c>
      <c r="AE535" s="7">
        <f t="shared" si="137"/>
        <v>3304.528839999999</v>
      </c>
      <c r="AF535" s="26">
        <f t="shared" si="138"/>
        <v>1.1799233498226152</v>
      </c>
      <c r="AG535" s="8">
        <f>IF(DASHBOARD!$Q$7&gt;'staging data'!X535,'staging data'!X535,DASHBOARD!$Q$7)</f>
        <v>0.2</v>
      </c>
      <c r="AH535">
        <f>(100%+DASHBOARD!$Q$8)*'staging data'!T535</f>
        <v>1380.8969999999999</v>
      </c>
      <c r="AI535">
        <f>(100%+DASHBOARD!$Q$9)*'staging data'!Y535</f>
        <v>21.599999999999998</v>
      </c>
    </row>
    <row r="536" spans="1:35" x14ac:dyDescent="0.3">
      <c r="A536" s="3" t="s">
        <v>111</v>
      </c>
      <c r="B536" s="28">
        <v>45770</v>
      </c>
      <c r="C536" s="28" t="str">
        <f t="shared" si="139"/>
        <v>Q2</v>
      </c>
      <c r="D536" s="28" t="str">
        <f t="shared" si="140"/>
        <v>2024</v>
      </c>
      <c r="E536" s="28" t="str">
        <f t="shared" si="141"/>
        <v>May</v>
      </c>
      <c r="F536" s="5">
        <v>45440</v>
      </c>
      <c r="G536" s="5">
        <f t="shared" si="129"/>
        <v>45440</v>
      </c>
      <c r="H536" s="5">
        <v>45438</v>
      </c>
      <c r="I536" s="5" t="str">
        <f t="shared" si="142"/>
        <v>Not achieved</v>
      </c>
      <c r="J536" s="14">
        <f t="shared" si="143"/>
        <v>0</v>
      </c>
      <c r="K536" s="14">
        <f t="shared" si="130"/>
        <v>-2</v>
      </c>
      <c r="L536" s="3" t="s">
        <v>645</v>
      </c>
      <c r="M536" s="3" t="s">
        <v>650</v>
      </c>
      <c r="N536" s="3" t="s">
        <v>668</v>
      </c>
      <c r="O536" s="3" t="s">
        <v>705</v>
      </c>
      <c r="P536" s="3" t="s">
        <v>707</v>
      </c>
      <c r="Q536" s="3" t="s">
        <v>720</v>
      </c>
      <c r="R536" s="3" t="s">
        <v>732</v>
      </c>
      <c r="S536" s="3" t="s">
        <v>830</v>
      </c>
      <c r="T536" s="21">
        <v>1227.08</v>
      </c>
      <c r="U536" s="21" t="str">
        <f t="shared" si="144"/>
        <v>High</v>
      </c>
      <c r="V536">
        <f t="shared" si="131"/>
        <v>1896.62</v>
      </c>
      <c r="W536" s="7">
        <v>1896.62</v>
      </c>
      <c r="X536" s="8">
        <v>0</v>
      </c>
      <c r="Y536" s="14">
        <v>18</v>
      </c>
      <c r="Z536" s="7">
        <f t="shared" si="132"/>
        <v>0</v>
      </c>
      <c r="AA536" s="7">
        <f t="shared" si="133"/>
        <v>34139.159999999996</v>
      </c>
      <c r="AB536" s="7">
        <f t="shared" si="134"/>
        <v>34139.159999999996</v>
      </c>
      <c r="AC536" s="7">
        <f t="shared" si="135"/>
        <v>22087.439999999999</v>
      </c>
      <c r="AD536" s="7">
        <f t="shared" si="136"/>
        <v>12051.719999999998</v>
      </c>
      <c r="AE536" s="7">
        <f t="shared" si="137"/>
        <v>12051.719999999998</v>
      </c>
      <c r="AF536" s="26">
        <f t="shared" si="138"/>
        <v>1.5456367962969</v>
      </c>
      <c r="AG536" s="8">
        <f>IF(DASHBOARD!$Q$7&gt;'staging data'!X536,'staging data'!X536,DASHBOARD!$Q$7)</f>
        <v>0</v>
      </c>
      <c r="AH536">
        <f>(100%+DASHBOARD!$Q$8)*'staging data'!T536</f>
        <v>1411.1419999999998</v>
      </c>
      <c r="AI536">
        <f>(100%+DASHBOARD!$Q$9)*'staging data'!Y536</f>
        <v>21.599999999999998</v>
      </c>
    </row>
    <row r="537" spans="1:35" x14ac:dyDescent="0.3">
      <c r="A537" s="3" t="s">
        <v>110</v>
      </c>
      <c r="B537" s="28">
        <v>45771</v>
      </c>
      <c r="C537" s="28" t="str">
        <f t="shared" si="139"/>
        <v>Q2</v>
      </c>
      <c r="D537" s="28" t="str">
        <f t="shared" si="140"/>
        <v>2025</v>
      </c>
      <c r="E537" s="28" t="str">
        <f t="shared" si="141"/>
        <v>Aug</v>
      </c>
      <c r="F537" s="5">
        <v>45870</v>
      </c>
      <c r="G537" s="5">
        <f t="shared" si="129"/>
        <v>45885</v>
      </c>
      <c r="H537" s="5">
        <v>45885</v>
      </c>
      <c r="I537" s="5" t="str">
        <f t="shared" si="142"/>
        <v>Achieved</v>
      </c>
      <c r="J537" s="14">
        <f t="shared" si="143"/>
        <v>15</v>
      </c>
      <c r="K537" s="14">
        <f t="shared" si="130"/>
        <v>15</v>
      </c>
      <c r="L537" s="3" t="s">
        <v>646</v>
      </c>
      <c r="M537" s="3" t="s">
        <v>653</v>
      </c>
      <c r="N537" s="3" t="s">
        <v>695</v>
      </c>
      <c r="O537" s="3" t="s">
        <v>705</v>
      </c>
      <c r="P537" s="3" t="s">
        <v>710</v>
      </c>
      <c r="Q537" s="3" t="s">
        <v>718</v>
      </c>
      <c r="R537" s="3" t="s">
        <v>731</v>
      </c>
      <c r="S537" s="3" t="s">
        <v>829</v>
      </c>
      <c r="T537" s="21">
        <v>24.44</v>
      </c>
      <c r="U537" s="21" t="str">
        <f t="shared" si="144"/>
        <v>Low</v>
      </c>
      <c r="V537">
        <f t="shared" si="131"/>
        <v>28.69</v>
      </c>
      <c r="W537" s="7">
        <v>28.69</v>
      </c>
      <c r="X537" s="8">
        <v>0.14599999999999999</v>
      </c>
      <c r="Y537" s="14">
        <v>6</v>
      </c>
      <c r="Z537" s="7">
        <f t="shared" si="132"/>
        <v>4.1887400000000001</v>
      </c>
      <c r="AA537" s="7">
        <f t="shared" si="133"/>
        <v>147.00756000000001</v>
      </c>
      <c r="AB537" s="7">
        <f t="shared" si="134"/>
        <v>142.81882000000002</v>
      </c>
      <c r="AC537" s="7">
        <f t="shared" si="135"/>
        <v>146.64000000000001</v>
      </c>
      <c r="AD537" s="7">
        <f t="shared" si="136"/>
        <v>0.36755999999999744</v>
      </c>
      <c r="AE537" s="7">
        <f t="shared" si="137"/>
        <v>-3.8211799999999982</v>
      </c>
      <c r="AF537" s="26">
        <f t="shared" si="138"/>
        <v>1.0025065466448444</v>
      </c>
      <c r="AG537" s="8">
        <f>IF(DASHBOARD!$Q$7&gt;'staging data'!X537,'staging data'!X537,DASHBOARD!$Q$7)</f>
        <v>0.14599999999999999</v>
      </c>
      <c r="AH537">
        <f>(100%+DASHBOARD!$Q$8)*'staging data'!T537</f>
        <v>28.105999999999998</v>
      </c>
      <c r="AI537">
        <f>(100%+DASHBOARD!$Q$9)*'staging data'!Y537</f>
        <v>7.1999999999999993</v>
      </c>
    </row>
    <row r="538" spans="1:35" x14ac:dyDescent="0.3">
      <c r="A538" s="3" t="s">
        <v>107</v>
      </c>
      <c r="B538" s="28">
        <v>45774</v>
      </c>
      <c r="C538" s="28" t="str">
        <f t="shared" si="139"/>
        <v>Q2</v>
      </c>
      <c r="D538" s="28" t="str">
        <f t="shared" si="140"/>
        <v>2024</v>
      </c>
      <c r="E538" s="28" t="str">
        <f t="shared" si="141"/>
        <v>Oct</v>
      </c>
      <c r="F538" s="5">
        <v>45569</v>
      </c>
      <c r="G538" s="5">
        <f t="shared" si="129"/>
        <v>45598</v>
      </c>
      <c r="H538" s="5">
        <v>45598</v>
      </c>
      <c r="I538" s="5" t="str">
        <f t="shared" si="142"/>
        <v>Achieved</v>
      </c>
      <c r="J538" s="14">
        <f t="shared" si="143"/>
        <v>29</v>
      </c>
      <c r="K538" s="14">
        <f t="shared" si="130"/>
        <v>29</v>
      </c>
      <c r="L538" s="3" t="s">
        <v>645</v>
      </c>
      <c r="M538" s="3" t="s">
        <v>650</v>
      </c>
      <c r="N538" s="3" t="s">
        <v>668</v>
      </c>
      <c r="O538" s="3" t="s">
        <v>700</v>
      </c>
      <c r="P538" s="3" t="s">
        <v>709</v>
      </c>
      <c r="Q538" s="3" t="s">
        <v>720</v>
      </c>
      <c r="R538" s="3" t="s">
        <v>732</v>
      </c>
      <c r="S538" s="3" t="s">
        <v>826</v>
      </c>
      <c r="T538" s="21">
        <v>412.09</v>
      </c>
      <c r="U538" s="21" t="str">
        <f t="shared" si="144"/>
        <v>Medium</v>
      </c>
      <c r="V538">
        <f t="shared" si="131"/>
        <v>968.94</v>
      </c>
      <c r="W538" s="7">
        <v>968.94</v>
      </c>
      <c r="X538" s="8">
        <v>9.9000000000000005E-2</v>
      </c>
      <c r="Y538" s="14">
        <v>23</v>
      </c>
      <c r="Z538" s="7">
        <f t="shared" si="132"/>
        <v>95.925060000000016</v>
      </c>
      <c r="AA538" s="7">
        <f t="shared" si="133"/>
        <v>20079.343620000003</v>
      </c>
      <c r="AB538" s="7">
        <f t="shared" si="134"/>
        <v>19983.418560000002</v>
      </c>
      <c r="AC538" s="7">
        <f t="shared" si="135"/>
        <v>9478.07</v>
      </c>
      <c r="AD538" s="7">
        <f t="shared" si="136"/>
        <v>10601.273620000004</v>
      </c>
      <c r="AE538" s="7">
        <f t="shared" si="137"/>
        <v>10505.348560000002</v>
      </c>
      <c r="AF538" s="26">
        <f t="shared" si="138"/>
        <v>2.118505520638696</v>
      </c>
      <c r="AG538" s="8">
        <f>IF(DASHBOARD!$Q$7&gt;'staging data'!X538,'staging data'!X538,DASHBOARD!$Q$7)</f>
        <v>9.9000000000000005E-2</v>
      </c>
      <c r="AH538">
        <f>(100%+DASHBOARD!$Q$8)*'staging data'!T538</f>
        <v>473.90349999999995</v>
      </c>
      <c r="AI538">
        <f>(100%+DASHBOARD!$Q$9)*'staging data'!Y538</f>
        <v>27.599999999999998</v>
      </c>
    </row>
    <row r="539" spans="1:35" x14ac:dyDescent="0.3">
      <c r="A539" s="3" t="s">
        <v>108</v>
      </c>
      <c r="B539" s="28">
        <v>45774</v>
      </c>
      <c r="C539" s="28" t="str">
        <f t="shared" si="139"/>
        <v>Q2</v>
      </c>
      <c r="D539" s="28" t="str">
        <f t="shared" si="140"/>
        <v>2025</v>
      </c>
      <c r="E539" s="28" t="str">
        <f t="shared" si="141"/>
        <v>Sept</v>
      </c>
      <c r="F539" s="5">
        <v>45910</v>
      </c>
      <c r="G539" s="5">
        <f t="shared" si="129"/>
        <v>45930</v>
      </c>
      <c r="H539" s="5">
        <v>45930</v>
      </c>
      <c r="I539" s="5" t="str">
        <f t="shared" si="142"/>
        <v>Achieved</v>
      </c>
      <c r="J539" s="14">
        <f t="shared" si="143"/>
        <v>20</v>
      </c>
      <c r="K539" s="14">
        <f t="shared" si="130"/>
        <v>20</v>
      </c>
      <c r="L539" s="3" t="s">
        <v>645</v>
      </c>
      <c r="M539" s="3" t="s">
        <v>649</v>
      </c>
      <c r="N539" s="3" t="s">
        <v>674</v>
      </c>
      <c r="O539" s="3" t="s">
        <v>700</v>
      </c>
      <c r="P539" s="3" t="s">
        <v>710</v>
      </c>
      <c r="Q539" s="3" t="s">
        <v>715</v>
      </c>
      <c r="R539" s="3" t="s">
        <v>729</v>
      </c>
      <c r="S539" s="3" t="s">
        <v>827</v>
      </c>
      <c r="T539" s="21">
        <v>1009.48</v>
      </c>
      <c r="U539" s="21" t="str">
        <f t="shared" si="144"/>
        <v>Medium</v>
      </c>
      <c r="V539">
        <f t="shared" si="131"/>
        <v>1088.81</v>
      </c>
      <c r="W539" s="7">
        <v>1088.81</v>
      </c>
      <c r="X539" s="8">
        <v>0.16</v>
      </c>
      <c r="Y539" s="14">
        <v>6</v>
      </c>
      <c r="Z539" s="7">
        <f t="shared" si="132"/>
        <v>174.20959999999999</v>
      </c>
      <c r="AA539" s="7">
        <f t="shared" si="133"/>
        <v>5487.6023999999998</v>
      </c>
      <c r="AB539" s="7">
        <f t="shared" si="134"/>
        <v>5313.3927999999996</v>
      </c>
      <c r="AC539" s="7">
        <f t="shared" si="135"/>
        <v>6056.88</v>
      </c>
      <c r="AD539" s="7">
        <f t="shared" si="136"/>
        <v>-569.27760000000035</v>
      </c>
      <c r="AE539" s="7">
        <f t="shared" si="137"/>
        <v>-743.48720000000048</v>
      </c>
      <c r="AF539" s="26">
        <f t="shared" si="138"/>
        <v>0.90601141181598444</v>
      </c>
      <c r="AG539" s="8">
        <f>IF(DASHBOARD!$Q$7&gt;'staging data'!X539,'staging data'!X539,DASHBOARD!$Q$7)</f>
        <v>0.16</v>
      </c>
      <c r="AH539">
        <f>(100%+DASHBOARD!$Q$8)*'staging data'!T539</f>
        <v>1160.902</v>
      </c>
      <c r="AI539">
        <f>(100%+DASHBOARD!$Q$9)*'staging data'!Y539</f>
        <v>7.1999999999999993</v>
      </c>
    </row>
    <row r="540" spans="1:35" x14ac:dyDescent="0.3">
      <c r="A540" s="3" t="s">
        <v>109</v>
      </c>
      <c r="B540" s="28">
        <v>45774</v>
      </c>
      <c r="C540" s="28" t="str">
        <f t="shared" si="139"/>
        <v>Q2</v>
      </c>
      <c r="D540" s="28" t="str">
        <f t="shared" si="140"/>
        <v>2023</v>
      </c>
      <c r="E540" s="28" t="str">
        <f t="shared" si="141"/>
        <v>Apr</v>
      </c>
      <c r="F540" s="5">
        <v>45022</v>
      </c>
      <c r="G540" s="5">
        <f t="shared" si="129"/>
        <v>45043</v>
      </c>
      <c r="H540" s="5">
        <v>45043</v>
      </c>
      <c r="I540" s="5" t="str">
        <f t="shared" si="142"/>
        <v>Achieved</v>
      </c>
      <c r="J540" s="14">
        <f t="shared" si="143"/>
        <v>21</v>
      </c>
      <c r="K540" s="14">
        <f t="shared" si="130"/>
        <v>21</v>
      </c>
      <c r="L540" s="3" t="s">
        <v>648</v>
      </c>
      <c r="M540" s="3" t="s">
        <v>657</v>
      </c>
      <c r="N540" s="3" t="s">
        <v>692</v>
      </c>
      <c r="O540" s="3" t="s">
        <v>705</v>
      </c>
      <c r="P540" s="3" t="s">
        <v>709</v>
      </c>
      <c r="Q540" s="3" t="s">
        <v>713</v>
      </c>
      <c r="R540" s="3" t="s">
        <v>727</v>
      </c>
      <c r="S540" s="3" t="s">
        <v>828</v>
      </c>
      <c r="T540" s="21">
        <v>1084.79</v>
      </c>
      <c r="U540" s="21" t="str">
        <f t="shared" si="144"/>
        <v>High</v>
      </c>
      <c r="V540">
        <f t="shared" si="131"/>
        <v>2484.9899999999998</v>
      </c>
      <c r="W540" s="7">
        <v>2484.9899999999998</v>
      </c>
      <c r="X540" s="8">
        <v>3.4000000000000002E-2</v>
      </c>
      <c r="Y540" s="14">
        <v>18</v>
      </c>
      <c r="Z540" s="7">
        <f t="shared" si="132"/>
        <v>84.489660000000001</v>
      </c>
      <c r="AA540" s="7">
        <f t="shared" si="133"/>
        <v>43209.006119999991</v>
      </c>
      <c r="AB540" s="7">
        <f t="shared" si="134"/>
        <v>43124.516459999992</v>
      </c>
      <c r="AC540" s="7">
        <f t="shared" si="135"/>
        <v>19526.22</v>
      </c>
      <c r="AD540" s="7">
        <f t="shared" si="136"/>
        <v>23682.78611999999</v>
      </c>
      <c r="AE540" s="7">
        <f t="shared" si="137"/>
        <v>23598.29645999999</v>
      </c>
      <c r="AF540" s="26">
        <f t="shared" si="138"/>
        <v>2.2128710072917332</v>
      </c>
      <c r="AG540" s="8">
        <f>IF(DASHBOARD!$Q$7&gt;'staging data'!X540,'staging data'!X540,DASHBOARD!$Q$7)</f>
        <v>3.4000000000000002E-2</v>
      </c>
      <c r="AH540">
        <f>(100%+DASHBOARD!$Q$8)*'staging data'!T540</f>
        <v>1247.5084999999999</v>
      </c>
      <c r="AI540">
        <f>(100%+DASHBOARD!$Q$9)*'staging data'!Y540</f>
        <v>21.599999999999998</v>
      </c>
    </row>
    <row r="541" spans="1:35" x14ac:dyDescent="0.3">
      <c r="A541" s="3" t="s">
        <v>105</v>
      </c>
      <c r="B541" s="28">
        <v>45775</v>
      </c>
      <c r="C541" s="28" t="str">
        <f t="shared" si="139"/>
        <v>Q2</v>
      </c>
      <c r="D541" s="28" t="str">
        <f t="shared" si="140"/>
        <v>2025</v>
      </c>
      <c r="E541" s="28" t="str">
        <f t="shared" si="141"/>
        <v>Jun</v>
      </c>
      <c r="F541" s="5">
        <v>45817</v>
      </c>
      <c r="G541" s="5">
        <f t="shared" si="129"/>
        <v>45833</v>
      </c>
      <c r="H541" s="5">
        <v>45833</v>
      </c>
      <c r="I541" s="5" t="str">
        <f t="shared" si="142"/>
        <v>Achieved</v>
      </c>
      <c r="J541" s="14">
        <f t="shared" si="143"/>
        <v>16</v>
      </c>
      <c r="K541" s="14">
        <f t="shared" si="130"/>
        <v>16</v>
      </c>
      <c r="L541" s="3" t="s">
        <v>646</v>
      </c>
      <c r="M541" s="3" t="s">
        <v>653</v>
      </c>
      <c r="N541" s="3" t="s">
        <v>695</v>
      </c>
      <c r="O541" s="3" t="s">
        <v>705</v>
      </c>
      <c r="P541" s="3" t="s">
        <v>709</v>
      </c>
      <c r="Q541" s="3" t="s">
        <v>723</v>
      </c>
      <c r="R541" s="3" t="s">
        <v>729</v>
      </c>
      <c r="S541" s="3" t="s">
        <v>824</v>
      </c>
      <c r="T541" s="21">
        <v>527.33000000000004</v>
      </c>
      <c r="U541" s="21" t="str">
        <f t="shared" si="144"/>
        <v>Medium</v>
      </c>
      <c r="V541">
        <f t="shared" si="131"/>
        <v>911.72</v>
      </c>
      <c r="W541" s="7">
        <v>911.72</v>
      </c>
      <c r="X541" s="8">
        <v>0.14399999999999999</v>
      </c>
      <c r="Y541" s="14">
        <v>25</v>
      </c>
      <c r="Z541" s="7">
        <f t="shared" si="132"/>
        <v>131.28767999999999</v>
      </c>
      <c r="AA541" s="7">
        <f t="shared" si="133"/>
        <v>19510.808000000001</v>
      </c>
      <c r="AB541" s="7">
        <f t="shared" si="134"/>
        <v>19379.52032</v>
      </c>
      <c r="AC541" s="7">
        <f t="shared" si="135"/>
        <v>13183.250000000002</v>
      </c>
      <c r="AD541" s="7">
        <f t="shared" si="136"/>
        <v>6327.5579999999991</v>
      </c>
      <c r="AE541" s="7">
        <f t="shared" si="137"/>
        <v>6196.2703199999978</v>
      </c>
      <c r="AF541" s="26">
        <f t="shared" si="138"/>
        <v>1.4799695067604723</v>
      </c>
      <c r="AG541" s="8">
        <f>IF(DASHBOARD!$Q$7&gt;'staging data'!X541,'staging data'!X541,DASHBOARD!$Q$7)</f>
        <v>0.14399999999999999</v>
      </c>
      <c r="AH541">
        <f>(100%+DASHBOARD!$Q$8)*'staging data'!T541</f>
        <v>606.42949999999996</v>
      </c>
      <c r="AI541">
        <f>(100%+DASHBOARD!$Q$9)*'staging data'!Y541</f>
        <v>30</v>
      </c>
    </row>
    <row r="542" spans="1:35" x14ac:dyDescent="0.3">
      <c r="A542" s="3" t="s">
        <v>106</v>
      </c>
      <c r="B542" s="28">
        <v>45775</v>
      </c>
      <c r="C542" s="28" t="str">
        <f t="shared" si="139"/>
        <v>Q2</v>
      </c>
      <c r="D542" s="28" t="str">
        <f t="shared" si="140"/>
        <v>2023</v>
      </c>
      <c r="E542" s="28" t="str">
        <f t="shared" si="141"/>
        <v>Jun</v>
      </c>
      <c r="F542" s="5">
        <v>45101</v>
      </c>
      <c r="G542" s="5">
        <f t="shared" si="129"/>
        <v>45101</v>
      </c>
      <c r="H542" s="5">
        <v>45100</v>
      </c>
      <c r="I542" s="5" t="str">
        <f t="shared" si="142"/>
        <v>Not achieved</v>
      </c>
      <c r="J542" s="14">
        <f t="shared" si="143"/>
        <v>0</v>
      </c>
      <c r="K542" s="14">
        <f t="shared" si="130"/>
        <v>-1</v>
      </c>
      <c r="L542" s="3" t="s">
        <v>647</v>
      </c>
      <c r="M542" s="3" t="s">
        <v>654</v>
      </c>
      <c r="N542" s="3" t="s">
        <v>691</v>
      </c>
      <c r="O542" s="3" t="s">
        <v>702</v>
      </c>
      <c r="P542" s="3" t="s">
        <v>706</v>
      </c>
      <c r="Q542" s="3" t="s">
        <v>717</v>
      </c>
      <c r="R542" s="3" t="s">
        <v>727</v>
      </c>
      <c r="S542" s="3" t="s">
        <v>825</v>
      </c>
      <c r="T542" s="21">
        <v>804.01</v>
      </c>
      <c r="U542" s="21" t="str">
        <f t="shared" si="144"/>
        <v>Medium</v>
      </c>
      <c r="V542">
        <f t="shared" si="131"/>
        <v>1405.07</v>
      </c>
      <c r="W542" s="7">
        <v>1405.07</v>
      </c>
      <c r="X542" s="8">
        <v>9.6000000000000002E-2</v>
      </c>
      <c r="Y542" s="14">
        <v>8</v>
      </c>
      <c r="Z542" s="7">
        <f t="shared" si="132"/>
        <v>134.88672</v>
      </c>
      <c r="AA542" s="7">
        <f t="shared" si="133"/>
        <v>10161.46624</v>
      </c>
      <c r="AB542" s="7">
        <f t="shared" si="134"/>
        <v>10026.579519999999</v>
      </c>
      <c r="AC542" s="7">
        <f t="shared" si="135"/>
        <v>6432.08</v>
      </c>
      <c r="AD542" s="7">
        <f t="shared" si="136"/>
        <v>3729.3862399999998</v>
      </c>
      <c r="AE542" s="7">
        <f t="shared" si="137"/>
        <v>3594.4995199999994</v>
      </c>
      <c r="AF542" s="26">
        <f t="shared" si="138"/>
        <v>1.5798103008669047</v>
      </c>
      <c r="AG542" s="8">
        <f>IF(DASHBOARD!$Q$7&gt;'staging data'!X542,'staging data'!X542,DASHBOARD!$Q$7)</f>
        <v>9.6000000000000002E-2</v>
      </c>
      <c r="AH542">
        <f>(100%+DASHBOARD!$Q$8)*'staging data'!T542</f>
        <v>924.61149999999986</v>
      </c>
      <c r="AI542">
        <f>(100%+DASHBOARD!$Q$9)*'staging data'!Y542</f>
        <v>9.6</v>
      </c>
    </row>
    <row r="543" spans="1:35" x14ac:dyDescent="0.3">
      <c r="A543" s="3" t="s">
        <v>104</v>
      </c>
      <c r="B543" s="28">
        <v>45779</v>
      </c>
      <c r="C543" s="28" t="str">
        <f t="shared" si="139"/>
        <v>Q2</v>
      </c>
      <c r="D543" s="28" t="str">
        <f t="shared" si="140"/>
        <v>2025</v>
      </c>
      <c r="E543" s="28" t="str">
        <f t="shared" si="141"/>
        <v>Apr</v>
      </c>
      <c r="F543" s="5">
        <v>45775</v>
      </c>
      <c r="G543" s="5">
        <f t="shared" si="129"/>
        <v>45792</v>
      </c>
      <c r="H543" s="5">
        <v>45792</v>
      </c>
      <c r="I543" s="5" t="str">
        <f t="shared" si="142"/>
        <v>Achieved</v>
      </c>
      <c r="J543" s="14">
        <f t="shared" si="143"/>
        <v>17</v>
      </c>
      <c r="K543" s="14">
        <f t="shared" si="130"/>
        <v>17</v>
      </c>
      <c r="L543" s="3" t="s">
        <v>646</v>
      </c>
      <c r="M543" s="3" t="s">
        <v>651</v>
      </c>
      <c r="N543" s="3" t="s">
        <v>693</v>
      </c>
      <c r="O543" s="3" t="s">
        <v>701</v>
      </c>
      <c r="P543" s="3" t="s">
        <v>710</v>
      </c>
      <c r="Q543" s="3" t="s">
        <v>724</v>
      </c>
      <c r="R543" s="3" t="s">
        <v>728</v>
      </c>
      <c r="S543" s="3" t="s">
        <v>823</v>
      </c>
      <c r="T543" s="21">
        <v>691.19</v>
      </c>
      <c r="U543" s="21" t="str">
        <f t="shared" si="144"/>
        <v>Medium</v>
      </c>
      <c r="V543">
        <f t="shared" si="131"/>
        <v>1284.3</v>
      </c>
      <c r="W543" s="7">
        <v>1284.3</v>
      </c>
      <c r="X543" s="8">
        <v>7.3999999999999996E-2</v>
      </c>
      <c r="Y543" s="14">
        <v>7</v>
      </c>
      <c r="Z543" s="7">
        <f t="shared" si="132"/>
        <v>95.038199999999989</v>
      </c>
      <c r="AA543" s="7">
        <f t="shared" si="133"/>
        <v>8324.8326000000015</v>
      </c>
      <c r="AB543" s="7">
        <f t="shared" si="134"/>
        <v>8229.7944000000007</v>
      </c>
      <c r="AC543" s="7">
        <f t="shared" si="135"/>
        <v>4838.33</v>
      </c>
      <c r="AD543" s="7">
        <f t="shared" si="136"/>
        <v>3486.5026000000016</v>
      </c>
      <c r="AE543" s="7">
        <f t="shared" si="137"/>
        <v>3391.4644000000008</v>
      </c>
      <c r="AF543" s="26">
        <f t="shared" si="138"/>
        <v>1.7206004137791349</v>
      </c>
      <c r="AG543" s="8">
        <f>IF(DASHBOARD!$Q$7&gt;'staging data'!X543,'staging data'!X543,DASHBOARD!$Q$7)</f>
        <v>7.3999999999999996E-2</v>
      </c>
      <c r="AH543">
        <f>(100%+DASHBOARD!$Q$8)*'staging data'!T543</f>
        <v>794.86850000000004</v>
      </c>
      <c r="AI543">
        <f>(100%+DASHBOARD!$Q$9)*'staging data'!Y543</f>
        <v>8.4</v>
      </c>
    </row>
    <row r="544" spans="1:35" x14ac:dyDescent="0.3">
      <c r="A544" s="3" t="s">
        <v>103</v>
      </c>
      <c r="B544" s="28">
        <v>45784</v>
      </c>
      <c r="C544" s="28" t="str">
        <f t="shared" si="139"/>
        <v>Q2</v>
      </c>
      <c r="D544" s="28" t="str">
        <f t="shared" si="140"/>
        <v>2023</v>
      </c>
      <c r="E544" s="28" t="str">
        <f t="shared" si="141"/>
        <v>Jun</v>
      </c>
      <c r="F544" s="5">
        <v>45106</v>
      </c>
      <c r="G544" s="5">
        <f t="shared" si="129"/>
        <v>45109</v>
      </c>
      <c r="H544" s="5">
        <v>45109</v>
      </c>
      <c r="I544" s="5" t="str">
        <f t="shared" si="142"/>
        <v>Not achieved</v>
      </c>
      <c r="J544" s="14">
        <f t="shared" si="143"/>
        <v>3</v>
      </c>
      <c r="K544" s="14">
        <f t="shared" si="130"/>
        <v>3</v>
      </c>
      <c r="L544" s="3" t="s">
        <v>646</v>
      </c>
      <c r="M544" s="3" t="s">
        <v>651</v>
      </c>
      <c r="N544" s="3" t="s">
        <v>693</v>
      </c>
      <c r="O544" s="3" t="s">
        <v>701</v>
      </c>
      <c r="P544" s="3" t="s">
        <v>708</v>
      </c>
      <c r="Q544" s="3" t="s">
        <v>720</v>
      </c>
      <c r="R544" s="3" t="s">
        <v>731</v>
      </c>
      <c r="S544" s="3" t="s">
        <v>822</v>
      </c>
      <c r="T544" s="21">
        <v>55.65</v>
      </c>
      <c r="U544" s="21" t="str">
        <f t="shared" si="144"/>
        <v>Low</v>
      </c>
      <c r="V544">
        <f t="shared" si="131"/>
        <v>83.57</v>
      </c>
      <c r="W544" s="7">
        <v>83.57</v>
      </c>
      <c r="X544" s="8">
        <v>6.6000000000000003E-2</v>
      </c>
      <c r="Y544" s="14">
        <v>8</v>
      </c>
      <c r="Z544" s="7">
        <f t="shared" si="132"/>
        <v>5.5156200000000002</v>
      </c>
      <c r="AA544" s="7">
        <f t="shared" si="133"/>
        <v>624.43503999999996</v>
      </c>
      <c r="AB544" s="7">
        <f t="shared" si="134"/>
        <v>618.91941999999995</v>
      </c>
      <c r="AC544" s="7">
        <f t="shared" si="135"/>
        <v>445.2</v>
      </c>
      <c r="AD544" s="7">
        <f t="shared" si="136"/>
        <v>179.23503999999997</v>
      </c>
      <c r="AE544" s="7">
        <f t="shared" si="137"/>
        <v>173.71941999999996</v>
      </c>
      <c r="AF544" s="26">
        <f t="shared" si="138"/>
        <v>1.4025944294699011</v>
      </c>
      <c r="AG544" s="8">
        <f>IF(DASHBOARD!$Q$7&gt;'staging data'!X544,'staging data'!X544,DASHBOARD!$Q$7)</f>
        <v>6.6000000000000003E-2</v>
      </c>
      <c r="AH544">
        <f>(100%+DASHBOARD!$Q$8)*'staging data'!T544</f>
        <v>63.997499999999995</v>
      </c>
      <c r="AI544">
        <f>(100%+DASHBOARD!$Q$9)*'staging data'!Y544</f>
        <v>9.6</v>
      </c>
    </row>
    <row r="545" spans="1:35" x14ac:dyDescent="0.3">
      <c r="A545" s="3" t="s">
        <v>102</v>
      </c>
      <c r="B545" s="28">
        <v>45787</v>
      </c>
      <c r="C545" s="28" t="str">
        <f t="shared" si="139"/>
        <v>Q2</v>
      </c>
      <c r="D545" s="28" t="str">
        <f t="shared" si="140"/>
        <v>2024</v>
      </c>
      <c r="E545" s="28" t="str">
        <f t="shared" si="141"/>
        <v>Jan</v>
      </c>
      <c r="F545" s="5">
        <v>45312</v>
      </c>
      <c r="G545" s="5">
        <f t="shared" si="129"/>
        <v>45316</v>
      </c>
      <c r="H545" s="5">
        <v>45316</v>
      </c>
      <c r="I545" s="5" t="str">
        <f t="shared" si="142"/>
        <v>Not achieved</v>
      </c>
      <c r="J545" s="14">
        <f t="shared" si="143"/>
        <v>4</v>
      </c>
      <c r="K545" s="14">
        <f t="shared" si="130"/>
        <v>4</v>
      </c>
      <c r="L545" s="3" t="s">
        <v>646</v>
      </c>
      <c r="M545" s="3" t="s">
        <v>653</v>
      </c>
      <c r="N545" s="3" t="s">
        <v>679</v>
      </c>
      <c r="O545" s="3" t="s">
        <v>703</v>
      </c>
      <c r="P545" s="3" t="s">
        <v>710</v>
      </c>
      <c r="Q545" s="3" t="s">
        <v>711</v>
      </c>
      <c r="R545" s="3" t="s">
        <v>731</v>
      </c>
      <c r="S545" s="3" t="s">
        <v>821</v>
      </c>
      <c r="T545" s="21">
        <v>523.70000000000005</v>
      </c>
      <c r="U545" s="21" t="str">
        <f t="shared" si="144"/>
        <v>Medium</v>
      </c>
      <c r="V545">
        <f t="shared" si="131"/>
        <v>1109.92</v>
      </c>
      <c r="W545" s="7">
        <v>1109.92</v>
      </c>
      <c r="X545" s="8">
        <v>0.03</v>
      </c>
      <c r="Y545" s="14">
        <v>11</v>
      </c>
      <c r="Z545" s="7">
        <f t="shared" si="132"/>
        <v>33.297600000000003</v>
      </c>
      <c r="AA545" s="7">
        <f t="shared" si="133"/>
        <v>11842.8464</v>
      </c>
      <c r="AB545" s="7">
        <f t="shared" si="134"/>
        <v>11809.5488</v>
      </c>
      <c r="AC545" s="7">
        <f t="shared" si="135"/>
        <v>5760.7000000000007</v>
      </c>
      <c r="AD545" s="7">
        <f t="shared" si="136"/>
        <v>6082.1463999999996</v>
      </c>
      <c r="AE545" s="7">
        <f t="shared" si="137"/>
        <v>6048.8487999999998</v>
      </c>
      <c r="AF545" s="26">
        <f t="shared" si="138"/>
        <v>2.0557998854305897</v>
      </c>
      <c r="AG545" s="8">
        <f>IF(DASHBOARD!$Q$7&gt;'staging data'!X545,'staging data'!X545,DASHBOARD!$Q$7)</f>
        <v>0.03</v>
      </c>
      <c r="AH545">
        <f>(100%+DASHBOARD!$Q$8)*'staging data'!T545</f>
        <v>602.255</v>
      </c>
      <c r="AI545">
        <f>(100%+DASHBOARD!$Q$9)*'staging data'!Y545</f>
        <v>13.2</v>
      </c>
    </row>
    <row r="546" spans="1:35" x14ac:dyDescent="0.3">
      <c r="A546" s="3" t="s">
        <v>101</v>
      </c>
      <c r="B546" s="28">
        <v>45789</v>
      </c>
      <c r="C546" s="28" t="str">
        <f t="shared" si="139"/>
        <v>Q2</v>
      </c>
      <c r="D546" s="28" t="str">
        <f t="shared" si="140"/>
        <v>2025</v>
      </c>
      <c r="E546" s="28" t="str">
        <f t="shared" si="141"/>
        <v>Aug</v>
      </c>
      <c r="F546" s="5">
        <v>45876</v>
      </c>
      <c r="G546" s="5">
        <f t="shared" si="129"/>
        <v>45888</v>
      </c>
      <c r="H546" s="5">
        <v>45888</v>
      </c>
      <c r="I546" s="5" t="str">
        <f t="shared" si="142"/>
        <v>Achieved</v>
      </c>
      <c r="J546" s="14">
        <f t="shared" si="143"/>
        <v>12</v>
      </c>
      <c r="K546" s="14">
        <f t="shared" si="130"/>
        <v>12</v>
      </c>
      <c r="L546" s="3" t="s">
        <v>645</v>
      </c>
      <c r="M546" s="3" t="s">
        <v>649</v>
      </c>
      <c r="N546" s="3" t="s">
        <v>677</v>
      </c>
      <c r="O546" s="3" t="s">
        <v>700</v>
      </c>
      <c r="P546" s="3" t="s">
        <v>706</v>
      </c>
      <c r="Q546" s="3" t="s">
        <v>723</v>
      </c>
      <c r="R546" s="3" t="s">
        <v>726</v>
      </c>
      <c r="S546" s="3" t="s">
        <v>820</v>
      </c>
      <c r="T546" s="21">
        <v>601.51</v>
      </c>
      <c r="U546" s="21" t="str">
        <f t="shared" si="144"/>
        <v>Medium</v>
      </c>
      <c r="V546">
        <f t="shared" si="131"/>
        <v>679.35</v>
      </c>
      <c r="W546" s="7">
        <v>679.35</v>
      </c>
      <c r="X546" s="8">
        <v>0.188</v>
      </c>
      <c r="Y546" s="14">
        <v>3</v>
      </c>
      <c r="Z546" s="7">
        <f t="shared" si="132"/>
        <v>127.71780000000001</v>
      </c>
      <c r="AA546" s="7">
        <f t="shared" si="133"/>
        <v>1654.8966000000003</v>
      </c>
      <c r="AB546" s="7">
        <f t="shared" si="134"/>
        <v>1527.1788000000001</v>
      </c>
      <c r="AC546" s="7">
        <f t="shared" si="135"/>
        <v>1804.53</v>
      </c>
      <c r="AD546" s="7">
        <f t="shared" si="136"/>
        <v>-149.63339999999971</v>
      </c>
      <c r="AE546" s="7">
        <f t="shared" si="137"/>
        <v>-277.35119999999984</v>
      </c>
      <c r="AF546" s="26">
        <f t="shared" si="138"/>
        <v>0.91707901780519041</v>
      </c>
      <c r="AG546" s="8">
        <f>IF(DASHBOARD!$Q$7&gt;'staging data'!X546,'staging data'!X546,DASHBOARD!$Q$7)</f>
        <v>0.188</v>
      </c>
      <c r="AH546">
        <f>(100%+DASHBOARD!$Q$8)*'staging data'!T546</f>
        <v>691.73649999999998</v>
      </c>
      <c r="AI546">
        <f>(100%+DASHBOARD!$Q$9)*'staging data'!Y546</f>
        <v>3.5999999999999996</v>
      </c>
    </row>
    <row r="547" spans="1:35" x14ac:dyDescent="0.3">
      <c r="A547" s="3" t="s">
        <v>99</v>
      </c>
      <c r="B547" s="28">
        <v>45791</v>
      </c>
      <c r="C547" s="28" t="str">
        <f t="shared" si="139"/>
        <v>Q2</v>
      </c>
      <c r="D547" s="28" t="str">
        <f t="shared" si="140"/>
        <v>2023</v>
      </c>
      <c r="E547" s="28" t="str">
        <f t="shared" si="141"/>
        <v>Dec</v>
      </c>
      <c r="F547" s="5">
        <v>45282</v>
      </c>
      <c r="G547" s="5">
        <f t="shared" si="129"/>
        <v>45283</v>
      </c>
      <c r="H547" s="5">
        <v>45283</v>
      </c>
      <c r="I547" s="5" t="str">
        <f t="shared" si="142"/>
        <v>Not achieved</v>
      </c>
      <c r="J547" s="14">
        <f t="shared" si="143"/>
        <v>1</v>
      </c>
      <c r="K547" s="14">
        <f t="shared" si="130"/>
        <v>1</v>
      </c>
      <c r="L547" s="3" t="s">
        <v>645</v>
      </c>
      <c r="M547" s="3" t="s">
        <v>660</v>
      </c>
      <c r="N547" s="3" t="s">
        <v>694</v>
      </c>
      <c r="O547" s="3" t="s">
        <v>702</v>
      </c>
      <c r="P547" s="3" t="s">
        <v>708</v>
      </c>
      <c r="Q547" s="3" t="s">
        <v>725</v>
      </c>
      <c r="R547" s="3" t="s">
        <v>726</v>
      </c>
      <c r="S547" s="3" t="s">
        <v>818</v>
      </c>
      <c r="T547" s="21">
        <v>1186.18</v>
      </c>
      <c r="U547" s="21" t="str">
        <f t="shared" si="144"/>
        <v>Medium</v>
      </c>
      <c r="V547">
        <f t="shared" si="131"/>
        <v>1285.0899999999999</v>
      </c>
      <c r="W547" s="7">
        <v>1285.0899999999999</v>
      </c>
      <c r="X547" s="8">
        <v>7.0000000000000007E-2</v>
      </c>
      <c r="Y547" s="14">
        <v>11</v>
      </c>
      <c r="Z547" s="7">
        <f t="shared" si="132"/>
        <v>89.956299999999999</v>
      </c>
      <c r="AA547" s="7">
        <f t="shared" si="133"/>
        <v>13146.470699999998</v>
      </c>
      <c r="AB547" s="7">
        <f t="shared" si="134"/>
        <v>13056.514399999998</v>
      </c>
      <c r="AC547" s="7">
        <f t="shared" si="135"/>
        <v>13047.980000000001</v>
      </c>
      <c r="AD547" s="7">
        <f t="shared" si="136"/>
        <v>98.49069999999665</v>
      </c>
      <c r="AE547" s="7">
        <f t="shared" si="137"/>
        <v>8.5343999999968219</v>
      </c>
      <c r="AF547" s="26">
        <f t="shared" si="138"/>
        <v>1.0075483484799943</v>
      </c>
      <c r="AG547" s="8">
        <f>IF(DASHBOARD!$Q$7&gt;'staging data'!X547,'staging data'!X547,DASHBOARD!$Q$7)</f>
        <v>7.0000000000000007E-2</v>
      </c>
      <c r="AH547">
        <f>(100%+DASHBOARD!$Q$8)*'staging data'!T547</f>
        <v>1364.107</v>
      </c>
      <c r="AI547">
        <f>(100%+DASHBOARD!$Q$9)*'staging data'!Y547</f>
        <v>13.2</v>
      </c>
    </row>
    <row r="548" spans="1:35" x14ac:dyDescent="0.3">
      <c r="A548" s="3" t="s">
        <v>100</v>
      </c>
      <c r="B548" s="28">
        <v>45791</v>
      </c>
      <c r="C548" s="28" t="str">
        <f t="shared" si="139"/>
        <v>Q2</v>
      </c>
      <c r="D548" s="28" t="str">
        <f t="shared" si="140"/>
        <v>2024</v>
      </c>
      <c r="E548" s="28" t="str">
        <f t="shared" si="141"/>
        <v>Apr</v>
      </c>
      <c r="F548" s="5">
        <v>45388</v>
      </c>
      <c r="G548" s="5">
        <f t="shared" si="129"/>
        <v>45407</v>
      </c>
      <c r="H548" s="5">
        <v>45407</v>
      </c>
      <c r="I548" s="5" t="str">
        <f t="shared" si="142"/>
        <v>Achieved</v>
      </c>
      <c r="J548" s="14">
        <f t="shared" si="143"/>
        <v>19</v>
      </c>
      <c r="K548" s="14">
        <f t="shared" si="130"/>
        <v>19</v>
      </c>
      <c r="L548" s="3" t="s">
        <v>646</v>
      </c>
      <c r="M548" s="3" t="s">
        <v>658</v>
      </c>
      <c r="N548" s="3" t="s">
        <v>684</v>
      </c>
      <c r="O548" s="3" t="s">
        <v>700</v>
      </c>
      <c r="P548" s="3" t="s">
        <v>706</v>
      </c>
      <c r="Q548" s="3" t="s">
        <v>722</v>
      </c>
      <c r="R548" s="3" t="s">
        <v>726</v>
      </c>
      <c r="S548" s="3" t="s">
        <v>819</v>
      </c>
      <c r="T548" s="21">
        <v>1366.48</v>
      </c>
      <c r="U548" s="21" t="str">
        <f t="shared" si="144"/>
        <v>Medium</v>
      </c>
      <c r="V548">
        <f t="shared" si="131"/>
        <v>1678.14</v>
      </c>
      <c r="W548" s="7">
        <v>1678.14</v>
      </c>
      <c r="X548" s="8">
        <v>0.154</v>
      </c>
      <c r="Y548" s="14">
        <v>10</v>
      </c>
      <c r="Z548" s="7">
        <f t="shared" si="132"/>
        <v>258.43356</v>
      </c>
      <c r="AA548" s="7">
        <f t="shared" si="133"/>
        <v>14197.064400000001</v>
      </c>
      <c r="AB548" s="7">
        <f t="shared" si="134"/>
        <v>13938.630840000002</v>
      </c>
      <c r="AC548" s="7">
        <f t="shared" si="135"/>
        <v>13664.8</v>
      </c>
      <c r="AD548" s="7">
        <f t="shared" si="136"/>
        <v>532.26440000000184</v>
      </c>
      <c r="AE548" s="7">
        <f t="shared" si="137"/>
        <v>273.83084000000235</v>
      </c>
      <c r="AF548" s="26">
        <f t="shared" si="138"/>
        <v>1.0389514958140627</v>
      </c>
      <c r="AG548" s="8">
        <f>IF(DASHBOARD!$Q$7&gt;'staging data'!X548,'staging data'!X548,DASHBOARD!$Q$7)</f>
        <v>0.154</v>
      </c>
      <c r="AH548">
        <f>(100%+DASHBOARD!$Q$8)*'staging data'!T548</f>
        <v>1571.452</v>
      </c>
      <c r="AI548">
        <f>(100%+DASHBOARD!$Q$9)*'staging data'!Y548</f>
        <v>12</v>
      </c>
    </row>
    <row r="549" spans="1:35" x14ac:dyDescent="0.3">
      <c r="A549" s="3" t="s">
        <v>98</v>
      </c>
      <c r="B549" s="28">
        <v>45792</v>
      </c>
      <c r="C549" s="28" t="str">
        <f t="shared" si="139"/>
        <v>Q2</v>
      </c>
      <c r="D549" s="28" t="str">
        <f t="shared" si="140"/>
        <v>2025</v>
      </c>
      <c r="E549" s="28" t="str">
        <f t="shared" si="141"/>
        <v>Mar</v>
      </c>
      <c r="F549" s="5">
        <v>45741</v>
      </c>
      <c r="G549" s="5">
        <f t="shared" si="129"/>
        <v>45764</v>
      </c>
      <c r="H549" s="5">
        <v>45764</v>
      </c>
      <c r="I549" s="5" t="str">
        <f t="shared" si="142"/>
        <v>Achieved</v>
      </c>
      <c r="J549" s="14">
        <f t="shared" si="143"/>
        <v>23</v>
      </c>
      <c r="K549" s="14">
        <f t="shared" si="130"/>
        <v>23</v>
      </c>
      <c r="L549" s="3" t="s">
        <v>648</v>
      </c>
      <c r="M549" s="3" t="s">
        <v>657</v>
      </c>
      <c r="N549" s="3" t="s">
        <v>682</v>
      </c>
      <c r="O549" s="3" t="s">
        <v>703</v>
      </c>
      <c r="P549" s="3" t="s">
        <v>706</v>
      </c>
      <c r="Q549" s="3" t="s">
        <v>721</v>
      </c>
      <c r="R549" s="3" t="s">
        <v>728</v>
      </c>
      <c r="S549" s="3" t="s">
        <v>817</v>
      </c>
      <c r="T549" s="21">
        <v>1421.19</v>
      </c>
      <c r="U549" s="21" t="str">
        <f t="shared" si="144"/>
        <v>Medium</v>
      </c>
      <c r="V549">
        <f t="shared" si="131"/>
        <v>1808.26</v>
      </c>
      <c r="W549" s="7">
        <v>1808.26</v>
      </c>
      <c r="X549" s="8">
        <v>0.104</v>
      </c>
      <c r="Y549" s="14">
        <v>13</v>
      </c>
      <c r="Z549" s="7">
        <f t="shared" si="132"/>
        <v>188.05903999999998</v>
      </c>
      <c r="AA549" s="7">
        <f t="shared" si="133"/>
        <v>21062.61248</v>
      </c>
      <c r="AB549" s="7">
        <f t="shared" si="134"/>
        <v>20874.55344</v>
      </c>
      <c r="AC549" s="7">
        <f t="shared" si="135"/>
        <v>18475.47</v>
      </c>
      <c r="AD549" s="7">
        <f t="shared" si="136"/>
        <v>2587.1424799999986</v>
      </c>
      <c r="AE549" s="7">
        <f t="shared" si="137"/>
        <v>2399.0834399999985</v>
      </c>
      <c r="AF549" s="26">
        <f t="shared" si="138"/>
        <v>1.1400312132790125</v>
      </c>
      <c r="AG549" s="8">
        <f>IF(DASHBOARD!$Q$7&gt;'staging data'!X549,'staging data'!X549,DASHBOARD!$Q$7)</f>
        <v>0.104</v>
      </c>
      <c r="AH549">
        <f>(100%+DASHBOARD!$Q$8)*'staging data'!T549</f>
        <v>1634.3685</v>
      </c>
      <c r="AI549">
        <f>(100%+DASHBOARD!$Q$9)*'staging data'!Y549</f>
        <v>15.6</v>
      </c>
    </row>
    <row r="550" spans="1:35" x14ac:dyDescent="0.3">
      <c r="A550" s="3" t="s">
        <v>96</v>
      </c>
      <c r="B550" s="28">
        <v>45793</v>
      </c>
      <c r="C550" s="28" t="str">
        <f t="shared" si="139"/>
        <v>Q2</v>
      </c>
      <c r="D550" s="28" t="str">
        <f t="shared" si="140"/>
        <v>2025</v>
      </c>
      <c r="E550" s="28" t="str">
        <f t="shared" si="141"/>
        <v>May</v>
      </c>
      <c r="F550" s="5">
        <v>45791</v>
      </c>
      <c r="G550" s="5">
        <f t="shared" si="129"/>
        <v>45801</v>
      </c>
      <c r="H550" s="5">
        <v>45801</v>
      </c>
      <c r="I550" s="5" t="str">
        <f t="shared" si="142"/>
        <v>Achieved</v>
      </c>
      <c r="J550" s="14">
        <f t="shared" si="143"/>
        <v>10</v>
      </c>
      <c r="K550" s="14">
        <f t="shared" si="130"/>
        <v>10</v>
      </c>
      <c r="L550" s="3" t="s">
        <v>648</v>
      </c>
      <c r="M550" s="3" t="s">
        <v>656</v>
      </c>
      <c r="N550" s="3" t="s">
        <v>689</v>
      </c>
      <c r="O550" s="3" t="s">
        <v>704</v>
      </c>
      <c r="P550" s="3" t="s">
        <v>708</v>
      </c>
      <c r="Q550" s="3" t="s">
        <v>722</v>
      </c>
      <c r="R550" s="3" t="s">
        <v>726</v>
      </c>
      <c r="S550" s="3" t="s">
        <v>815</v>
      </c>
      <c r="T550" s="21">
        <v>170.39</v>
      </c>
      <c r="U550" s="21" t="str">
        <f t="shared" si="144"/>
        <v>Low</v>
      </c>
      <c r="V550">
        <f t="shared" si="131"/>
        <v>388.04</v>
      </c>
      <c r="W550" s="7">
        <v>388.04</v>
      </c>
      <c r="X550" s="8">
        <v>8.4000000000000005E-2</v>
      </c>
      <c r="Y550" s="14">
        <v>15</v>
      </c>
      <c r="Z550" s="7">
        <f t="shared" si="132"/>
        <v>32.595360000000007</v>
      </c>
      <c r="AA550" s="7">
        <f t="shared" si="133"/>
        <v>5331.6696000000002</v>
      </c>
      <c r="AB550" s="7">
        <f t="shared" si="134"/>
        <v>5299.0742399999999</v>
      </c>
      <c r="AC550" s="7">
        <f t="shared" si="135"/>
        <v>2555.85</v>
      </c>
      <c r="AD550" s="7">
        <f t="shared" si="136"/>
        <v>2775.8196000000003</v>
      </c>
      <c r="AE550" s="7">
        <f t="shared" si="137"/>
        <v>2743.22424</v>
      </c>
      <c r="AF550" s="26">
        <f t="shared" si="138"/>
        <v>2.0860651446681144</v>
      </c>
      <c r="AG550" s="8">
        <f>IF(DASHBOARD!$Q$7&gt;'staging data'!X550,'staging data'!X550,DASHBOARD!$Q$7)</f>
        <v>8.4000000000000005E-2</v>
      </c>
      <c r="AH550">
        <f>(100%+DASHBOARD!$Q$8)*'staging data'!T550</f>
        <v>195.94849999999997</v>
      </c>
      <c r="AI550">
        <f>(100%+DASHBOARD!$Q$9)*'staging data'!Y550</f>
        <v>18</v>
      </c>
    </row>
    <row r="551" spans="1:35" x14ac:dyDescent="0.3">
      <c r="A551" s="3" t="s">
        <v>97</v>
      </c>
      <c r="B551" s="28">
        <v>45793</v>
      </c>
      <c r="C551" s="28" t="str">
        <f t="shared" si="139"/>
        <v>Q2</v>
      </c>
      <c r="D551" s="28" t="str">
        <f t="shared" si="140"/>
        <v>2025</v>
      </c>
      <c r="E551" s="28" t="str">
        <f t="shared" si="141"/>
        <v>Apr</v>
      </c>
      <c r="F551" s="5">
        <v>45770</v>
      </c>
      <c r="G551" s="5">
        <f t="shared" si="129"/>
        <v>45770</v>
      </c>
      <c r="H551" s="5">
        <v>45769</v>
      </c>
      <c r="I551" s="5" t="str">
        <f t="shared" si="142"/>
        <v>Not achieved</v>
      </c>
      <c r="J551" s="14">
        <f t="shared" si="143"/>
        <v>0</v>
      </c>
      <c r="K551" s="14">
        <f t="shared" si="130"/>
        <v>-1</v>
      </c>
      <c r="L551" s="3" t="s">
        <v>647</v>
      </c>
      <c r="M551" s="3" t="s">
        <v>659</v>
      </c>
      <c r="N551" s="3" t="s">
        <v>685</v>
      </c>
      <c r="O551" s="3" t="s">
        <v>702</v>
      </c>
      <c r="P551" s="3" t="s">
        <v>709</v>
      </c>
      <c r="Q551" s="3" t="s">
        <v>725</v>
      </c>
      <c r="R551" s="3" t="s">
        <v>731</v>
      </c>
      <c r="S551" s="3" t="s">
        <v>816</v>
      </c>
      <c r="T551" s="21">
        <v>23.24</v>
      </c>
      <c r="U551" s="21" t="str">
        <f t="shared" si="144"/>
        <v>Low</v>
      </c>
      <c r="V551">
        <f t="shared" si="131"/>
        <v>44.57</v>
      </c>
      <c r="W551" s="7">
        <v>44.57</v>
      </c>
      <c r="X551" s="8">
        <v>0.215</v>
      </c>
      <c r="Y551" s="14">
        <v>15</v>
      </c>
      <c r="Z551" s="7">
        <f t="shared" si="132"/>
        <v>9.5825499999999995</v>
      </c>
      <c r="AA551" s="7">
        <f t="shared" si="133"/>
        <v>524.81174999999996</v>
      </c>
      <c r="AB551" s="7">
        <f t="shared" si="134"/>
        <v>515.22919999999999</v>
      </c>
      <c r="AC551" s="7">
        <f t="shared" si="135"/>
        <v>348.59999999999997</v>
      </c>
      <c r="AD551" s="7">
        <f t="shared" si="136"/>
        <v>176.21174999999999</v>
      </c>
      <c r="AE551" s="7">
        <f t="shared" si="137"/>
        <v>166.62920000000003</v>
      </c>
      <c r="AF551" s="26">
        <f t="shared" si="138"/>
        <v>1.5054840791738382</v>
      </c>
      <c r="AG551" s="8">
        <f>IF(DASHBOARD!$Q$7&gt;'staging data'!X551,'staging data'!X551,DASHBOARD!$Q$7)</f>
        <v>0.2</v>
      </c>
      <c r="AH551">
        <f>(100%+DASHBOARD!$Q$8)*'staging data'!T551</f>
        <v>26.725999999999996</v>
      </c>
      <c r="AI551">
        <f>(100%+DASHBOARD!$Q$9)*'staging data'!Y551</f>
        <v>18</v>
      </c>
    </row>
    <row r="552" spans="1:35" x14ac:dyDescent="0.3">
      <c r="A552" s="3" t="s">
        <v>94</v>
      </c>
      <c r="B552" s="28">
        <v>45794</v>
      </c>
      <c r="C552" s="28" t="str">
        <f t="shared" si="139"/>
        <v>Q2</v>
      </c>
      <c r="D552" s="28" t="str">
        <f t="shared" si="140"/>
        <v>2023</v>
      </c>
      <c r="E552" s="28" t="str">
        <f t="shared" si="141"/>
        <v>Feb</v>
      </c>
      <c r="F552" s="5">
        <v>44965</v>
      </c>
      <c r="G552" s="5">
        <f t="shared" si="129"/>
        <v>44968</v>
      </c>
      <c r="H552" s="5">
        <v>44968</v>
      </c>
      <c r="I552" s="5" t="str">
        <f t="shared" si="142"/>
        <v>Not achieved</v>
      </c>
      <c r="J552" s="14">
        <f t="shared" si="143"/>
        <v>3</v>
      </c>
      <c r="K552" s="14">
        <f t="shared" si="130"/>
        <v>3</v>
      </c>
      <c r="L552" s="3" t="s">
        <v>645</v>
      </c>
      <c r="M552" s="3" t="s">
        <v>660</v>
      </c>
      <c r="N552" s="3" t="s">
        <v>694</v>
      </c>
      <c r="O552" s="3" t="s">
        <v>700</v>
      </c>
      <c r="P552" s="3" t="s">
        <v>710</v>
      </c>
      <c r="Q552" s="3" t="s">
        <v>723</v>
      </c>
      <c r="R552" s="3" t="s">
        <v>728</v>
      </c>
      <c r="S552" s="3" t="s">
        <v>813</v>
      </c>
      <c r="T552" s="21">
        <v>1410.05</v>
      </c>
      <c r="U552" s="21" t="str">
        <f t="shared" si="144"/>
        <v>High</v>
      </c>
      <c r="V552">
        <f t="shared" si="131"/>
        <v>2763.95</v>
      </c>
      <c r="W552" s="7">
        <v>2763.95</v>
      </c>
      <c r="X552" s="8">
        <v>0.161</v>
      </c>
      <c r="Y552" s="14">
        <v>26</v>
      </c>
      <c r="Z552" s="7">
        <f t="shared" si="132"/>
        <v>444.99594999999999</v>
      </c>
      <c r="AA552" s="7">
        <f t="shared" si="133"/>
        <v>60292.805299999993</v>
      </c>
      <c r="AB552" s="7">
        <f t="shared" si="134"/>
        <v>59847.809349999996</v>
      </c>
      <c r="AC552" s="7">
        <f t="shared" si="135"/>
        <v>36661.299999999996</v>
      </c>
      <c r="AD552" s="7">
        <f t="shared" si="136"/>
        <v>23631.505299999997</v>
      </c>
      <c r="AE552" s="7">
        <f t="shared" si="137"/>
        <v>23186.50935</v>
      </c>
      <c r="AF552" s="26">
        <f t="shared" si="138"/>
        <v>1.6445899436190206</v>
      </c>
      <c r="AG552" s="8">
        <f>IF(DASHBOARD!$Q$7&gt;'staging data'!X552,'staging data'!X552,DASHBOARD!$Q$7)</f>
        <v>0.161</v>
      </c>
      <c r="AH552">
        <f>(100%+DASHBOARD!$Q$8)*'staging data'!T552</f>
        <v>1621.5574999999999</v>
      </c>
      <c r="AI552">
        <f>(100%+DASHBOARD!$Q$9)*'staging data'!Y552</f>
        <v>31.2</v>
      </c>
    </row>
    <row r="553" spans="1:35" x14ac:dyDescent="0.3">
      <c r="A553" s="3" t="s">
        <v>95</v>
      </c>
      <c r="B553" s="28">
        <v>45794</v>
      </c>
      <c r="C553" s="28" t="str">
        <f t="shared" si="139"/>
        <v>Q2</v>
      </c>
      <c r="D553" s="28" t="str">
        <f t="shared" si="140"/>
        <v>2023</v>
      </c>
      <c r="E553" s="28" t="str">
        <f t="shared" si="141"/>
        <v>Aug</v>
      </c>
      <c r="F553" s="5">
        <v>45157</v>
      </c>
      <c r="G553" s="5">
        <f t="shared" si="129"/>
        <v>45181</v>
      </c>
      <c r="H553" s="5">
        <v>45181</v>
      </c>
      <c r="I553" s="5" t="str">
        <f t="shared" si="142"/>
        <v>Achieved</v>
      </c>
      <c r="J553" s="14">
        <f t="shared" si="143"/>
        <v>24</v>
      </c>
      <c r="K553" s="14">
        <f t="shared" si="130"/>
        <v>24</v>
      </c>
      <c r="L553" s="3" t="s">
        <v>647</v>
      </c>
      <c r="M553" s="3" t="s">
        <v>652</v>
      </c>
      <c r="N553" s="3" t="s">
        <v>687</v>
      </c>
      <c r="O553" s="3" t="s">
        <v>705</v>
      </c>
      <c r="P553" s="3" t="s">
        <v>706</v>
      </c>
      <c r="Q553" s="3" t="s">
        <v>713</v>
      </c>
      <c r="R553" s="3" t="s">
        <v>727</v>
      </c>
      <c r="S553" s="3" t="s">
        <v>814</v>
      </c>
      <c r="T553" s="21">
        <v>1183.95</v>
      </c>
      <c r="U553" s="21" t="str">
        <f t="shared" si="144"/>
        <v>Medium</v>
      </c>
      <c r="V553">
        <f t="shared" si="131"/>
        <v>1503.53</v>
      </c>
      <c r="W553" s="7">
        <v>1503.53</v>
      </c>
      <c r="X553" s="8">
        <v>0.24099999999999999</v>
      </c>
      <c r="Y553" s="14">
        <v>16</v>
      </c>
      <c r="Z553" s="7">
        <f t="shared" si="132"/>
        <v>362.35073</v>
      </c>
      <c r="AA553" s="7">
        <f t="shared" si="133"/>
        <v>18258.868320000001</v>
      </c>
      <c r="AB553" s="7">
        <f t="shared" si="134"/>
        <v>17896.517590000003</v>
      </c>
      <c r="AC553" s="7">
        <f t="shared" si="135"/>
        <v>18943.2</v>
      </c>
      <c r="AD553" s="7">
        <f t="shared" si="136"/>
        <v>-684.33167999999932</v>
      </c>
      <c r="AE553" s="7">
        <f t="shared" si="137"/>
        <v>-1046.6824099999976</v>
      </c>
      <c r="AF553" s="26">
        <f t="shared" si="138"/>
        <v>0.96387454706702147</v>
      </c>
      <c r="AG553" s="8">
        <f>IF(DASHBOARD!$Q$7&gt;'staging data'!X553,'staging data'!X553,DASHBOARD!$Q$7)</f>
        <v>0.2</v>
      </c>
      <c r="AH553">
        <f>(100%+DASHBOARD!$Q$8)*'staging data'!T553</f>
        <v>1361.5425</v>
      </c>
      <c r="AI553">
        <f>(100%+DASHBOARD!$Q$9)*'staging data'!Y553</f>
        <v>19.2</v>
      </c>
    </row>
    <row r="554" spans="1:35" x14ac:dyDescent="0.3">
      <c r="A554" s="3" t="s">
        <v>93</v>
      </c>
      <c r="B554" s="28">
        <v>45795</v>
      </c>
      <c r="C554" s="28" t="str">
        <f t="shared" si="139"/>
        <v>Q2</v>
      </c>
      <c r="D554" s="28" t="str">
        <f t="shared" si="140"/>
        <v>2024</v>
      </c>
      <c r="E554" s="28" t="str">
        <f t="shared" si="141"/>
        <v>Nov</v>
      </c>
      <c r="F554" s="5">
        <v>45617</v>
      </c>
      <c r="G554" s="5">
        <f t="shared" si="129"/>
        <v>45647</v>
      </c>
      <c r="H554" s="5">
        <v>45647</v>
      </c>
      <c r="I554" s="5" t="str">
        <f t="shared" si="142"/>
        <v>Achieved</v>
      </c>
      <c r="J554" s="14">
        <f t="shared" si="143"/>
        <v>30</v>
      </c>
      <c r="K554" s="14">
        <f t="shared" si="130"/>
        <v>30</v>
      </c>
      <c r="L554" s="3" t="s">
        <v>648</v>
      </c>
      <c r="M554" s="3" t="s">
        <v>656</v>
      </c>
      <c r="N554" s="3" t="s">
        <v>672</v>
      </c>
      <c r="O554" s="3" t="s">
        <v>704</v>
      </c>
      <c r="P554" s="3" t="s">
        <v>710</v>
      </c>
      <c r="Q554" s="3" t="s">
        <v>713</v>
      </c>
      <c r="R554" s="3" t="s">
        <v>731</v>
      </c>
      <c r="S554" s="3" t="s">
        <v>812</v>
      </c>
      <c r="T554" s="21">
        <v>1122.68</v>
      </c>
      <c r="U554" s="21" t="str">
        <f t="shared" si="144"/>
        <v>High</v>
      </c>
      <c r="V554">
        <f t="shared" si="131"/>
        <v>1997.19</v>
      </c>
      <c r="W554" s="7">
        <v>1997.19</v>
      </c>
      <c r="X554" s="8">
        <v>0.186</v>
      </c>
      <c r="Y554" s="14">
        <v>3</v>
      </c>
      <c r="Z554" s="7">
        <f t="shared" si="132"/>
        <v>371.47734000000003</v>
      </c>
      <c r="AA554" s="7">
        <f t="shared" si="133"/>
        <v>4877.1379800000004</v>
      </c>
      <c r="AB554" s="7">
        <f t="shared" si="134"/>
        <v>4505.6606400000001</v>
      </c>
      <c r="AC554" s="7">
        <f t="shared" si="135"/>
        <v>3368.04</v>
      </c>
      <c r="AD554" s="7">
        <f t="shared" si="136"/>
        <v>1509.0979800000005</v>
      </c>
      <c r="AE554" s="7">
        <f t="shared" si="137"/>
        <v>1137.6206400000001</v>
      </c>
      <c r="AF554" s="26">
        <f t="shared" si="138"/>
        <v>1.4480641500694766</v>
      </c>
      <c r="AG554" s="8">
        <f>IF(DASHBOARD!$Q$7&gt;'staging data'!X554,'staging data'!X554,DASHBOARD!$Q$7)</f>
        <v>0.186</v>
      </c>
      <c r="AH554">
        <f>(100%+DASHBOARD!$Q$8)*'staging data'!T554</f>
        <v>1291.0819999999999</v>
      </c>
      <c r="AI554">
        <f>(100%+DASHBOARD!$Q$9)*'staging data'!Y554</f>
        <v>3.5999999999999996</v>
      </c>
    </row>
    <row r="555" spans="1:35" x14ac:dyDescent="0.3">
      <c r="A555" s="3" t="s">
        <v>92</v>
      </c>
      <c r="B555" s="28">
        <v>45796</v>
      </c>
      <c r="C555" s="28" t="str">
        <f t="shared" si="139"/>
        <v>Q2</v>
      </c>
      <c r="D555" s="28" t="str">
        <f t="shared" si="140"/>
        <v>2023</v>
      </c>
      <c r="E555" s="28" t="str">
        <f t="shared" si="141"/>
        <v>Jun</v>
      </c>
      <c r="F555" s="5">
        <v>45091</v>
      </c>
      <c r="G555" s="5">
        <f t="shared" si="129"/>
        <v>45093</v>
      </c>
      <c r="H555" s="5">
        <v>45093</v>
      </c>
      <c r="I555" s="5" t="str">
        <f t="shared" si="142"/>
        <v>Not achieved</v>
      </c>
      <c r="J555" s="14">
        <f t="shared" si="143"/>
        <v>2</v>
      </c>
      <c r="K555" s="14">
        <f t="shared" si="130"/>
        <v>2</v>
      </c>
      <c r="L555" s="3" t="s">
        <v>648</v>
      </c>
      <c r="M555" s="3" t="s">
        <v>657</v>
      </c>
      <c r="N555" s="3" t="s">
        <v>692</v>
      </c>
      <c r="O555" s="3" t="s">
        <v>702</v>
      </c>
      <c r="P555" s="3" t="s">
        <v>710</v>
      </c>
      <c r="Q555" s="3" t="s">
        <v>722</v>
      </c>
      <c r="R555" s="3" t="s">
        <v>726</v>
      </c>
      <c r="S555" s="3" t="s">
        <v>811</v>
      </c>
      <c r="T555" s="21">
        <v>357.36</v>
      </c>
      <c r="U555" s="21" t="str">
        <f t="shared" si="144"/>
        <v>Medium</v>
      </c>
      <c r="V555">
        <f t="shared" si="131"/>
        <v>703.62</v>
      </c>
      <c r="W555" s="7">
        <v>703.62</v>
      </c>
      <c r="X555" s="8">
        <v>0.25700000000000001</v>
      </c>
      <c r="Y555" s="14">
        <v>20</v>
      </c>
      <c r="Z555" s="7">
        <f t="shared" si="132"/>
        <v>180.83034000000001</v>
      </c>
      <c r="AA555" s="7">
        <f t="shared" si="133"/>
        <v>10455.7932</v>
      </c>
      <c r="AB555" s="7">
        <f t="shared" si="134"/>
        <v>10274.96286</v>
      </c>
      <c r="AC555" s="7">
        <f t="shared" si="135"/>
        <v>7147.2000000000007</v>
      </c>
      <c r="AD555" s="7">
        <f t="shared" si="136"/>
        <v>3308.5931999999993</v>
      </c>
      <c r="AE555" s="7">
        <f t="shared" si="137"/>
        <v>3127.7628599999989</v>
      </c>
      <c r="AF555" s="26">
        <f t="shared" si="138"/>
        <v>1.4629215916722631</v>
      </c>
      <c r="AG555" s="8">
        <f>IF(DASHBOARD!$Q$7&gt;'staging data'!X555,'staging data'!X555,DASHBOARD!$Q$7)</f>
        <v>0.2</v>
      </c>
      <c r="AH555">
        <f>(100%+DASHBOARD!$Q$8)*'staging data'!T555</f>
        <v>410.964</v>
      </c>
      <c r="AI555">
        <f>(100%+DASHBOARD!$Q$9)*'staging data'!Y555</f>
        <v>24</v>
      </c>
    </row>
    <row r="556" spans="1:35" x14ac:dyDescent="0.3">
      <c r="A556" s="3" t="s">
        <v>89</v>
      </c>
      <c r="B556" s="28">
        <v>45798</v>
      </c>
      <c r="C556" s="28" t="str">
        <f t="shared" si="139"/>
        <v>Q2</v>
      </c>
      <c r="D556" s="28" t="str">
        <f t="shared" si="140"/>
        <v>2023</v>
      </c>
      <c r="E556" s="28" t="str">
        <f t="shared" si="141"/>
        <v>Sept</v>
      </c>
      <c r="F556" s="5">
        <v>45187</v>
      </c>
      <c r="G556" s="5">
        <f t="shared" si="129"/>
        <v>45207</v>
      </c>
      <c r="H556" s="5">
        <v>45207</v>
      </c>
      <c r="I556" s="5" t="str">
        <f t="shared" si="142"/>
        <v>Achieved</v>
      </c>
      <c r="J556" s="14">
        <f t="shared" si="143"/>
        <v>20</v>
      </c>
      <c r="K556" s="14">
        <f t="shared" si="130"/>
        <v>20</v>
      </c>
      <c r="L556" s="3" t="s">
        <v>646</v>
      </c>
      <c r="M556" s="3" t="s">
        <v>653</v>
      </c>
      <c r="N556" s="3" t="s">
        <v>679</v>
      </c>
      <c r="O556" s="3" t="s">
        <v>704</v>
      </c>
      <c r="P556" s="3" t="s">
        <v>710</v>
      </c>
      <c r="Q556" s="3" t="s">
        <v>716</v>
      </c>
      <c r="R556" s="3" t="s">
        <v>726</v>
      </c>
      <c r="S556" s="3" t="s">
        <v>808</v>
      </c>
      <c r="T556" s="21">
        <v>825.64</v>
      </c>
      <c r="U556" s="21" t="str">
        <f t="shared" si="144"/>
        <v>Medium</v>
      </c>
      <c r="V556">
        <f t="shared" si="131"/>
        <v>1108.43</v>
      </c>
      <c r="W556" s="7">
        <v>1108.43</v>
      </c>
      <c r="X556" s="8">
        <v>0.114</v>
      </c>
      <c r="Y556" s="14">
        <v>7</v>
      </c>
      <c r="Z556" s="7">
        <f t="shared" si="132"/>
        <v>126.36102000000001</v>
      </c>
      <c r="AA556" s="7">
        <f t="shared" si="133"/>
        <v>6874.4828600000001</v>
      </c>
      <c r="AB556" s="7">
        <f t="shared" si="134"/>
        <v>6748.1218399999998</v>
      </c>
      <c r="AC556" s="7">
        <f t="shared" si="135"/>
        <v>5779.48</v>
      </c>
      <c r="AD556" s="7">
        <f t="shared" si="136"/>
        <v>1095.0028600000005</v>
      </c>
      <c r="AE556" s="7">
        <f t="shared" si="137"/>
        <v>968.64184000000023</v>
      </c>
      <c r="AF556" s="26">
        <f t="shared" si="138"/>
        <v>1.1894639067874619</v>
      </c>
      <c r="AG556" s="8">
        <f>IF(DASHBOARD!$Q$7&gt;'staging data'!X556,'staging data'!X556,DASHBOARD!$Q$7)</f>
        <v>0.114</v>
      </c>
      <c r="AH556">
        <f>(100%+DASHBOARD!$Q$8)*'staging data'!T556</f>
        <v>949.48599999999988</v>
      </c>
      <c r="AI556">
        <f>(100%+DASHBOARD!$Q$9)*'staging data'!Y556</f>
        <v>8.4</v>
      </c>
    </row>
    <row r="557" spans="1:35" x14ac:dyDescent="0.3">
      <c r="A557" s="3" t="s">
        <v>90</v>
      </c>
      <c r="B557" s="28">
        <v>45798</v>
      </c>
      <c r="C557" s="28" t="str">
        <f t="shared" si="139"/>
        <v>Q2</v>
      </c>
      <c r="D557" s="28" t="str">
        <f t="shared" si="140"/>
        <v>2024</v>
      </c>
      <c r="E557" s="28" t="str">
        <f t="shared" si="141"/>
        <v>Aug</v>
      </c>
      <c r="F557" s="5">
        <v>45532</v>
      </c>
      <c r="G557" s="5">
        <f t="shared" si="129"/>
        <v>45560</v>
      </c>
      <c r="H557" s="5">
        <v>45560</v>
      </c>
      <c r="I557" s="5" t="str">
        <f t="shared" si="142"/>
        <v>Achieved</v>
      </c>
      <c r="J557" s="14">
        <f t="shared" si="143"/>
        <v>28</v>
      </c>
      <c r="K557" s="14">
        <f t="shared" si="130"/>
        <v>28</v>
      </c>
      <c r="L557" s="3" t="s">
        <v>647</v>
      </c>
      <c r="M557" s="3" t="s">
        <v>654</v>
      </c>
      <c r="N557" s="3" t="s">
        <v>691</v>
      </c>
      <c r="O557" s="3" t="s">
        <v>702</v>
      </c>
      <c r="P557" s="3" t="s">
        <v>707</v>
      </c>
      <c r="Q557" s="3" t="s">
        <v>715</v>
      </c>
      <c r="R557" s="3" t="s">
        <v>732</v>
      </c>
      <c r="S557" s="3" t="s">
        <v>809</v>
      </c>
      <c r="T557" s="21">
        <v>1394.65</v>
      </c>
      <c r="U557" s="21" t="str">
        <f t="shared" si="144"/>
        <v>High</v>
      </c>
      <c r="V557">
        <f t="shared" si="131"/>
        <v>3144.1</v>
      </c>
      <c r="W557" s="7">
        <v>3144.1</v>
      </c>
      <c r="X557" s="8">
        <v>0.13400000000000001</v>
      </c>
      <c r="Y557" s="14">
        <v>13</v>
      </c>
      <c r="Z557" s="7">
        <f t="shared" si="132"/>
        <v>421.30940000000004</v>
      </c>
      <c r="AA557" s="7">
        <f t="shared" si="133"/>
        <v>35396.277799999996</v>
      </c>
      <c r="AB557" s="7">
        <f t="shared" si="134"/>
        <v>34974.968399999998</v>
      </c>
      <c r="AC557" s="7">
        <f t="shared" si="135"/>
        <v>18130.45</v>
      </c>
      <c r="AD557" s="7">
        <f t="shared" si="136"/>
        <v>17265.827799999995</v>
      </c>
      <c r="AE557" s="7">
        <f t="shared" si="137"/>
        <v>16844.518399999997</v>
      </c>
      <c r="AF557" s="26">
        <f t="shared" si="138"/>
        <v>1.9523110457820956</v>
      </c>
      <c r="AG557" s="8">
        <f>IF(DASHBOARD!$Q$7&gt;'staging data'!X557,'staging data'!X557,DASHBOARD!$Q$7)</f>
        <v>0.13400000000000001</v>
      </c>
      <c r="AH557">
        <f>(100%+DASHBOARD!$Q$8)*'staging data'!T557</f>
        <v>1603.8475000000001</v>
      </c>
      <c r="AI557">
        <f>(100%+DASHBOARD!$Q$9)*'staging data'!Y557</f>
        <v>15.6</v>
      </c>
    </row>
    <row r="558" spans="1:35" x14ac:dyDescent="0.3">
      <c r="A558" s="3" t="s">
        <v>91</v>
      </c>
      <c r="B558" s="28">
        <v>45798</v>
      </c>
      <c r="C558" s="28" t="str">
        <f t="shared" si="139"/>
        <v>Q2</v>
      </c>
      <c r="D558" s="28" t="str">
        <f t="shared" si="140"/>
        <v>2024</v>
      </c>
      <c r="E558" s="28" t="str">
        <f t="shared" si="141"/>
        <v>Jun</v>
      </c>
      <c r="F558" s="5">
        <v>45473</v>
      </c>
      <c r="G558" s="5">
        <f t="shared" si="129"/>
        <v>45473</v>
      </c>
      <c r="H558" s="5">
        <v>45471</v>
      </c>
      <c r="I558" s="5" t="str">
        <f t="shared" si="142"/>
        <v>Not achieved</v>
      </c>
      <c r="J558" s="14">
        <f t="shared" si="143"/>
        <v>0</v>
      </c>
      <c r="K558" s="14">
        <f t="shared" si="130"/>
        <v>-2</v>
      </c>
      <c r="L558" s="3" t="s">
        <v>647</v>
      </c>
      <c r="M558" s="3" t="s">
        <v>654</v>
      </c>
      <c r="N558" s="3" t="s">
        <v>691</v>
      </c>
      <c r="O558" s="3" t="s">
        <v>704</v>
      </c>
      <c r="P558" s="3" t="s">
        <v>710</v>
      </c>
      <c r="Q558" s="3" t="s">
        <v>715</v>
      </c>
      <c r="R558" s="3" t="s">
        <v>732</v>
      </c>
      <c r="S558" s="3" t="s">
        <v>810</v>
      </c>
      <c r="T558" s="21">
        <v>1112.98</v>
      </c>
      <c r="U558" s="21" t="str">
        <f t="shared" si="144"/>
        <v>High</v>
      </c>
      <c r="V558">
        <f t="shared" si="131"/>
        <v>2095.73</v>
      </c>
      <c r="W558" s="7">
        <v>2095.73</v>
      </c>
      <c r="X558" s="8">
        <v>7.1999999999999995E-2</v>
      </c>
      <c r="Y558" s="14">
        <v>17</v>
      </c>
      <c r="Z558" s="7">
        <f t="shared" si="132"/>
        <v>150.89256</v>
      </c>
      <c r="AA558" s="7">
        <f t="shared" si="133"/>
        <v>33062.236480000007</v>
      </c>
      <c r="AB558" s="7">
        <f t="shared" si="134"/>
        <v>32911.343920000007</v>
      </c>
      <c r="AC558" s="7">
        <f t="shared" si="135"/>
        <v>18920.66</v>
      </c>
      <c r="AD558" s="7">
        <f t="shared" si="136"/>
        <v>14141.576480000007</v>
      </c>
      <c r="AE558" s="7">
        <f t="shared" si="137"/>
        <v>13990.683920000007</v>
      </c>
      <c r="AF558" s="26">
        <f t="shared" si="138"/>
        <v>1.7474145447357547</v>
      </c>
      <c r="AG558" s="8">
        <f>IF(DASHBOARD!$Q$7&gt;'staging data'!X558,'staging data'!X558,DASHBOARD!$Q$7)</f>
        <v>7.1999999999999995E-2</v>
      </c>
      <c r="AH558">
        <f>(100%+DASHBOARD!$Q$8)*'staging data'!T558</f>
        <v>1279.9269999999999</v>
      </c>
      <c r="AI558">
        <f>(100%+DASHBOARD!$Q$9)*'staging data'!Y558</f>
        <v>20.399999999999999</v>
      </c>
    </row>
    <row r="559" spans="1:35" x14ac:dyDescent="0.3">
      <c r="A559" s="3" t="s">
        <v>88</v>
      </c>
      <c r="B559" s="28">
        <v>45804</v>
      </c>
      <c r="C559" s="28" t="str">
        <f t="shared" si="139"/>
        <v>Q2</v>
      </c>
      <c r="D559" s="28" t="str">
        <f t="shared" si="140"/>
        <v>2023</v>
      </c>
      <c r="E559" s="28" t="str">
        <f t="shared" si="141"/>
        <v>May</v>
      </c>
      <c r="F559" s="5">
        <v>45066</v>
      </c>
      <c r="G559" s="5">
        <f t="shared" si="129"/>
        <v>45066</v>
      </c>
      <c r="H559" s="5">
        <v>45064</v>
      </c>
      <c r="I559" s="5" t="str">
        <f t="shared" si="142"/>
        <v>Not achieved</v>
      </c>
      <c r="J559" s="14">
        <f t="shared" si="143"/>
        <v>0</v>
      </c>
      <c r="K559" s="14">
        <f t="shared" si="130"/>
        <v>-2</v>
      </c>
      <c r="L559" s="3" t="s">
        <v>645</v>
      </c>
      <c r="M559" s="3" t="s">
        <v>660</v>
      </c>
      <c r="N559" s="3" t="s">
        <v>686</v>
      </c>
      <c r="O559" s="3" t="s">
        <v>700</v>
      </c>
      <c r="P559" s="3" t="s">
        <v>709</v>
      </c>
      <c r="Q559" s="3" t="s">
        <v>719</v>
      </c>
      <c r="R559" s="3" t="s">
        <v>726</v>
      </c>
      <c r="S559" s="3" t="s">
        <v>807</v>
      </c>
      <c r="T559" s="21">
        <v>917.88</v>
      </c>
      <c r="U559" s="21" t="str">
        <f t="shared" si="144"/>
        <v>Medium</v>
      </c>
      <c r="V559">
        <f t="shared" si="131"/>
        <v>1347.92</v>
      </c>
      <c r="W559" s="7">
        <v>1347.92</v>
      </c>
      <c r="X559" s="8">
        <v>0.34300000000000003</v>
      </c>
      <c r="Y559" s="14">
        <v>5</v>
      </c>
      <c r="Z559" s="7">
        <f t="shared" si="132"/>
        <v>462.33656000000008</v>
      </c>
      <c r="AA559" s="7">
        <f t="shared" si="133"/>
        <v>4427.9172000000008</v>
      </c>
      <c r="AB559" s="7">
        <f t="shared" si="134"/>
        <v>3965.5806400000006</v>
      </c>
      <c r="AC559" s="7">
        <f t="shared" si="135"/>
        <v>4589.3999999999996</v>
      </c>
      <c r="AD559" s="7">
        <f t="shared" si="136"/>
        <v>-161.48279999999886</v>
      </c>
      <c r="AE559" s="7">
        <f t="shared" si="137"/>
        <v>-623.81935999999905</v>
      </c>
      <c r="AF559" s="26">
        <f t="shared" si="138"/>
        <v>0.9648139626094917</v>
      </c>
      <c r="AG559" s="8">
        <f>IF(DASHBOARD!$Q$7&gt;'staging data'!X559,'staging data'!X559,DASHBOARD!$Q$7)</f>
        <v>0.2</v>
      </c>
      <c r="AH559">
        <f>(100%+DASHBOARD!$Q$8)*'staging data'!T559</f>
        <v>1055.5619999999999</v>
      </c>
      <c r="AI559">
        <f>(100%+DASHBOARD!$Q$9)*'staging data'!Y559</f>
        <v>6</v>
      </c>
    </row>
    <row r="560" spans="1:35" x14ac:dyDescent="0.3">
      <c r="A560" s="3" t="s">
        <v>87</v>
      </c>
      <c r="B560" s="28">
        <v>45806</v>
      </c>
      <c r="C560" s="28" t="str">
        <f t="shared" si="139"/>
        <v>Q2</v>
      </c>
      <c r="D560" s="28" t="str">
        <f t="shared" si="140"/>
        <v>2024</v>
      </c>
      <c r="E560" s="28" t="str">
        <f t="shared" si="141"/>
        <v>Dec</v>
      </c>
      <c r="F560" s="5">
        <v>45641</v>
      </c>
      <c r="G560" s="5">
        <f t="shared" si="129"/>
        <v>45646</v>
      </c>
      <c r="H560" s="5">
        <v>45646</v>
      </c>
      <c r="I560" s="5" t="str">
        <f t="shared" si="142"/>
        <v>Not achieved</v>
      </c>
      <c r="J560" s="14">
        <f t="shared" si="143"/>
        <v>5</v>
      </c>
      <c r="K560" s="14">
        <f t="shared" si="130"/>
        <v>5</v>
      </c>
      <c r="L560" s="3" t="s">
        <v>646</v>
      </c>
      <c r="M560" s="3" t="s">
        <v>658</v>
      </c>
      <c r="N560" s="3" t="s">
        <v>675</v>
      </c>
      <c r="O560" s="3" t="s">
        <v>704</v>
      </c>
      <c r="P560" s="3" t="s">
        <v>710</v>
      </c>
      <c r="Q560" s="3" t="s">
        <v>712</v>
      </c>
      <c r="R560" s="3" t="s">
        <v>728</v>
      </c>
      <c r="S560" s="3" t="s">
        <v>806</v>
      </c>
      <c r="T560" s="21">
        <v>717.55</v>
      </c>
      <c r="U560" s="21" t="str">
        <f t="shared" si="144"/>
        <v>Low</v>
      </c>
      <c r="V560">
        <f t="shared" si="131"/>
        <v>546.42999999999995</v>
      </c>
      <c r="W560" s="7">
        <v>546.42999999999995</v>
      </c>
      <c r="X560" s="8">
        <v>4.7E-2</v>
      </c>
      <c r="Y560" s="14">
        <v>18</v>
      </c>
      <c r="Z560" s="7">
        <f t="shared" si="132"/>
        <v>25.682209999999998</v>
      </c>
      <c r="AA560" s="7">
        <f t="shared" si="133"/>
        <v>9373.460219999999</v>
      </c>
      <c r="AB560" s="7">
        <f t="shared" si="134"/>
        <v>9347.7780099999982</v>
      </c>
      <c r="AC560" s="7">
        <f t="shared" si="135"/>
        <v>12915.9</v>
      </c>
      <c r="AD560" s="7">
        <f t="shared" si="136"/>
        <v>-3542.4397800000006</v>
      </c>
      <c r="AE560" s="7">
        <f t="shared" si="137"/>
        <v>-3568.1219900000015</v>
      </c>
      <c r="AF560" s="26">
        <f t="shared" si="138"/>
        <v>0.72573031844470759</v>
      </c>
      <c r="AG560" s="8">
        <f>IF(DASHBOARD!$Q$7&gt;'staging data'!X560,'staging data'!X560,DASHBOARD!$Q$7)</f>
        <v>4.7E-2</v>
      </c>
      <c r="AH560">
        <f>(100%+DASHBOARD!$Q$8)*'staging data'!T560</f>
        <v>825.18249999999989</v>
      </c>
      <c r="AI560">
        <f>(100%+DASHBOARD!$Q$9)*'staging data'!Y560</f>
        <v>21.599999999999998</v>
      </c>
    </row>
    <row r="561" spans="1:35" x14ac:dyDescent="0.3">
      <c r="A561" s="3" t="s">
        <v>84</v>
      </c>
      <c r="B561" s="28">
        <v>45809</v>
      </c>
      <c r="C561" s="28" t="str">
        <f t="shared" si="139"/>
        <v>Q2</v>
      </c>
      <c r="D561" s="28" t="str">
        <f t="shared" si="140"/>
        <v>2024</v>
      </c>
      <c r="E561" s="28" t="str">
        <f t="shared" si="141"/>
        <v>Mar</v>
      </c>
      <c r="F561" s="5">
        <v>45369</v>
      </c>
      <c r="G561" s="5">
        <f t="shared" si="129"/>
        <v>45372</v>
      </c>
      <c r="H561" s="5">
        <v>45372</v>
      </c>
      <c r="I561" s="5" t="str">
        <f t="shared" si="142"/>
        <v>Not achieved</v>
      </c>
      <c r="J561" s="14">
        <f t="shared" si="143"/>
        <v>3</v>
      </c>
      <c r="K561" s="14">
        <f t="shared" si="130"/>
        <v>3</v>
      </c>
      <c r="L561" s="3" t="s">
        <v>648</v>
      </c>
      <c r="M561" s="3" t="s">
        <v>655</v>
      </c>
      <c r="N561" s="3" t="s">
        <v>683</v>
      </c>
      <c r="O561" s="3" t="s">
        <v>704</v>
      </c>
      <c r="P561" s="3" t="s">
        <v>707</v>
      </c>
      <c r="Q561" s="3" t="s">
        <v>723</v>
      </c>
      <c r="R561" s="3" t="s">
        <v>732</v>
      </c>
      <c r="S561" s="3" t="s">
        <v>803</v>
      </c>
      <c r="T561" s="21">
        <v>910.63</v>
      </c>
      <c r="U561" s="21" t="str">
        <f t="shared" si="144"/>
        <v>Medium</v>
      </c>
      <c r="V561">
        <f t="shared" si="131"/>
        <v>1269.4000000000001</v>
      </c>
      <c r="W561" s="7">
        <v>1269.4000000000001</v>
      </c>
      <c r="X561" s="8">
        <v>6.8000000000000005E-2</v>
      </c>
      <c r="Y561" s="14">
        <v>9</v>
      </c>
      <c r="Z561" s="7">
        <f t="shared" si="132"/>
        <v>86.319200000000009</v>
      </c>
      <c r="AA561" s="7">
        <f t="shared" si="133"/>
        <v>10647.727199999999</v>
      </c>
      <c r="AB561" s="7">
        <f t="shared" si="134"/>
        <v>10561.407999999999</v>
      </c>
      <c r="AC561" s="7">
        <f t="shared" si="135"/>
        <v>8195.67</v>
      </c>
      <c r="AD561" s="7">
        <f t="shared" si="136"/>
        <v>2452.0571999999993</v>
      </c>
      <c r="AE561" s="7">
        <f t="shared" si="137"/>
        <v>2365.7379999999994</v>
      </c>
      <c r="AF561" s="26">
        <f t="shared" si="138"/>
        <v>1.299189352426342</v>
      </c>
      <c r="AG561" s="8">
        <f>IF(DASHBOARD!$Q$7&gt;'staging data'!X561,'staging data'!X561,DASHBOARD!$Q$7)</f>
        <v>6.8000000000000005E-2</v>
      </c>
      <c r="AH561">
        <f>(100%+DASHBOARD!$Q$8)*'staging data'!T561</f>
        <v>1047.2244999999998</v>
      </c>
      <c r="AI561">
        <f>(100%+DASHBOARD!$Q$9)*'staging data'!Y561</f>
        <v>10.799999999999999</v>
      </c>
    </row>
    <row r="562" spans="1:35" x14ac:dyDescent="0.3">
      <c r="A562" s="3" t="s">
        <v>85</v>
      </c>
      <c r="B562" s="28">
        <v>45809</v>
      </c>
      <c r="C562" s="28" t="str">
        <f t="shared" si="139"/>
        <v>Q2</v>
      </c>
      <c r="D562" s="28" t="str">
        <f t="shared" si="140"/>
        <v>2025</v>
      </c>
      <c r="E562" s="28" t="str">
        <f t="shared" si="141"/>
        <v>Apr</v>
      </c>
      <c r="F562" s="5">
        <v>45756</v>
      </c>
      <c r="G562" s="5">
        <f t="shared" si="129"/>
        <v>45783</v>
      </c>
      <c r="H562" s="5">
        <v>45783</v>
      </c>
      <c r="I562" s="5" t="str">
        <f t="shared" si="142"/>
        <v>Achieved</v>
      </c>
      <c r="J562" s="14">
        <f t="shared" si="143"/>
        <v>27</v>
      </c>
      <c r="K562" s="14">
        <f t="shared" si="130"/>
        <v>27</v>
      </c>
      <c r="L562" s="3" t="s">
        <v>647</v>
      </c>
      <c r="M562" s="3" t="s">
        <v>654</v>
      </c>
      <c r="N562" s="3" t="s">
        <v>671</v>
      </c>
      <c r="O562" s="3" t="s">
        <v>705</v>
      </c>
      <c r="P562" s="3" t="s">
        <v>708</v>
      </c>
      <c r="Q562" s="3" t="s">
        <v>720</v>
      </c>
      <c r="R562" s="3" t="s">
        <v>730</v>
      </c>
      <c r="S562" s="3" t="s">
        <v>804</v>
      </c>
      <c r="T562" s="21">
        <v>264.19</v>
      </c>
      <c r="U562" s="21" t="str">
        <f t="shared" si="144"/>
        <v>Low</v>
      </c>
      <c r="V562">
        <f t="shared" si="131"/>
        <v>620.92999999999995</v>
      </c>
      <c r="W562" s="7">
        <v>620.92999999999995</v>
      </c>
      <c r="X562" s="8">
        <v>0.14199999999999999</v>
      </c>
      <c r="Y562" s="14">
        <v>12</v>
      </c>
      <c r="Z562" s="7">
        <f t="shared" si="132"/>
        <v>88.172059999999988</v>
      </c>
      <c r="AA562" s="7">
        <f t="shared" si="133"/>
        <v>6393.0952799999995</v>
      </c>
      <c r="AB562" s="7">
        <f t="shared" si="134"/>
        <v>6304.9232199999997</v>
      </c>
      <c r="AC562" s="7">
        <f t="shared" si="135"/>
        <v>3170.2799999999997</v>
      </c>
      <c r="AD562" s="7">
        <f t="shared" si="136"/>
        <v>3222.8152799999998</v>
      </c>
      <c r="AE562" s="7">
        <f t="shared" si="137"/>
        <v>3134.6432199999999</v>
      </c>
      <c r="AF562" s="26">
        <f t="shared" si="138"/>
        <v>2.0165711798326962</v>
      </c>
      <c r="AG562" s="8">
        <f>IF(DASHBOARD!$Q$7&gt;'staging data'!X562,'staging data'!X562,DASHBOARD!$Q$7)</f>
        <v>0.14199999999999999</v>
      </c>
      <c r="AH562">
        <f>(100%+DASHBOARD!$Q$8)*'staging data'!T562</f>
        <v>303.81849999999997</v>
      </c>
      <c r="AI562">
        <f>(100%+DASHBOARD!$Q$9)*'staging data'!Y562</f>
        <v>14.399999999999999</v>
      </c>
    </row>
    <row r="563" spans="1:35" x14ac:dyDescent="0.3">
      <c r="A563" s="3" t="s">
        <v>86</v>
      </c>
      <c r="B563" s="28">
        <v>45809</v>
      </c>
      <c r="C563" s="28" t="str">
        <f t="shared" si="139"/>
        <v>Q2</v>
      </c>
      <c r="D563" s="28" t="str">
        <f t="shared" si="140"/>
        <v>2024</v>
      </c>
      <c r="E563" s="28" t="str">
        <f t="shared" si="141"/>
        <v>Apr</v>
      </c>
      <c r="F563" s="5">
        <v>45394</v>
      </c>
      <c r="G563" s="5">
        <f t="shared" si="129"/>
        <v>45419</v>
      </c>
      <c r="H563" s="5">
        <v>45419</v>
      </c>
      <c r="I563" s="5" t="str">
        <f t="shared" si="142"/>
        <v>Achieved</v>
      </c>
      <c r="J563" s="14">
        <f t="shared" si="143"/>
        <v>25</v>
      </c>
      <c r="K563" s="14">
        <f t="shared" si="130"/>
        <v>25</v>
      </c>
      <c r="L563" s="3" t="s">
        <v>645</v>
      </c>
      <c r="M563" s="3" t="s">
        <v>660</v>
      </c>
      <c r="N563" s="3" t="s">
        <v>681</v>
      </c>
      <c r="O563" s="3" t="s">
        <v>701</v>
      </c>
      <c r="P563" s="3" t="s">
        <v>709</v>
      </c>
      <c r="Q563" s="3" t="s">
        <v>719</v>
      </c>
      <c r="R563" s="3" t="s">
        <v>730</v>
      </c>
      <c r="S563" s="3" t="s">
        <v>805</v>
      </c>
      <c r="T563" s="21">
        <v>1376.51</v>
      </c>
      <c r="U563" s="21" t="str">
        <f t="shared" si="144"/>
        <v>Medium</v>
      </c>
      <c r="V563">
        <f t="shared" si="131"/>
        <v>1455.91</v>
      </c>
      <c r="W563" s="7">
        <v>1455.91</v>
      </c>
      <c r="X563" s="8">
        <v>0.185</v>
      </c>
      <c r="Y563" s="14">
        <v>17</v>
      </c>
      <c r="Z563" s="7">
        <f t="shared" si="132"/>
        <v>269.34334999999999</v>
      </c>
      <c r="AA563" s="7">
        <f t="shared" si="133"/>
        <v>20171.63305</v>
      </c>
      <c r="AB563" s="7">
        <f t="shared" si="134"/>
        <v>19902.289700000001</v>
      </c>
      <c r="AC563" s="7">
        <f t="shared" si="135"/>
        <v>23400.67</v>
      </c>
      <c r="AD563" s="7">
        <f t="shared" si="136"/>
        <v>-3229.0369499999979</v>
      </c>
      <c r="AE563" s="7">
        <f t="shared" si="137"/>
        <v>-3498.3802999999971</v>
      </c>
      <c r="AF563" s="26">
        <f t="shared" si="138"/>
        <v>0.86201091891813364</v>
      </c>
      <c r="AG563" s="8">
        <f>IF(DASHBOARD!$Q$7&gt;'staging data'!X563,'staging data'!X563,DASHBOARD!$Q$7)</f>
        <v>0.185</v>
      </c>
      <c r="AH563">
        <f>(100%+DASHBOARD!$Q$8)*'staging data'!T563</f>
        <v>1582.9865</v>
      </c>
      <c r="AI563">
        <f>(100%+DASHBOARD!$Q$9)*'staging data'!Y563</f>
        <v>20.399999999999999</v>
      </c>
    </row>
    <row r="564" spans="1:35" x14ac:dyDescent="0.3">
      <c r="A564" s="3" t="s">
        <v>83</v>
      </c>
      <c r="B564" s="28">
        <v>45811</v>
      </c>
      <c r="C564" s="28" t="str">
        <f t="shared" si="139"/>
        <v>Q2</v>
      </c>
      <c r="D564" s="28" t="str">
        <f t="shared" si="140"/>
        <v>2023</v>
      </c>
      <c r="E564" s="28" t="str">
        <f t="shared" si="141"/>
        <v>Apr</v>
      </c>
      <c r="F564" s="5">
        <v>45037</v>
      </c>
      <c r="G564" s="5">
        <f t="shared" si="129"/>
        <v>45056</v>
      </c>
      <c r="H564" s="5">
        <v>45056</v>
      </c>
      <c r="I564" s="5" t="str">
        <f t="shared" si="142"/>
        <v>Achieved</v>
      </c>
      <c r="J564" s="14">
        <f t="shared" si="143"/>
        <v>19</v>
      </c>
      <c r="K564" s="14">
        <f t="shared" si="130"/>
        <v>19</v>
      </c>
      <c r="L564" s="3" t="s">
        <v>646</v>
      </c>
      <c r="M564" s="3" t="s">
        <v>658</v>
      </c>
      <c r="N564" s="3" t="s">
        <v>684</v>
      </c>
      <c r="O564" s="3" t="s">
        <v>700</v>
      </c>
      <c r="P564" s="3" t="s">
        <v>706</v>
      </c>
      <c r="Q564" s="3" t="s">
        <v>719</v>
      </c>
      <c r="R564" s="3" t="s">
        <v>726</v>
      </c>
      <c r="S564" s="3" t="s">
        <v>802</v>
      </c>
      <c r="T564" s="21">
        <v>882.33</v>
      </c>
      <c r="U564" s="21" t="str">
        <f t="shared" si="144"/>
        <v>Medium</v>
      </c>
      <c r="V564">
        <f t="shared" si="131"/>
        <v>1880.15</v>
      </c>
      <c r="W564" s="7">
        <v>1880.15</v>
      </c>
      <c r="X564" s="8">
        <v>0.05</v>
      </c>
      <c r="Y564" s="14">
        <v>5</v>
      </c>
      <c r="Z564" s="7">
        <f t="shared" si="132"/>
        <v>94.007500000000007</v>
      </c>
      <c r="AA564" s="7">
        <f t="shared" si="133"/>
        <v>8930.7124999999996</v>
      </c>
      <c r="AB564" s="7">
        <f t="shared" si="134"/>
        <v>8836.7049999999999</v>
      </c>
      <c r="AC564" s="7">
        <f t="shared" si="135"/>
        <v>4411.6500000000005</v>
      </c>
      <c r="AD564" s="7">
        <f t="shared" si="136"/>
        <v>4519.0624999999991</v>
      </c>
      <c r="AE564" s="7">
        <f t="shared" si="137"/>
        <v>4425.0549999999994</v>
      </c>
      <c r="AF564" s="26">
        <f t="shared" si="138"/>
        <v>2.0243474663674585</v>
      </c>
      <c r="AG564" s="8">
        <f>IF(DASHBOARD!$Q$7&gt;'staging data'!X564,'staging data'!X564,DASHBOARD!$Q$7)</f>
        <v>0.05</v>
      </c>
      <c r="AH564">
        <f>(100%+DASHBOARD!$Q$8)*'staging data'!T564</f>
        <v>1014.6795</v>
      </c>
      <c r="AI564">
        <f>(100%+DASHBOARD!$Q$9)*'staging data'!Y564</f>
        <v>6</v>
      </c>
    </row>
    <row r="565" spans="1:35" x14ac:dyDescent="0.3">
      <c r="A565" s="3" t="s">
        <v>82</v>
      </c>
      <c r="B565" s="28">
        <v>45813</v>
      </c>
      <c r="C565" s="28" t="str">
        <f t="shared" si="139"/>
        <v>Q2</v>
      </c>
      <c r="D565" s="28" t="str">
        <f t="shared" si="140"/>
        <v>2023</v>
      </c>
      <c r="E565" s="28" t="str">
        <f t="shared" si="141"/>
        <v>Aug</v>
      </c>
      <c r="F565" s="5">
        <v>45157</v>
      </c>
      <c r="G565" s="5">
        <f t="shared" si="129"/>
        <v>45176</v>
      </c>
      <c r="H565" s="5">
        <v>45176</v>
      </c>
      <c r="I565" s="5" t="str">
        <f t="shared" si="142"/>
        <v>Achieved</v>
      </c>
      <c r="J565" s="14">
        <f t="shared" si="143"/>
        <v>19</v>
      </c>
      <c r="K565" s="14">
        <f t="shared" si="130"/>
        <v>19</v>
      </c>
      <c r="L565" s="3" t="s">
        <v>645</v>
      </c>
      <c r="M565" s="3" t="s">
        <v>660</v>
      </c>
      <c r="N565" s="3" t="s">
        <v>681</v>
      </c>
      <c r="O565" s="3" t="s">
        <v>705</v>
      </c>
      <c r="P565" s="3" t="s">
        <v>706</v>
      </c>
      <c r="Q565" s="3" t="s">
        <v>725</v>
      </c>
      <c r="R565" s="3" t="s">
        <v>731</v>
      </c>
      <c r="S565" s="3" t="s">
        <v>801</v>
      </c>
      <c r="T565" s="21">
        <v>494.61</v>
      </c>
      <c r="U565" s="21" t="str">
        <f t="shared" si="144"/>
        <v>Low</v>
      </c>
      <c r="V565">
        <f t="shared" si="131"/>
        <v>605.23</v>
      </c>
      <c r="W565" s="7">
        <v>605.23</v>
      </c>
      <c r="X565" s="8">
        <v>0.20399999999999999</v>
      </c>
      <c r="Y565" s="14">
        <v>18</v>
      </c>
      <c r="Z565" s="7">
        <f t="shared" si="132"/>
        <v>123.46692</v>
      </c>
      <c r="AA565" s="7">
        <f t="shared" si="133"/>
        <v>8671.7354400000004</v>
      </c>
      <c r="AB565" s="7">
        <f t="shared" si="134"/>
        <v>8548.2685199999996</v>
      </c>
      <c r="AC565" s="7">
        <f t="shared" si="135"/>
        <v>8902.98</v>
      </c>
      <c r="AD565" s="7">
        <f t="shared" si="136"/>
        <v>-231.24455999999918</v>
      </c>
      <c r="AE565" s="7">
        <f t="shared" si="137"/>
        <v>-354.71147999999994</v>
      </c>
      <c r="AF565" s="26">
        <f t="shared" si="138"/>
        <v>0.97402616202664738</v>
      </c>
      <c r="AG565" s="8">
        <f>IF(DASHBOARD!$Q$7&gt;'staging data'!X565,'staging data'!X565,DASHBOARD!$Q$7)</f>
        <v>0.2</v>
      </c>
      <c r="AH565">
        <f>(100%+DASHBOARD!$Q$8)*'staging data'!T565</f>
        <v>568.80149999999992</v>
      </c>
      <c r="AI565">
        <f>(100%+DASHBOARD!$Q$9)*'staging data'!Y565</f>
        <v>21.599999999999998</v>
      </c>
    </row>
    <row r="566" spans="1:35" x14ac:dyDescent="0.3">
      <c r="A566" s="3" t="s">
        <v>79</v>
      </c>
      <c r="B566" s="28">
        <v>45817</v>
      </c>
      <c r="C566" s="28" t="str">
        <f t="shared" si="139"/>
        <v>Q2</v>
      </c>
      <c r="D566" s="28" t="str">
        <f t="shared" si="140"/>
        <v>2023</v>
      </c>
      <c r="E566" s="28" t="str">
        <f t="shared" si="141"/>
        <v>Dec</v>
      </c>
      <c r="F566" s="5">
        <v>45263</v>
      </c>
      <c r="G566" s="5">
        <f t="shared" si="129"/>
        <v>45286</v>
      </c>
      <c r="H566" s="5">
        <v>45286</v>
      </c>
      <c r="I566" s="5" t="str">
        <f t="shared" si="142"/>
        <v>Achieved</v>
      </c>
      <c r="J566" s="14">
        <f t="shared" si="143"/>
        <v>23</v>
      </c>
      <c r="K566" s="14">
        <f t="shared" si="130"/>
        <v>23</v>
      </c>
      <c r="L566" s="3" t="s">
        <v>647</v>
      </c>
      <c r="M566" s="3" t="s">
        <v>654</v>
      </c>
      <c r="N566" s="3" t="s">
        <v>691</v>
      </c>
      <c r="O566" s="3" t="s">
        <v>701</v>
      </c>
      <c r="P566" s="3" t="s">
        <v>706</v>
      </c>
      <c r="Q566" s="3" t="s">
        <v>718</v>
      </c>
      <c r="R566" s="3" t="s">
        <v>729</v>
      </c>
      <c r="S566" s="3" t="s">
        <v>798</v>
      </c>
      <c r="T566" s="21">
        <v>1303.1099999999999</v>
      </c>
      <c r="U566" s="21" t="str">
        <f t="shared" si="144"/>
        <v>Medium</v>
      </c>
      <c r="V566">
        <f t="shared" si="131"/>
        <v>1145.67</v>
      </c>
      <c r="W566" s="7">
        <v>1145.67</v>
      </c>
      <c r="X566" s="8">
        <v>0.184</v>
      </c>
      <c r="Y566" s="14">
        <v>13</v>
      </c>
      <c r="Z566" s="7">
        <f t="shared" si="132"/>
        <v>210.80328</v>
      </c>
      <c r="AA566" s="7">
        <f t="shared" si="133"/>
        <v>12153.267360000002</v>
      </c>
      <c r="AB566" s="7">
        <f t="shared" si="134"/>
        <v>11942.464080000002</v>
      </c>
      <c r="AC566" s="7">
        <f t="shared" si="135"/>
        <v>16940.43</v>
      </c>
      <c r="AD566" s="7">
        <f t="shared" si="136"/>
        <v>-4787.1626399999986</v>
      </c>
      <c r="AE566" s="7">
        <f t="shared" si="137"/>
        <v>-4997.9659199999987</v>
      </c>
      <c r="AF566" s="26">
        <f t="shared" si="138"/>
        <v>0.71741197596519102</v>
      </c>
      <c r="AG566" s="8">
        <f>IF(DASHBOARD!$Q$7&gt;'staging data'!X566,'staging data'!X566,DASHBOARD!$Q$7)</f>
        <v>0.184</v>
      </c>
      <c r="AH566">
        <f>(100%+DASHBOARD!$Q$8)*'staging data'!T566</f>
        <v>1498.5764999999997</v>
      </c>
      <c r="AI566">
        <f>(100%+DASHBOARD!$Q$9)*'staging data'!Y566</f>
        <v>15.6</v>
      </c>
    </row>
    <row r="567" spans="1:35" x14ac:dyDescent="0.3">
      <c r="A567" s="3" t="s">
        <v>80</v>
      </c>
      <c r="B567" s="28">
        <v>45817</v>
      </c>
      <c r="C567" s="28" t="str">
        <f t="shared" si="139"/>
        <v>Q2</v>
      </c>
      <c r="D567" s="28" t="str">
        <f t="shared" si="140"/>
        <v>2023</v>
      </c>
      <c r="E567" s="28" t="str">
        <f t="shared" si="141"/>
        <v>Mar</v>
      </c>
      <c r="F567" s="5">
        <v>45004</v>
      </c>
      <c r="G567" s="5">
        <f t="shared" si="129"/>
        <v>45025</v>
      </c>
      <c r="H567" s="5">
        <v>45025</v>
      </c>
      <c r="I567" s="5" t="str">
        <f t="shared" si="142"/>
        <v>Achieved</v>
      </c>
      <c r="J567" s="14">
        <f t="shared" si="143"/>
        <v>21</v>
      </c>
      <c r="K567" s="14">
        <f t="shared" si="130"/>
        <v>21</v>
      </c>
      <c r="L567" s="3" t="s">
        <v>648</v>
      </c>
      <c r="M567" s="3" t="s">
        <v>657</v>
      </c>
      <c r="N567" s="3" t="s">
        <v>692</v>
      </c>
      <c r="O567" s="3" t="s">
        <v>703</v>
      </c>
      <c r="P567" s="3" t="s">
        <v>706</v>
      </c>
      <c r="Q567" s="3" t="s">
        <v>715</v>
      </c>
      <c r="R567" s="3" t="s">
        <v>732</v>
      </c>
      <c r="S567" s="3" t="s">
        <v>799</v>
      </c>
      <c r="T567" s="21">
        <v>1082.17</v>
      </c>
      <c r="U567" s="21" t="str">
        <f t="shared" si="144"/>
        <v>Medium</v>
      </c>
      <c r="V567">
        <f t="shared" si="131"/>
        <v>1234.0999999999999</v>
      </c>
      <c r="W567" s="7">
        <v>1234.0999999999999</v>
      </c>
      <c r="X567" s="8">
        <v>0.189</v>
      </c>
      <c r="Y567" s="14">
        <v>16</v>
      </c>
      <c r="Z567" s="7">
        <f t="shared" si="132"/>
        <v>233.24489999999997</v>
      </c>
      <c r="AA567" s="7">
        <f t="shared" si="133"/>
        <v>16013.681599999998</v>
      </c>
      <c r="AB567" s="7">
        <f t="shared" si="134"/>
        <v>15780.436699999998</v>
      </c>
      <c r="AC567" s="7">
        <f t="shared" si="135"/>
        <v>17314.72</v>
      </c>
      <c r="AD567" s="7">
        <f t="shared" si="136"/>
        <v>-1301.0384000000031</v>
      </c>
      <c r="AE567" s="7">
        <f t="shared" si="137"/>
        <v>-1534.2833000000028</v>
      </c>
      <c r="AF567" s="26">
        <f t="shared" si="138"/>
        <v>0.92485940286646262</v>
      </c>
      <c r="AG567" s="8">
        <f>IF(DASHBOARD!$Q$7&gt;'staging data'!X567,'staging data'!X567,DASHBOARD!$Q$7)</f>
        <v>0.189</v>
      </c>
      <c r="AH567">
        <f>(100%+DASHBOARD!$Q$8)*'staging data'!T567</f>
        <v>1244.4955</v>
      </c>
      <c r="AI567">
        <f>(100%+DASHBOARD!$Q$9)*'staging data'!Y567</f>
        <v>19.2</v>
      </c>
    </row>
    <row r="568" spans="1:35" x14ac:dyDescent="0.3">
      <c r="A568" s="3" t="s">
        <v>81</v>
      </c>
      <c r="B568" s="28">
        <v>45817</v>
      </c>
      <c r="C568" s="28" t="str">
        <f t="shared" si="139"/>
        <v>Q2</v>
      </c>
      <c r="D568" s="28" t="str">
        <f t="shared" si="140"/>
        <v>2024</v>
      </c>
      <c r="E568" s="28" t="str">
        <f t="shared" si="141"/>
        <v>May</v>
      </c>
      <c r="F568" s="5">
        <v>45434</v>
      </c>
      <c r="G568" s="5">
        <f t="shared" si="129"/>
        <v>45449</v>
      </c>
      <c r="H568" s="5">
        <v>45449</v>
      </c>
      <c r="I568" s="5" t="str">
        <f t="shared" si="142"/>
        <v>Achieved</v>
      </c>
      <c r="J568" s="14">
        <f t="shared" si="143"/>
        <v>15</v>
      </c>
      <c r="K568" s="14">
        <f t="shared" si="130"/>
        <v>15</v>
      </c>
      <c r="L568" s="3" t="s">
        <v>646</v>
      </c>
      <c r="M568" s="3" t="s">
        <v>651</v>
      </c>
      <c r="N568" s="3" t="s">
        <v>693</v>
      </c>
      <c r="O568" s="3" t="s">
        <v>700</v>
      </c>
      <c r="P568" s="3" t="s">
        <v>709</v>
      </c>
      <c r="Q568" s="3" t="s">
        <v>711</v>
      </c>
      <c r="R568" s="3" t="s">
        <v>731</v>
      </c>
      <c r="S568" s="3" t="s">
        <v>800</v>
      </c>
      <c r="T568" s="21">
        <v>673.88</v>
      </c>
      <c r="U568" s="21" t="str">
        <f t="shared" si="144"/>
        <v>Medium</v>
      </c>
      <c r="V568">
        <f t="shared" si="131"/>
        <v>1228.01</v>
      </c>
      <c r="W568" s="7">
        <v>1228.01</v>
      </c>
      <c r="X568" s="8">
        <v>0.105</v>
      </c>
      <c r="Y568" s="14">
        <v>13</v>
      </c>
      <c r="Z568" s="7">
        <f t="shared" si="132"/>
        <v>128.94104999999999</v>
      </c>
      <c r="AA568" s="7">
        <f t="shared" si="133"/>
        <v>14287.896349999999</v>
      </c>
      <c r="AB568" s="7">
        <f t="shared" si="134"/>
        <v>14158.9553</v>
      </c>
      <c r="AC568" s="7">
        <f t="shared" si="135"/>
        <v>8760.44</v>
      </c>
      <c r="AD568" s="7">
        <f t="shared" si="136"/>
        <v>5527.4563499999986</v>
      </c>
      <c r="AE568" s="7">
        <f t="shared" si="137"/>
        <v>5398.5152999999991</v>
      </c>
      <c r="AF568" s="26">
        <f t="shared" si="138"/>
        <v>1.6309564759304325</v>
      </c>
      <c r="AG568" s="8">
        <f>IF(DASHBOARD!$Q$7&gt;'staging data'!X568,'staging data'!X568,DASHBOARD!$Q$7)</f>
        <v>0.105</v>
      </c>
      <c r="AH568">
        <f>(100%+DASHBOARD!$Q$8)*'staging data'!T568</f>
        <v>774.96199999999999</v>
      </c>
      <c r="AI568">
        <f>(100%+DASHBOARD!$Q$9)*'staging data'!Y568</f>
        <v>15.6</v>
      </c>
    </row>
    <row r="569" spans="1:35" x14ac:dyDescent="0.3">
      <c r="A569" s="3" t="s">
        <v>78</v>
      </c>
      <c r="B569" s="28">
        <v>45822</v>
      </c>
      <c r="C569" s="28" t="str">
        <f t="shared" si="139"/>
        <v>Q2</v>
      </c>
      <c r="D569" s="28" t="str">
        <f t="shared" si="140"/>
        <v>2023</v>
      </c>
      <c r="E569" s="28" t="str">
        <f t="shared" si="141"/>
        <v>Feb</v>
      </c>
      <c r="F569" s="5">
        <v>44972</v>
      </c>
      <c r="G569" s="5">
        <f t="shared" si="129"/>
        <v>44983</v>
      </c>
      <c r="H569" s="5">
        <v>44983</v>
      </c>
      <c r="I569" s="5" t="str">
        <f t="shared" si="142"/>
        <v>Achieved</v>
      </c>
      <c r="J569" s="14">
        <f t="shared" si="143"/>
        <v>11</v>
      </c>
      <c r="K569" s="14">
        <f t="shared" si="130"/>
        <v>11</v>
      </c>
      <c r="L569" s="3" t="s">
        <v>645</v>
      </c>
      <c r="M569" s="3" t="s">
        <v>660</v>
      </c>
      <c r="N569" s="3" t="s">
        <v>681</v>
      </c>
      <c r="O569" s="3" t="s">
        <v>702</v>
      </c>
      <c r="P569" s="3" t="s">
        <v>706</v>
      </c>
      <c r="Q569" s="3" t="s">
        <v>722</v>
      </c>
      <c r="R569" s="3" t="s">
        <v>730</v>
      </c>
      <c r="S569" s="3" t="s">
        <v>797</v>
      </c>
      <c r="T569" s="21">
        <v>498.5</v>
      </c>
      <c r="U569" s="21" t="str">
        <f t="shared" si="144"/>
        <v>Medium</v>
      </c>
      <c r="V569">
        <f t="shared" si="131"/>
        <v>755.87</v>
      </c>
      <c r="W569" s="7">
        <v>755.87</v>
      </c>
      <c r="X569" s="8">
        <v>0.13</v>
      </c>
      <c r="Y569" s="14">
        <v>40</v>
      </c>
      <c r="Z569" s="7">
        <f t="shared" si="132"/>
        <v>98.263100000000009</v>
      </c>
      <c r="AA569" s="7">
        <f t="shared" si="133"/>
        <v>26304.275999999998</v>
      </c>
      <c r="AB569" s="7">
        <f t="shared" si="134"/>
        <v>26206.012899999998</v>
      </c>
      <c r="AC569" s="7">
        <f t="shared" si="135"/>
        <v>19940</v>
      </c>
      <c r="AD569" s="7">
        <f t="shared" si="136"/>
        <v>6364.275999999998</v>
      </c>
      <c r="AE569" s="7">
        <f t="shared" si="137"/>
        <v>6266.0128999999979</v>
      </c>
      <c r="AF569" s="26">
        <f t="shared" si="138"/>
        <v>1.3191713139418253</v>
      </c>
      <c r="AG569" s="8">
        <f>IF(DASHBOARD!$Q$7&gt;'staging data'!X569,'staging data'!X569,DASHBOARD!$Q$7)</f>
        <v>0.13</v>
      </c>
      <c r="AH569">
        <f>(100%+DASHBOARD!$Q$8)*'staging data'!T569</f>
        <v>573.27499999999998</v>
      </c>
      <c r="AI569">
        <f>(100%+DASHBOARD!$Q$9)*'staging data'!Y569</f>
        <v>48</v>
      </c>
    </row>
    <row r="570" spans="1:35" x14ac:dyDescent="0.3">
      <c r="A570" s="3" t="s">
        <v>76</v>
      </c>
      <c r="B570" s="28">
        <v>45823</v>
      </c>
      <c r="C570" s="28" t="str">
        <f t="shared" si="139"/>
        <v>Q2</v>
      </c>
      <c r="D570" s="28" t="str">
        <f t="shared" si="140"/>
        <v>2025</v>
      </c>
      <c r="E570" s="28" t="str">
        <f t="shared" si="141"/>
        <v>Apr</v>
      </c>
      <c r="F570" s="5">
        <v>45774</v>
      </c>
      <c r="G570" s="5">
        <f t="shared" si="129"/>
        <v>45802</v>
      </c>
      <c r="H570" s="5">
        <v>45802</v>
      </c>
      <c r="I570" s="5" t="str">
        <f t="shared" si="142"/>
        <v>Achieved</v>
      </c>
      <c r="J570" s="14">
        <f t="shared" si="143"/>
        <v>28</v>
      </c>
      <c r="K570" s="14">
        <f t="shared" si="130"/>
        <v>28</v>
      </c>
      <c r="L570" s="3" t="s">
        <v>648</v>
      </c>
      <c r="M570" s="3" t="s">
        <v>656</v>
      </c>
      <c r="N570" s="3" t="s">
        <v>689</v>
      </c>
      <c r="O570" s="3" t="s">
        <v>704</v>
      </c>
      <c r="P570" s="3" t="s">
        <v>708</v>
      </c>
      <c r="Q570" s="3" t="s">
        <v>713</v>
      </c>
      <c r="R570" s="3" t="s">
        <v>729</v>
      </c>
      <c r="S570" s="3" t="s">
        <v>795</v>
      </c>
      <c r="T570" s="21">
        <v>603.45000000000005</v>
      </c>
      <c r="U570" s="21" t="str">
        <f t="shared" si="144"/>
        <v>Medium</v>
      </c>
      <c r="V570">
        <f t="shared" si="131"/>
        <v>1244.08</v>
      </c>
      <c r="W570" s="7">
        <v>1244.08</v>
      </c>
      <c r="X570" s="8">
        <v>0.2</v>
      </c>
      <c r="Y570" s="14">
        <v>11</v>
      </c>
      <c r="Z570" s="7">
        <f t="shared" si="132"/>
        <v>248.816</v>
      </c>
      <c r="AA570" s="7">
        <f t="shared" si="133"/>
        <v>10947.904</v>
      </c>
      <c r="AB570" s="7">
        <f t="shared" si="134"/>
        <v>10699.088</v>
      </c>
      <c r="AC570" s="7">
        <f t="shared" si="135"/>
        <v>6637.9500000000007</v>
      </c>
      <c r="AD570" s="7">
        <f t="shared" si="136"/>
        <v>4309.9539999999997</v>
      </c>
      <c r="AE570" s="7">
        <f t="shared" si="137"/>
        <v>4061.137999999999</v>
      </c>
      <c r="AF570" s="26">
        <f t="shared" si="138"/>
        <v>1.6492899163145247</v>
      </c>
      <c r="AG570" s="8">
        <f>IF(DASHBOARD!$Q$7&gt;'staging data'!X570,'staging data'!X570,DASHBOARD!$Q$7)</f>
        <v>0.2</v>
      </c>
      <c r="AH570">
        <f>(100%+DASHBOARD!$Q$8)*'staging data'!T570</f>
        <v>693.96749999999997</v>
      </c>
      <c r="AI570">
        <f>(100%+DASHBOARD!$Q$9)*'staging data'!Y570</f>
        <v>13.2</v>
      </c>
    </row>
    <row r="571" spans="1:35" x14ac:dyDescent="0.3">
      <c r="A571" s="3" t="s">
        <v>77</v>
      </c>
      <c r="B571" s="28">
        <v>45823</v>
      </c>
      <c r="C571" s="28" t="str">
        <f t="shared" si="139"/>
        <v>Q2</v>
      </c>
      <c r="D571" s="28" t="str">
        <f t="shared" si="140"/>
        <v>2024</v>
      </c>
      <c r="E571" s="28" t="str">
        <f t="shared" si="141"/>
        <v>Nov</v>
      </c>
      <c r="F571" s="5">
        <v>45598</v>
      </c>
      <c r="G571" s="5">
        <f t="shared" si="129"/>
        <v>45614</v>
      </c>
      <c r="H571" s="5">
        <v>45614</v>
      </c>
      <c r="I571" s="5" t="str">
        <f t="shared" si="142"/>
        <v>Achieved</v>
      </c>
      <c r="J571" s="14">
        <f t="shared" si="143"/>
        <v>16</v>
      </c>
      <c r="K571" s="14">
        <f t="shared" si="130"/>
        <v>16</v>
      </c>
      <c r="L571" s="3" t="s">
        <v>646</v>
      </c>
      <c r="M571" s="3" t="s">
        <v>653</v>
      </c>
      <c r="N571" s="3" t="s">
        <v>690</v>
      </c>
      <c r="O571" s="3" t="s">
        <v>704</v>
      </c>
      <c r="P571" s="3" t="s">
        <v>709</v>
      </c>
      <c r="Q571" s="3" t="s">
        <v>718</v>
      </c>
      <c r="R571" s="3" t="s">
        <v>731</v>
      </c>
      <c r="S571" s="3" t="s">
        <v>796</v>
      </c>
      <c r="T571" s="21">
        <v>1233.58</v>
      </c>
      <c r="U571" s="21" t="str">
        <f t="shared" si="144"/>
        <v>Medium</v>
      </c>
      <c r="V571">
        <f t="shared" si="131"/>
        <v>1912.51</v>
      </c>
      <c r="W571" s="7">
        <v>1912.51</v>
      </c>
      <c r="X571" s="8">
        <v>0.255</v>
      </c>
      <c r="Y571" s="14">
        <v>51</v>
      </c>
      <c r="Z571" s="7">
        <f t="shared" si="132"/>
        <v>487.69004999999999</v>
      </c>
      <c r="AA571" s="7">
        <f t="shared" si="133"/>
        <v>72665.817450000002</v>
      </c>
      <c r="AB571" s="7">
        <f t="shared" si="134"/>
        <v>72178.127399999998</v>
      </c>
      <c r="AC571" s="7">
        <f t="shared" si="135"/>
        <v>62912.579999999994</v>
      </c>
      <c r="AD571" s="7">
        <f t="shared" si="136"/>
        <v>9753.2374500000078</v>
      </c>
      <c r="AE571" s="7">
        <f t="shared" si="137"/>
        <v>9265.5474000000031</v>
      </c>
      <c r="AF571" s="26">
        <f t="shared" si="138"/>
        <v>1.1550284132362718</v>
      </c>
      <c r="AG571" s="8">
        <f>IF(DASHBOARD!$Q$7&gt;'staging data'!X571,'staging data'!X571,DASHBOARD!$Q$7)</f>
        <v>0.2</v>
      </c>
      <c r="AH571">
        <f>(100%+DASHBOARD!$Q$8)*'staging data'!T571</f>
        <v>1418.6169999999997</v>
      </c>
      <c r="AI571">
        <f>(100%+DASHBOARD!$Q$9)*'staging data'!Y571</f>
        <v>61.199999999999996</v>
      </c>
    </row>
    <row r="572" spans="1:35" x14ac:dyDescent="0.3">
      <c r="A572" s="3" t="s">
        <v>75</v>
      </c>
      <c r="B572" s="28">
        <v>45825</v>
      </c>
      <c r="C572" s="28" t="str">
        <f t="shared" si="139"/>
        <v>Q2</v>
      </c>
      <c r="D572" s="28" t="str">
        <f t="shared" si="140"/>
        <v>2025</v>
      </c>
      <c r="E572" s="28" t="str">
        <f t="shared" si="141"/>
        <v>Sept</v>
      </c>
      <c r="F572" s="5">
        <v>45910</v>
      </c>
      <c r="G572" s="5">
        <f t="shared" si="129"/>
        <v>45912</v>
      </c>
      <c r="H572" s="5">
        <v>45912</v>
      </c>
      <c r="I572" s="5" t="str">
        <f t="shared" si="142"/>
        <v>Not achieved</v>
      </c>
      <c r="J572" s="14">
        <f t="shared" si="143"/>
        <v>2</v>
      </c>
      <c r="K572" s="14">
        <f t="shared" si="130"/>
        <v>2</v>
      </c>
      <c r="L572" s="3" t="s">
        <v>646</v>
      </c>
      <c r="M572" s="3" t="s">
        <v>651</v>
      </c>
      <c r="N572" s="3" t="s">
        <v>688</v>
      </c>
      <c r="O572" s="3" t="s">
        <v>703</v>
      </c>
      <c r="P572" s="3" t="s">
        <v>707</v>
      </c>
      <c r="Q572" s="3" t="s">
        <v>718</v>
      </c>
      <c r="R572" s="3" t="s">
        <v>726</v>
      </c>
      <c r="S572" s="3" t="s">
        <v>794</v>
      </c>
      <c r="T572" s="21">
        <v>1470.15</v>
      </c>
      <c r="U572" s="21" t="str">
        <f t="shared" si="144"/>
        <v>High</v>
      </c>
      <c r="V572">
        <f t="shared" si="131"/>
        <v>2593.7800000000002</v>
      </c>
      <c r="W572" s="7">
        <v>2593.7800000000002</v>
      </c>
      <c r="X572" s="8">
        <v>0.11</v>
      </c>
      <c r="Y572" s="14">
        <v>12</v>
      </c>
      <c r="Z572" s="7">
        <f t="shared" si="132"/>
        <v>285.31580000000002</v>
      </c>
      <c r="AA572" s="7">
        <f t="shared" si="133"/>
        <v>27701.570400000001</v>
      </c>
      <c r="AB572" s="7">
        <f t="shared" si="134"/>
        <v>27416.2546</v>
      </c>
      <c r="AC572" s="7">
        <f t="shared" si="135"/>
        <v>17641.800000000003</v>
      </c>
      <c r="AD572" s="7">
        <f t="shared" si="136"/>
        <v>10059.770399999998</v>
      </c>
      <c r="AE572" s="7">
        <f t="shared" si="137"/>
        <v>9774.4545999999973</v>
      </c>
      <c r="AF572" s="26">
        <f t="shared" si="138"/>
        <v>1.5702235826276227</v>
      </c>
      <c r="AG572" s="8">
        <f>IF(DASHBOARD!$Q$7&gt;'staging data'!X572,'staging data'!X572,DASHBOARD!$Q$7)</f>
        <v>0.11</v>
      </c>
      <c r="AH572">
        <f>(100%+DASHBOARD!$Q$8)*'staging data'!T572</f>
        <v>1690.6724999999999</v>
      </c>
      <c r="AI572">
        <f>(100%+DASHBOARD!$Q$9)*'staging data'!Y572</f>
        <v>14.399999999999999</v>
      </c>
    </row>
    <row r="573" spans="1:35" x14ac:dyDescent="0.3">
      <c r="A573" s="3" t="s">
        <v>73</v>
      </c>
      <c r="B573" s="28">
        <v>45827</v>
      </c>
      <c r="C573" s="28" t="str">
        <f t="shared" si="139"/>
        <v>Q2</v>
      </c>
      <c r="D573" s="28" t="str">
        <f t="shared" si="140"/>
        <v>2025</v>
      </c>
      <c r="E573" s="28" t="str">
        <f t="shared" si="141"/>
        <v>May</v>
      </c>
      <c r="F573" s="5">
        <v>45779</v>
      </c>
      <c r="G573" s="5">
        <f t="shared" si="129"/>
        <v>45790</v>
      </c>
      <c r="H573" s="5">
        <v>45790</v>
      </c>
      <c r="I573" s="5" t="str">
        <f t="shared" si="142"/>
        <v>Achieved</v>
      </c>
      <c r="J573" s="14">
        <f t="shared" si="143"/>
        <v>11</v>
      </c>
      <c r="K573" s="14">
        <f t="shared" si="130"/>
        <v>11</v>
      </c>
      <c r="L573" s="3" t="s">
        <v>645</v>
      </c>
      <c r="M573" s="3" t="s">
        <v>649</v>
      </c>
      <c r="N573" s="3" t="s">
        <v>677</v>
      </c>
      <c r="O573" s="3" t="s">
        <v>704</v>
      </c>
      <c r="P573" s="3" t="s">
        <v>707</v>
      </c>
      <c r="Q573" s="3" t="s">
        <v>719</v>
      </c>
      <c r="R573" s="3" t="s">
        <v>732</v>
      </c>
      <c r="S573" s="3" t="s">
        <v>792</v>
      </c>
      <c r="T573" s="21">
        <v>1057.5999999999999</v>
      </c>
      <c r="U573" s="21" t="str">
        <f t="shared" si="144"/>
        <v>Medium</v>
      </c>
      <c r="V573">
        <f t="shared" si="131"/>
        <v>1437.06</v>
      </c>
      <c r="W573" s="7">
        <v>1437.06</v>
      </c>
      <c r="X573" s="8">
        <v>0.20499999999999999</v>
      </c>
      <c r="Y573" s="14">
        <v>4</v>
      </c>
      <c r="Z573" s="7">
        <f t="shared" si="132"/>
        <v>294.59729999999996</v>
      </c>
      <c r="AA573" s="7">
        <f t="shared" si="133"/>
        <v>4569.8508000000002</v>
      </c>
      <c r="AB573" s="7">
        <f t="shared" si="134"/>
        <v>4275.2534999999998</v>
      </c>
      <c r="AC573" s="7">
        <f t="shared" si="135"/>
        <v>4230.3999999999996</v>
      </c>
      <c r="AD573" s="7">
        <f t="shared" si="136"/>
        <v>339.45080000000053</v>
      </c>
      <c r="AE573" s="7">
        <f t="shared" si="137"/>
        <v>44.853500000000167</v>
      </c>
      <c r="AF573" s="26">
        <f t="shared" si="138"/>
        <v>1.0802408282904692</v>
      </c>
      <c r="AG573" s="8">
        <f>IF(DASHBOARD!$Q$7&gt;'staging data'!X573,'staging data'!X573,DASHBOARD!$Q$7)</f>
        <v>0.2</v>
      </c>
      <c r="AH573">
        <f>(100%+DASHBOARD!$Q$8)*'staging data'!T573</f>
        <v>1216.2399999999998</v>
      </c>
      <c r="AI573">
        <f>(100%+DASHBOARD!$Q$9)*'staging data'!Y573</f>
        <v>4.8</v>
      </c>
    </row>
    <row r="574" spans="1:35" x14ac:dyDescent="0.3">
      <c r="A574" s="3" t="s">
        <v>74</v>
      </c>
      <c r="B574" s="28">
        <v>45827</v>
      </c>
      <c r="C574" s="28" t="str">
        <f t="shared" si="139"/>
        <v>Q2</v>
      </c>
      <c r="D574" s="28" t="str">
        <f t="shared" si="140"/>
        <v>2024</v>
      </c>
      <c r="E574" s="28" t="str">
        <f t="shared" si="141"/>
        <v>Mar</v>
      </c>
      <c r="F574" s="5">
        <v>45361</v>
      </c>
      <c r="G574" s="5">
        <f t="shared" si="129"/>
        <v>45391</v>
      </c>
      <c r="H574" s="5">
        <v>45391</v>
      </c>
      <c r="I574" s="5" t="str">
        <f t="shared" si="142"/>
        <v>Achieved</v>
      </c>
      <c r="J574" s="14">
        <f t="shared" si="143"/>
        <v>30</v>
      </c>
      <c r="K574" s="14">
        <f t="shared" si="130"/>
        <v>30</v>
      </c>
      <c r="L574" s="3" t="s">
        <v>648</v>
      </c>
      <c r="M574" s="3" t="s">
        <v>656</v>
      </c>
      <c r="N574" s="3" t="s">
        <v>678</v>
      </c>
      <c r="O574" s="3" t="s">
        <v>700</v>
      </c>
      <c r="P574" s="3" t="s">
        <v>710</v>
      </c>
      <c r="Q574" s="3" t="s">
        <v>713</v>
      </c>
      <c r="R574" s="3" t="s">
        <v>726</v>
      </c>
      <c r="S574" s="3" t="s">
        <v>793</v>
      </c>
      <c r="T574" s="21">
        <v>1176.56</v>
      </c>
      <c r="U574" s="21" t="str">
        <f t="shared" si="144"/>
        <v>Medium</v>
      </c>
      <c r="V574">
        <f t="shared" si="131"/>
        <v>1911.89</v>
      </c>
      <c r="W574" s="7">
        <v>1911.89</v>
      </c>
      <c r="X574" s="8">
        <v>0.11899999999999999</v>
      </c>
      <c r="Y574" s="14">
        <v>20</v>
      </c>
      <c r="Z574" s="7">
        <f t="shared" si="132"/>
        <v>227.51491000000001</v>
      </c>
      <c r="AA574" s="7">
        <f t="shared" si="133"/>
        <v>33687.501800000005</v>
      </c>
      <c r="AB574" s="7">
        <f t="shared" si="134"/>
        <v>33459.986890000007</v>
      </c>
      <c r="AC574" s="7">
        <f t="shared" si="135"/>
        <v>23531.199999999997</v>
      </c>
      <c r="AD574" s="7">
        <f t="shared" si="136"/>
        <v>10156.301800000008</v>
      </c>
      <c r="AE574" s="7">
        <f t="shared" si="137"/>
        <v>9928.7868900000103</v>
      </c>
      <c r="AF574" s="26">
        <f t="shared" si="138"/>
        <v>1.431610024138166</v>
      </c>
      <c r="AG574" s="8">
        <f>IF(DASHBOARD!$Q$7&gt;'staging data'!X574,'staging data'!X574,DASHBOARD!$Q$7)</f>
        <v>0.11899999999999999</v>
      </c>
      <c r="AH574">
        <f>(100%+DASHBOARD!$Q$8)*'staging data'!T574</f>
        <v>1353.0439999999999</v>
      </c>
      <c r="AI574">
        <f>(100%+DASHBOARD!$Q$9)*'staging data'!Y574</f>
        <v>24</v>
      </c>
    </row>
    <row r="575" spans="1:35" x14ac:dyDescent="0.3">
      <c r="A575" s="3" t="s">
        <v>72</v>
      </c>
      <c r="B575" s="28">
        <v>45829</v>
      </c>
      <c r="C575" s="28" t="str">
        <f t="shared" si="139"/>
        <v>Q2</v>
      </c>
      <c r="D575" s="28" t="str">
        <f t="shared" si="140"/>
        <v>2025</v>
      </c>
      <c r="E575" s="28" t="str">
        <f t="shared" si="141"/>
        <v>Jun</v>
      </c>
      <c r="F575" s="5">
        <v>45817</v>
      </c>
      <c r="G575" s="5">
        <f t="shared" si="129"/>
        <v>45826</v>
      </c>
      <c r="H575" s="5">
        <v>45826</v>
      </c>
      <c r="I575" s="5" t="str">
        <f t="shared" si="142"/>
        <v>Achieved</v>
      </c>
      <c r="J575" s="14">
        <f t="shared" si="143"/>
        <v>9</v>
      </c>
      <c r="K575" s="14">
        <f t="shared" si="130"/>
        <v>9</v>
      </c>
      <c r="L575" s="3" t="s">
        <v>648</v>
      </c>
      <c r="M575" s="3" t="s">
        <v>656</v>
      </c>
      <c r="N575" s="3" t="s">
        <v>672</v>
      </c>
      <c r="O575" s="3" t="s">
        <v>704</v>
      </c>
      <c r="P575" s="3" t="s">
        <v>708</v>
      </c>
      <c r="Q575" s="3" t="s">
        <v>721</v>
      </c>
      <c r="R575" s="3" t="s">
        <v>732</v>
      </c>
      <c r="S575" s="3" t="s">
        <v>791</v>
      </c>
      <c r="T575" s="21">
        <v>1225.5</v>
      </c>
      <c r="U575" s="21" t="str">
        <f t="shared" si="144"/>
        <v>Low</v>
      </c>
      <c r="V575">
        <f t="shared" si="131"/>
        <v>5.27</v>
      </c>
      <c r="W575" s="7">
        <v>-5.27</v>
      </c>
      <c r="X575" s="8">
        <v>7.4999999999999997E-2</v>
      </c>
      <c r="Y575" s="14">
        <v>56</v>
      </c>
      <c r="Z575" s="7">
        <f t="shared" si="132"/>
        <v>0.39524999999999993</v>
      </c>
      <c r="AA575" s="7">
        <f t="shared" si="133"/>
        <v>272.98599999999999</v>
      </c>
      <c r="AB575" s="7">
        <f t="shared" si="134"/>
        <v>272.59075000000001</v>
      </c>
      <c r="AC575" s="7">
        <f t="shared" si="135"/>
        <v>68628</v>
      </c>
      <c r="AD575" s="7">
        <f t="shared" si="136"/>
        <v>-68355.013999999996</v>
      </c>
      <c r="AE575" s="7">
        <f t="shared" si="137"/>
        <v>-68355.409249999997</v>
      </c>
      <c r="AF575" s="26">
        <f t="shared" si="138"/>
        <v>3.9777641778865769E-3</v>
      </c>
      <c r="AG575" s="8">
        <f>IF(DASHBOARD!$Q$7&gt;'staging data'!X575,'staging data'!X575,DASHBOARD!$Q$7)</f>
        <v>7.4999999999999997E-2</v>
      </c>
      <c r="AH575">
        <f>(100%+DASHBOARD!$Q$8)*'staging data'!T575</f>
        <v>1409.3249999999998</v>
      </c>
      <c r="AI575">
        <f>(100%+DASHBOARD!$Q$9)*'staging data'!Y575</f>
        <v>67.2</v>
      </c>
    </row>
    <row r="576" spans="1:35" x14ac:dyDescent="0.3">
      <c r="A576" s="3" t="s">
        <v>71</v>
      </c>
      <c r="B576" s="28">
        <v>45830</v>
      </c>
      <c r="C576" s="28" t="str">
        <f t="shared" si="139"/>
        <v>Q2</v>
      </c>
      <c r="D576" s="28" t="str">
        <f t="shared" si="140"/>
        <v>2024</v>
      </c>
      <c r="E576" s="28" t="str">
        <f t="shared" si="141"/>
        <v>Dec</v>
      </c>
      <c r="F576" s="5">
        <v>45643</v>
      </c>
      <c r="G576" s="5">
        <f t="shared" si="129"/>
        <v>45644</v>
      </c>
      <c r="H576" s="5">
        <v>45644</v>
      </c>
      <c r="I576" s="5" t="str">
        <f t="shared" si="142"/>
        <v>Not achieved</v>
      </c>
      <c r="J576" s="14">
        <f t="shared" si="143"/>
        <v>1</v>
      </c>
      <c r="K576" s="14">
        <f t="shared" si="130"/>
        <v>1</v>
      </c>
      <c r="L576" s="3" t="s">
        <v>648</v>
      </c>
      <c r="M576" s="3" t="s">
        <v>655</v>
      </c>
      <c r="N576" s="3" t="s">
        <v>683</v>
      </c>
      <c r="O576" s="3" t="s">
        <v>701</v>
      </c>
      <c r="P576" s="3" t="s">
        <v>706</v>
      </c>
      <c r="Q576" s="3" t="s">
        <v>715</v>
      </c>
      <c r="R576" s="3" t="s">
        <v>732</v>
      </c>
      <c r="S576" s="3" t="s">
        <v>790</v>
      </c>
      <c r="T576" s="21">
        <v>346.82</v>
      </c>
      <c r="U576" s="21" t="str">
        <f t="shared" si="144"/>
        <v>Medium</v>
      </c>
      <c r="V576">
        <f t="shared" si="131"/>
        <v>701.95</v>
      </c>
      <c r="W576" s="7">
        <v>701.95</v>
      </c>
      <c r="X576" s="8">
        <v>0.14699999999999999</v>
      </c>
      <c r="Y576" s="14">
        <v>8</v>
      </c>
      <c r="Z576" s="7">
        <f t="shared" si="132"/>
        <v>103.18665</v>
      </c>
      <c r="AA576" s="7">
        <f t="shared" si="133"/>
        <v>4790.1068000000005</v>
      </c>
      <c r="AB576" s="7">
        <f t="shared" si="134"/>
        <v>4686.9201500000008</v>
      </c>
      <c r="AC576" s="7">
        <f t="shared" si="135"/>
        <v>2774.56</v>
      </c>
      <c r="AD576" s="7">
        <f t="shared" si="136"/>
        <v>2015.5468000000005</v>
      </c>
      <c r="AE576" s="7">
        <f t="shared" si="137"/>
        <v>1912.3601500000009</v>
      </c>
      <c r="AF576" s="26">
        <f t="shared" si="138"/>
        <v>1.7264383541894932</v>
      </c>
      <c r="AG576" s="8">
        <f>IF(DASHBOARD!$Q$7&gt;'staging data'!X576,'staging data'!X576,DASHBOARD!$Q$7)</f>
        <v>0.14699999999999999</v>
      </c>
      <c r="AH576">
        <f>(100%+DASHBOARD!$Q$8)*'staging data'!T576</f>
        <v>398.84299999999996</v>
      </c>
      <c r="AI576">
        <f>(100%+DASHBOARD!$Q$9)*'staging data'!Y576</f>
        <v>9.6</v>
      </c>
    </row>
    <row r="577" spans="1:35" x14ac:dyDescent="0.3">
      <c r="A577" s="3" t="s">
        <v>67</v>
      </c>
      <c r="B577" s="28">
        <v>45832</v>
      </c>
      <c r="C577" s="28" t="str">
        <f t="shared" si="139"/>
        <v>Q2</v>
      </c>
      <c r="D577" s="28" t="str">
        <f t="shared" si="140"/>
        <v>2025</v>
      </c>
      <c r="E577" s="28" t="str">
        <f t="shared" si="141"/>
        <v>Jan</v>
      </c>
      <c r="F577" s="5">
        <v>45678</v>
      </c>
      <c r="G577" s="5">
        <f t="shared" si="129"/>
        <v>45704</v>
      </c>
      <c r="H577" s="5">
        <v>45704</v>
      </c>
      <c r="I577" s="5" t="str">
        <f t="shared" si="142"/>
        <v>Achieved</v>
      </c>
      <c r="J577" s="14">
        <f t="shared" si="143"/>
        <v>26</v>
      </c>
      <c r="K577" s="14">
        <f t="shared" si="130"/>
        <v>26</v>
      </c>
      <c r="L577" s="3" t="s">
        <v>648</v>
      </c>
      <c r="M577" s="3" t="s">
        <v>656</v>
      </c>
      <c r="N577" s="3" t="s">
        <v>678</v>
      </c>
      <c r="O577" s="3" t="s">
        <v>700</v>
      </c>
      <c r="P577" s="3" t="s">
        <v>709</v>
      </c>
      <c r="Q577" s="3" t="s">
        <v>718</v>
      </c>
      <c r="R577" s="3" t="s">
        <v>730</v>
      </c>
      <c r="S577" s="3" t="s">
        <v>786</v>
      </c>
      <c r="T577" s="21">
        <v>204.11</v>
      </c>
      <c r="U577" s="21" t="str">
        <f t="shared" si="144"/>
        <v>Low</v>
      </c>
      <c r="V577">
        <f t="shared" si="131"/>
        <v>236.87</v>
      </c>
      <c r="W577" s="7">
        <v>236.87</v>
      </c>
      <c r="X577" s="8">
        <v>0.182</v>
      </c>
      <c r="Y577" s="14">
        <v>13</v>
      </c>
      <c r="Z577" s="7">
        <f t="shared" si="132"/>
        <v>43.110340000000001</v>
      </c>
      <c r="AA577" s="7">
        <f t="shared" si="133"/>
        <v>2518.8755800000004</v>
      </c>
      <c r="AB577" s="7">
        <f t="shared" si="134"/>
        <v>2475.7652400000002</v>
      </c>
      <c r="AC577" s="7">
        <f t="shared" si="135"/>
        <v>2653.4300000000003</v>
      </c>
      <c r="AD577" s="7">
        <f t="shared" si="136"/>
        <v>-134.55441999999994</v>
      </c>
      <c r="AE577" s="7">
        <f t="shared" si="137"/>
        <v>-177.66476000000011</v>
      </c>
      <c r="AF577" s="26">
        <f t="shared" si="138"/>
        <v>0.94929038263681353</v>
      </c>
      <c r="AG577" s="8">
        <f>IF(DASHBOARD!$Q$7&gt;'staging data'!X577,'staging data'!X577,DASHBOARD!$Q$7)</f>
        <v>0.182</v>
      </c>
      <c r="AH577">
        <f>(100%+DASHBOARD!$Q$8)*'staging data'!T577</f>
        <v>234.72649999999999</v>
      </c>
      <c r="AI577">
        <f>(100%+DASHBOARD!$Q$9)*'staging data'!Y577</f>
        <v>15.6</v>
      </c>
    </row>
    <row r="578" spans="1:35" x14ac:dyDescent="0.3">
      <c r="A578" s="3" t="s">
        <v>68</v>
      </c>
      <c r="B578" s="28">
        <v>45832</v>
      </c>
      <c r="C578" s="28" t="str">
        <f t="shared" si="139"/>
        <v>Q2</v>
      </c>
      <c r="D578" s="28" t="str">
        <f t="shared" si="140"/>
        <v>2023</v>
      </c>
      <c r="E578" s="28" t="str">
        <f t="shared" si="141"/>
        <v>Aug</v>
      </c>
      <c r="F578" s="5">
        <v>45168</v>
      </c>
      <c r="G578" s="5">
        <f t="shared" ref="G578:G631" si="145">IF(H578&gt;=F578, H578, (H578-K578))</f>
        <v>45170</v>
      </c>
      <c r="H578" s="5">
        <v>45170</v>
      </c>
      <c r="I578" s="5" t="str">
        <f t="shared" si="142"/>
        <v>Not achieved</v>
      </c>
      <c r="J578" s="14">
        <f t="shared" si="143"/>
        <v>2</v>
      </c>
      <c r="K578" s="14">
        <f t="shared" ref="K578:K633" si="146">_xlfn.DAYS(H578,F578)</f>
        <v>2</v>
      </c>
      <c r="L578" s="3" t="s">
        <v>648</v>
      </c>
      <c r="M578" s="3" t="s">
        <v>655</v>
      </c>
      <c r="N578" s="3" t="s">
        <v>683</v>
      </c>
      <c r="O578" s="3" t="s">
        <v>700</v>
      </c>
      <c r="P578" s="3" t="s">
        <v>710</v>
      </c>
      <c r="Q578" s="3" t="s">
        <v>724</v>
      </c>
      <c r="R578" s="3" t="s">
        <v>728</v>
      </c>
      <c r="S578" s="3" t="s">
        <v>787</v>
      </c>
      <c r="T578" s="21">
        <v>44.42</v>
      </c>
      <c r="U578" s="21" t="str">
        <f t="shared" si="144"/>
        <v>Low</v>
      </c>
      <c r="V578">
        <f t="shared" ref="V578:V633" si="147">ABS(W578)</f>
        <v>41.9</v>
      </c>
      <c r="W578" s="7">
        <v>41.9</v>
      </c>
      <c r="X578" s="8">
        <v>0.14399999999999999</v>
      </c>
      <c r="Y578" s="14">
        <v>6</v>
      </c>
      <c r="Z578" s="7">
        <f t="shared" ref="Z578:Z633" si="148">X578*V578</f>
        <v>6.033599999999999</v>
      </c>
      <c r="AA578" s="7">
        <f t="shared" ref="AA578:AA633" si="149">(V578*Y578)*(1-X578)</f>
        <v>215.19839999999996</v>
      </c>
      <c r="AB578" s="7">
        <f t="shared" ref="AB578:AB633" si="150">AA578-Z578</f>
        <v>209.16479999999996</v>
      </c>
      <c r="AC578" s="7">
        <f t="shared" ref="AC578:AC633" si="151">T578*Y578</f>
        <v>266.52</v>
      </c>
      <c r="AD578" s="7">
        <f t="shared" ref="AD578:AD633" si="152">AA578-AC578</f>
        <v>-51.321600000000018</v>
      </c>
      <c r="AE578" s="7">
        <f t="shared" ref="AE578:AE633" si="153">AB578-AC578</f>
        <v>-57.355200000000025</v>
      </c>
      <c r="AF578" s="26">
        <f t="shared" ref="AF578:AF631" si="154">IF(AA578=0,0,AA578/AC578)</f>
        <v>0.80743809095002239</v>
      </c>
      <c r="AG578" s="8">
        <f>IF(DASHBOARD!$Q$7&gt;'staging data'!X578,'staging data'!X578,DASHBOARD!$Q$7)</f>
        <v>0.14399999999999999</v>
      </c>
      <c r="AH578">
        <f>(100%+DASHBOARD!$Q$8)*'staging data'!T578</f>
        <v>51.082999999999998</v>
      </c>
      <c r="AI578">
        <f>(100%+DASHBOARD!$Q$9)*'staging data'!Y578</f>
        <v>7.1999999999999993</v>
      </c>
    </row>
    <row r="579" spans="1:35" x14ac:dyDescent="0.3">
      <c r="A579" s="3" t="s">
        <v>69</v>
      </c>
      <c r="B579" s="28">
        <v>45832</v>
      </c>
      <c r="C579" s="28" t="str">
        <f t="shared" ref="C579:C633" si="155">"Q" &amp; ROUNDUP(MONTH(B579)/3,0)</f>
        <v>Q2</v>
      </c>
      <c r="D579" s="28" t="str">
        <f t="shared" ref="D579:D633" si="156">TEXT(F579,"YYYY")</f>
        <v>2025</v>
      </c>
      <c r="E579" s="28" t="str">
        <f t="shared" ref="E579:E633" si="157">TEXT(F579,"MMM")</f>
        <v>Apr</v>
      </c>
      <c r="F579" s="5">
        <v>45753</v>
      </c>
      <c r="G579" s="5">
        <f t="shared" si="145"/>
        <v>45777</v>
      </c>
      <c r="H579" s="5">
        <v>45777</v>
      </c>
      <c r="I579" s="5" t="str">
        <f t="shared" ref="I579:I633" si="158">IF(J579&gt;=7,"Achieved","Not achieved")</f>
        <v>Achieved</v>
      </c>
      <c r="J579" s="14">
        <f t="shared" ref="J579:J633" si="159">_xlfn.DAYS(G579,F579)</f>
        <v>24</v>
      </c>
      <c r="K579" s="14">
        <f t="shared" si="146"/>
        <v>24</v>
      </c>
      <c r="L579" s="3" t="s">
        <v>647</v>
      </c>
      <c r="M579" s="3" t="s">
        <v>654</v>
      </c>
      <c r="N579" s="3" t="s">
        <v>671</v>
      </c>
      <c r="O579" s="3" t="s">
        <v>701</v>
      </c>
      <c r="P579" s="3" t="s">
        <v>707</v>
      </c>
      <c r="Q579" s="3" t="s">
        <v>722</v>
      </c>
      <c r="R579" s="3" t="s">
        <v>731</v>
      </c>
      <c r="S579" s="3" t="s">
        <v>788</v>
      </c>
      <c r="T579" s="21">
        <v>855.78</v>
      </c>
      <c r="U579" s="21" t="str">
        <f t="shared" si="144"/>
        <v>Medium</v>
      </c>
      <c r="V579">
        <f t="shared" si="147"/>
        <v>977.38</v>
      </c>
      <c r="W579" s="7">
        <v>977.38</v>
      </c>
      <c r="X579" s="8">
        <v>0.14699999999999999</v>
      </c>
      <c r="Y579" s="14">
        <v>38</v>
      </c>
      <c r="Z579" s="7">
        <f t="shared" si="148"/>
        <v>143.67486</v>
      </c>
      <c r="AA579" s="7">
        <f t="shared" si="149"/>
        <v>31680.795320000001</v>
      </c>
      <c r="AB579" s="7">
        <f t="shared" si="150"/>
        <v>31537.120460000002</v>
      </c>
      <c r="AC579" s="7">
        <f t="shared" si="151"/>
        <v>32519.64</v>
      </c>
      <c r="AD579" s="7">
        <f t="shared" si="152"/>
        <v>-838.84467999999833</v>
      </c>
      <c r="AE579" s="7">
        <f t="shared" si="153"/>
        <v>-982.51953999999751</v>
      </c>
      <c r="AF579" s="26">
        <f t="shared" si="154"/>
        <v>0.97420498258898325</v>
      </c>
      <c r="AG579" s="8">
        <f>IF(DASHBOARD!$Q$7&gt;'staging data'!X579,'staging data'!X579,DASHBOARD!$Q$7)</f>
        <v>0.14699999999999999</v>
      </c>
      <c r="AH579">
        <f>(100%+DASHBOARD!$Q$8)*'staging data'!T579</f>
        <v>984.14699999999993</v>
      </c>
      <c r="AI579">
        <f>(100%+DASHBOARD!$Q$9)*'staging data'!Y579</f>
        <v>45.6</v>
      </c>
    </row>
    <row r="580" spans="1:35" x14ac:dyDescent="0.3">
      <c r="A580" s="3" t="s">
        <v>70</v>
      </c>
      <c r="B580" s="28">
        <v>45832</v>
      </c>
      <c r="C580" s="28" t="str">
        <f t="shared" si="155"/>
        <v>Q2</v>
      </c>
      <c r="D580" s="28" t="str">
        <f t="shared" si="156"/>
        <v>2025</v>
      </c>
      <c r="E580" s="28" t="str">
        <f t="shared" si="157"/>
        <v>Feb</v>
      </c>
      <c r="F580" s="5">
        <v>45697</v>
      </c>
      <c r="G580" s="5">
        <f t="shared" si="145"/>
        <v>45717</v>
      </c>
      <c r="H580" s="5">
        <v>45717</v>
      </c>
      <c r="I580" s="5" t="str">
        <f t="shared" si="158"/>
        <v>Achieved</v>
      </c>
      <c r="J580" s="14">
        <f t="shared" si="159"/>
        <v>20</v>
      </c>
      <c r="K580" s="14">
        <f t="shared" si="146"/>
        <v>20</v>
      </c>
      <c r="L580" s="3" t="s">
        <v>647</v>
      </c>
      <c r="M580" s="3" t="s">
        <v>654</v>
      </c>
      <c r="N580" s="3" t="s">
        <v>669</v>
      </c>
      <c r="O580" s="3" t="s">
        <v>700</v>
      </c>
      <c r="P580" s="3" t="s">
        <v>709</v>
      </c>
      <c r="Q580" s="3" t="s">
        <v>716</v>
      </c>
      <c r="R580" s="3" t="s">
        <v>730</v>
      </c>
      <c r="S580" s="3" t="s">
        <v>789</v>
      </c>
      <c r="T580" s="21">
        <v>1154.6400000000001</v>
      </c>
      <c r="U580" s="21" t="str">
        <f t="shared" ref="U580:U633" si="160">IF(V580&lt;=QUARTILE(V580:V1209,1),"Low",IF(V580&gt;=QUARTILE(V580:V1209,3),"High","Medium"))</f>
        <v>High</v>
      </c>
      <c r="V580">
        <f t="shared" si="147"/>
        <v>2794.13</v>
      </c>
      <c r="W580" s="7">
        <v>2794.13</v>
      </c>
      <c r="X580" s="8">
        <v>3.5000000000000003E-2</v>
      </c>
      <c r="Y580" s="14">
        <v>11</v>
      </c>
      <c r="Z580" s="7">
        <f t="shared" si="148"/>
        <v>97.794550000000015</v>
      </c>
      <c r="AA580" s="7">
        <f t="shared" si="149"/>
        <v>29659.68995</v>
      </c>
      <c r="AB580" s="7">
        <f t="shared" si="150"/>
        <v>29561.895400000001</v>
      </c>
      <c r="AC580" s="7">
        <f t="shared" si="151"/>
        <v>12701.04</v>
      </c>
      <c r="AD580" s="7">
        <f t="shared" si="152"/>
        <v>16958.649949999999</v>
      </c>
      <c r="AE580" s="7">
        <f t="shared" si="153"/>
        <v>16860.8554</v>
      </c>
      <c r="AF580" s="26">
        <f t="shared" si="154"/>
        <v>2.3352174270768375</v>
      </c>
      <c r="AG580" s="8">
        <f>IF(DASHBOARD!$Q$7&gt;'staging data'!X580,'staging data'!X580,DASHBOARD!$Q$7)</f>
        <v>3.5000000000000003E-2</v>
      </c>
      <c r="AH580">
        <f>(100%+DASHBOARD!$Q$8)*'staging data'!T580</f>
        <v>1327.836</v>
      </c>
      <c r="AI580">
        <f>(100%+DASHBOARD!$Q$9)*'staging data'!Y580</f>
        <v>13.2</v>
      </c>
    </row>
    <row r="581" spans="1:35" x14ac:dyDescent="0.3">
      <c r="A581" s="3" t="s">
        <v>66</v>
      </c>
      <c r="B581" s="28">
        <v>45833</v>
      </c>
      <c r="C581" s="28" t="str">
        <f t="shared" si="155"/>
        <v>Q2</v>
      </c>
      <c r="D581" s="28" t="str">
        <f t="shared" si="156"/>
        <v>2023</v>
      </c>
      <c r="E581" s="28" t="str">
        <f t="shared" si="157"/>
        <v>Mar</v>
      </c>
      <c r="F581" s="5">
        <v>45016</v>
      </c>
      <c r="G581" s="5">
        <f t="shared" si="145"/>
        <v>45021</v>
      </c>
      <c r="H581" s="5">
        <v>45021</v>
      </c>
      <c r="I581" s="5" t="str">
        <f t="shared" si="158"/>
        <v>Not achieved</v>
      </c>
      <c r="J581" s="14">
        <f t="shared" si="159"/>
        <v>5</v>
      </c>
      <c r="K581" s="14">
        <f t="shared" si="146"/>
        <v>5</v>
      </c>
      <c r="L581" s="3" t="s">
        <v>645</v>
      </c>
      <c r="M581" s="3" t="s">
        <v>649</v>
      </c>
      <c r="N581" s="3" t="s">
        <v>677</v>
      </c>
      <c r="O581" s="3" t="s">
        <v>701</v>
      </c>
      <c r="P581" s="3" t="s">
        <v>708</v>
      </c>
      <c r="Q581" s="3" t="s">
        <v>716</v>
      </c>
      <c r="R581" s="3" t="s">
        <v>730</v>
      </c>
      <c r="S581" s="3" t="s">
        <v>785</v>
      </c>
      <c r="T581" s="21">
        <v>533.26</v>
      </c>
      <c r="U581" s="21" t="str">
        <f t="shared" si="160"/>
        <v>Low</v>
      </c>
      <c r="V581">
        <f t="shared" si="147"/>
        <v>385.72</v>
      </c>
      <c r="W581" s="7">
        <v>385.72</v>
      </c>
      <c r="X581" s="8">
        <v>0</v>
      </c>
      <c r="Y581" s="14">
        <v>15</v>
      </c>
      <c r="Z581" s="7">
        <f t="shared" si="148"/>
        <v>0</v>
      </c>
      <c r="AA581" s="7">
        <f t="shared" si="149"/>
        <v>5785.8</v>
      </c>
      <c r="AB581" s="7">
        <f t="shared" si="150"/>
        <v>5785.8</v>
      </c>
      <c r="AC581" s="7">
        <f t="shared" si="151"/>
        <v>7998.9</v>
      </c>
      <c r="AD581" s="7">
        <f t="shared" si="152"/>
        <v>-2213.0999999999995</v>
      </c>
      <c r="AE581" s="7">
        <f t="shared" si="153"/>
        <v>-2213.0999999999995</v>
      </c>
      <c r="AF581" s="26">
        <f t="shared" si="154"/>
        <v>0.72332445711285309</v>
      </c>
      <c r="AG581" s="8">
        <f>IF(DASHBOARD!$Q$7&gt;'staging data'!X581,'staging data'!X581,DASHBOARD!$Q$7)</f>
        <v>0</v>
      </c>
      <c r="AH581">
        <f>(100%+DASHBOARD!$Q$8)*'staging data'!T581</f>
        <v>613.24899999999991</v>
      </c>
      <c r="AI581">
        <f>(100%+DASHBOARD!$Q$9)*'staging data'!Y581</f>
        <v>18</v>
      </c>
    </row>
    <row r="582" spans="1:35" x14ac:dyDescent="0.3">
      <c r="A582" s="3" t="s">
        <v>65</v>
      </c>
      <c r="B582" s="28">
        <v>45834</v>
      </c>
      <c r="C582" s="28" t="str">
        <f t="shared" si="155"/>
        <v>Q2</v>
      </c>
      <c r="D582" s="28" t="str">
        <f t="shared" si="156"/>
        <v>2024</v>
      </c>
      <c r="E582" s="28" t="str">
        <f t="shared" si="157"/>
        <v>Oct</v>
      </c>
      <c r="F582" s="5">
        <v>45582</v>
      </c>
      <c r="G582" s="5">
        <f t="shared" si="145"/>
        <v>45602</v>
      </c>
      <c r="H582" s="5">
        <v>45602</v>
      </c>
      <c r="I582" s="5" t="str">
        <f t="shared" si="158"/>
        <v>Achieved</v>
      </c>
      <c r="J582" s="14">
        <f t="shared" si="159"/>
        <v>20</v>
      </c>
      <c r="K582" s="14">
        <f t="shared" si="146"/>
        <v>20</v>
      </c>
      <c r="L582" s="3" t="s">
        <v>646</v>
      </c>
      <c r="M582" s="3" t="s">
        <v>653</v>
      </c>
      <c r="N582" s="3" t="s">
        <v>667</v>
      </c>
      <c r="O582" s="3" t="s">
        <v>705</v>
      </c>
      <c r="P582" s="3" t="s">
        <v>709</v>
      </c>
      <c r="Q582" s="3" t="s">
        <v>718</v>
      </c>
      <c r="R582" s="3" t="s">
        <v>731</v>
      </c>
      <c r="S582" s="3" t="s">
        <v>784</v>
      </c>
      <c r="T582" s="21">
        <v>72.94</v>
      </c>
      <c r="U582" s="21" t="str">
        <f t="shared" si="160"/>
        <v>Low</v>
      </c>
      <c r="V582">
        <f t="shared" si="147"/>
        <v>106.3</v>
      </c>
      <c r="W582" s="7">
        <v>106.3</v>
      </c>
      <c r="X582" s="8">
        <v>0.29499999999999998</v>
      </c>
      <c r="Y582" s="14">
        <v>8</v>
      </c>
      <c r="Z582" s="7">
        <f t="shared" si="148"/>
        <v>31.358499999999996</v>
      </c>
      <c r="AA582" s="7">
        <f t="shared" si="149"/>
        <v>599.53200000000004</v>
      </c>
      <c r="AB582" s="7">
        <f t="shared" si="150"/>
        <v>568.17349999999999</v>
      </c>
      <c r="AC582" s="7">
        <f t="shared" si="151"/>
        <v>583.52</v>
      </c>
      <c r="AD582" s="7">
        <f t="shared" si="152"/>
        <v>16.012000000000057</v>
      </c>
      <c r="AE582" s="7">
        <f t="shared" si="153"/>
        <v>-15.346499999999992</v>
      </c>
      <c r="AF582" s="26">
        <f t="shared" si="154"/>
        <v>1.0274403619413217</v>
      </c>
      <c r="AG582" s="8">
        <f>IF(DASHBOARD!$Q$7&gt;'staging data'!X582,'staging data'!X582,DASHBOARD!$Q$7)</f>
        <v>0.2</v>
      </c>
      <c r="AH582">
        <f>(100%+DASHBOARD!$Q$8)*'staging data'!T582</f>
        <v>83.880999999999986</v>
      </c>
      <c r="AI582">
        <f>(100%+DASHBOARD!$Q$9)*'staging data'!Y582</f>
        <v>9.6</v>
      </c>
    </row>
    <row r="583" spans="1:35" x14ac:dyDescent="0.3">
      <c r="A583" s="3" t="s">
        <v>63</v>
      </c>
      <c r="B583" s="28">
        <v>45835</v>
      </c>
      <c r="C583" s="28" t="str">
        <f t="shared" si="155"/>
        <v>Q2</v>
      </c>
      <c r="D583" s="28" t="str">
        <f t="shared" si="156"/>
        <v>2023</v>
      </c>
      <c r="E583" s="28" t="str">
        <f t="shared" si="157"/>
        <v>Jul</v>
      </c>
      <c r="F583" s="5">
        <v>45117</v>
      </c>
      <c r="G583" s="5">
        <f t="shared" si="145"/>
        <v>45139</v>
      </c>
      <c r="H583" s="5">
        <v>45139</v>
      </c>
      <c r="I583" s="5" t="str">
        <f t="shared" si="158"/>
        <v>Achieved</v>
      </c>
      <c r="J583" s="14">
        <f t="shared" si="159"/>
        <v>22</v>
      </c>
      <c r="K583" s="14">
        <f t="shared" si="146"/>
        <v>22</v>
      </c>
      <c r="L583" s="3" t="s">
        <v>648</v>
      </c>
      <c r="M583" s="3" t="s">
        <v>656</v>
      </c>
      <c r="N583" s="3" t="s">
        <v>672</v>
      </c>
      <c r="O583" s="3" t="s">
        <v>703</v>
      </c>
      <c r="P583" s="3" t="s">
        <v>708</v>
      </c>
      <c r="Q583" s="3" t="s">
        <v>716</v>
      </c>
      <c r="R583" s="3" t="s">
        <v>727</v>
      </c>
      <c r="S583" s="3" t="s">
        <v>782</v>
      </c>
      <c r="T583" s="21">
        <v>1303.56</v>
      </c>
      <c r="U583" s="21" t="str">
        <f t="shared" si="160"/>
        <v>Medium</v>
      </c>
      <c r="V583">
        <f t="shared" si="147"/>
        <v>1791.37</v>
      </c>
      <c r="W583" s="7">
        <v>1791.37</v>
      </c>
      <c r="X583" s="8">
        <v>0.126</v>
      </c>
      <c r="Y583" s="14">
        <v>22</v>
      </c>
      <c r="Z583" s="7">
        <f t="shared" si="148"/>
        <v>225.71261999999999</v>
      </c>
      <c r="AA583" s="7">
        <f t="shared" si="149"/>
        <v>34444.462359999998</v>
      </c>
      <c r="AB583" s="7">
        <f t="shared" si="150"/>
        <v>34218.749739999999</v>
      </c>
      <c r="AC583" s="7">
        <f t="shared" si="151"/>
        <v>28678.32</v>
      </c>
      <c r="AD583" s="7">
        <f t="shared" si="152"/>
        <v>5766.142359999998</v>
      </c>
      <c r="AE583" s="7">
        <f t="shared" si="153"/>
        <v>5540.4297399999996</v>
      </c>
      <c r="AF583" s="26">
        <f t="shared" si="154"/>
        <v>1.2010627665776794</v>
      </c>
      <c r="AG583" s="8">
        <f>IF(DASHBOARD!$Q$7&gt;'staging data'!X583,'staging data'!X583,DASHBOARD!$Q$7)</f>
        <v>0.126</v>
      </c>
      <c r="AH583">
        <f>(100%+DASHBOARD!$Q$8)*'staging data'!T583</f>
        <v>1499.0939999999998</v>
      </c>
      <c r="AI583">
        <f>(100%+DASHBOARD!$Q$9)*'staging data'!Y583</f>
        <v>26.4</v>
      </c>
    </row>
    <row r="584" spans="1:35" x14ac:dyDescent="0.3">
      <c r="A584" s="3" t="s">
        <v>64</v>
      </c>
      <c r="B584" s="28">
        <v>45835</v>
      </c>
      <c r="C584" s="28" t="str">
        <f t="shared" si="155"/>
        <v>Q2</v>
      </c>
      <c r="D584" s="28" t="str">
        <f t="shared" si="156"/>
        <v>2024</v>
      </c>
      <c r="E584" s="28" t="str">
        <f t="shared" si="157"/>
        <v>Nov</v>
      </c>
      <c r="F584" s="5">
        <v>45602</v>
      </c>
      <c r="G584" s="5">
        <f t="shared" si="145"/>
        <v>45618</v>
      </c>
      <c r="H584" s="5">
        <v>45618</v>
      </c>
      <c r="I584" s="5" t="str">
        <f t="shared" si="158"/>
        <v>Achieved</v>
      </c>
      <c r="J584" s="14">
        <f t="shared" si="159"/>
        <v>16</v>
      </c>
      <c r="K584" s="14">
        <f t="shared" si="146"/>
        <v>16</v>
      </c>
      <c r="L584" s="3" t="s">
        <v>647</v>
      </c>
      <c r="M584" s="3" t="s">
        <v>652</v>
      </c>
      <c r="N584" s="3" t="s">
        <v>666</v>
      </c>
      <c r="O584" s="3" t="s">
        <v>702</v>
      </c>
      <c r="P584" s="3" t="s">
        <v>709</v>
      </c>
      <c r="Q584" s="3" t="s">
        <v>725</v>
      </c>
      <c r="R584" s="3" t="s">
        <v>732</v>
      </c>
      <c r="S584" s="3" t="s">
        <v>783</v>
      </c>
      <c r="T584" s="21">
        <v>1454.11</v>
      </c>
      <c r="U584" s="21" t="str">
        <f t="shared" si="160"/>
        <v>High</v>
      </c>
      <c r="V584">
        <f t="shared" si="147"/>
        <v>2629.75</v>
      </c>
      <c r="W584" s="7">
        <v>2629.75</v>
      </c>
      <c r="X584" s="8">
        <v>0.29199999999999998</v>
      </c>
      <c r="Y584" s="14">
        <v>8</v>
      </c>
      <c r="Z584" s="7">
        <f t="shared" si="148"/>
        <v>767.88699999999994</v>
      </c>
      <c r="AA584" s="7">
        <f t="shared" si="149"/>
        <v>14894.903999999999</v>
      </c>
      <c r="AB584" s="7">
        <f t="shared" si="150"/>
        <v>14127.016999999998</v>
      </c>
      <c r="AC584" s="7">
        <f t="shared" si="151"/>
        <v>11632.88</v>
      </c>
      <c r="AD584" s="7">
        <f t="shared" si="152"/>
        <v>3262.0239999999994</v>
      </c>
      <c r="AE584" s="7">
        <f t="shared" si="153"/>
        <v>2494.1369999999988</v>
      </c>
      <c r="AF584" s="26">
        <f t="shared" si="154"/>
        <v>1.2804141364821093</v>
      </c>
      <c r="AG584" s="8">
        <f>IF(DASHBOARD!$Q$7&gt;'staging data'!X584,'staging data'!X584,DASHBOARD!$Q$7)</f>
        <v>0.2</v>
      </c>
      <c r="AH584">
        <f>(100%+DASHBOARD!$Q$8)*'staging data'!T584</f>
        <v>1672.2264999999998</v>
      </c>
      <c r="AI584">
        <f>(100%+DASHBOARD!$Q$9)*'staging data'!Y584</f>
        <v>9.6</v>
      </c>
    </row>
    <row r="585" spans="1:35" x14ac:dyDescent="0.3">
      <c r="A585" s="3" t="s">
        <v>61</v>
      </c>
      <c r="B585" s="28">
        <v>45841</v>
      </c>
      <c r="C585" s="28" t="str">
        <f t="shared" si="155"/>
        <v>Q3</v>
      </c>
      <c r="D585" s="28" t="str">
        <f t="shared" si="156"/>
        <v>2024</v>
      </c>
      <c r="E585" s="28" t="str">
        <f t="shared" si="157"/>
        <v>May</v>
      </c>
      <c r="F585" s="5">
        <v>45426</v>
      </c>
      <c r="G585" s="5">
        <f t="shared" si="145"/>
        <v>45440</v>
      </c>
      <c r="H585" s="5">
        <v>45440</v>
      </c>
      <c r="I585" s="5" t="str">
        <f t="shared" si="158"/>
        <v>Achieved</v>
      </c>
      <c r="J585" s="14">
        <f t="shared" si="159"/>
        <v>14</v>
      </c>
      <c r="K585" s="14">
        <f t="shared" si="146"/>
        <v>14</v>
      </c>
      <c r="L585" s="3" t="s">
        <v>648</v>
      </c>
      <c r="M585" s="3" t="s">
        <v>657</v>
      </c>
      <c r="N585" s="3" t="s">
        <v>673</v>
      </c>
      <c r="O585" s="3" t="s">
        <v>703</v>
      </c>
      <c r="P585" s="3" t="s">
        <v>706</v>
      </c>
      <c r="Q585" s="3" t="s">
        <v>716</v>
      </c>
      <c r="R585" s="3" t="s">
        <v>728</v>
      </c>
      <c r="S585" s="3" t="s">
        <v>780</v>
      </c>
      <c r="T585" s="21">
        <v>1421.14</v>
      </c>
      <c r="U585" s="21" t="str">
        <f t="shared" si="160"/>
        <v>High</v>
      </c>
      <c r="V585">
        <f t="shared" si="147"/>
        <v>3524</v>
      </c>
      <c r="W585" s="7">
        <v>3524</v>
      </c>
      <c r="X585" s="8">
        <v>0</v>
      </c>
      <c r="Y585" s="14">
        <v>31</v>
      </c>
      <c r="Z585" s="7">
        <f t="shared" si="148"/>
        <v>0</v>
      </c>
      <c r="AA585" s="7">
        <f t="shared" si="149"/>
        <v>109244</v>
      </c>
      <c r="AB585" s="7">
        <f t="shared" si="150"/>
        <v>109244</v>
      </c>
      <c r="AC585" s="7">
        <f t="shared" si="151"/>
        <v>44055.340000000004</v>
      </c>
      <c r="AD585" s="7">
        <f t="shared" si="152"/>
        <v>65188.659999999996</v>
      </c>
      <c r="AE585" s="7">
        <f t="shared" si="153"/>
        <v>65188.659999999996</v>
      </c>
      <c r="AF585" s="26">
        <f t="shared" si="154"/>
        <v>2.479699396259341</v>
      </c>
      <c r="AG585" s="8">
        <f>IF(DASHBOARD!$Q$7&gt;'staging data'!X585,'staging data'!X585,DASHBOARD!$Q$7)</f>
        <v>0</v>
      </c>
      <c r="AH585">
        <f>(100%+DASHBOARD!$Q$8)*'staging data'!T585</f>
        <v>1634.3109999999999</v>
      </c>
      <c r="AI585">
        <f>(100%+DASHBOARD!$Q$9)*'staging data'!Y585</f>
        <v>37.199999999999996</v>
      </c>
    </row>
    <row r="586" spans="1:35" x14ac:dyDescent="0.3">
      <c r="A586" s="3" t="s">
        <v>62</v>
      </c>
      <c r="B586" s="28">
        <v>45841</v>
      </c>
      <c r="C586" s="28" t="str">
        <f t="shared" si="155"/>
        <v>Q3</v>
      </c>
      <c r="D586" s="28" t="str">
        <f t="shared" si="156"/>
        <v>2024</v>
      </c>
      <c r="E586" s="28" t="str">
        <f t="shared" si="157"/>
        <v>Oct</v>
      </c>
      <c r="F586" s="5">
        <v>45579</v>
      </c>
      <c r="G586" s="5">
        <f t="shared" si="145"/>
        <v>45604</v>
      </c>
      <c r="H586" s="5">
        <v>45604</v>
      </c>
      <c r="I586" s="5" t="str">
        <f t="shared" si="158"/>
        <v>Achieved</v>
      </c>
      <c r="J586" s="14">
        <f t="shared" si="159"/>
        <v>25</v>
      </c>
      <c r="K586" s="14">
        <f t="shared" si="146"/>
        <v>25</v>
      </c>
      <c r="L586" s="3" t="s">
        <v>645</v>
      </c>
      <c r="M586" s="3" t="s">
        <v>650</v>
      </c>
      <c r="N586" s="3" t="s">
        <v>664</v>
      </c>
      <c r="O586" s="3" t="s">
        <v>705</v>
      </c>
      <c r="P586" s="3" t="s">
        <v>707</v>
      </c>
      <c r="Q586" s="3" t="s">
        <v>718</v>
      </c>
      <c r="R586" s="3" t="s">
        <v>728</v>
      </c>
      <c r="S586" s="3" t="s">
        <v>781</v>
      </c>
      <c r="T586" s="21">
        <v>859.35</v>
      </c>
      <c r="U586" s="21" t="str">
        <f t="shared" si="160"/>
        <v>Medium</v>
      </c>
      <c r="V586">
        <f t="shared" si="147"/>
        <v>1825.61</v>
      </c>
      <c r="W586" s="7">
        <v>1825.61</v>
      </c>
      <c r="X586" s="8">
        <v>0.187</v>
      </c>
      <c r="Y586" s="14">
        <v>24</v>
      </c>
      <c r="Z586" s="7">
        <f t="shared" si="148"/>
        <v>341.38907</v>
      </c>
      <c r="AA586" s="7">
        <f t="shared" si="149"/>
        <v>35621.302319999995</v>
      </c>
      <c r="AB586" s="7">
        <f t="shared" si="150"/>
        <v>35279.913249999998</v>
      </c>
      <c r="AC586" s="7">
        <f t="shared" si="151"/>
        <v>20624.400000000001</v>
      </c>
      <c r="AD586" s="7">
        <f t="shared" si="152"/>
        <v>14996.902319999994</v>
      </c>
      <c r="AE586" s="7">
        <f t="shared" si="153"/>
        <v>14655.513249999996</v>
      </c>
      <c r="AF586" s="26">
        <f t="shared" si="154"/>
        <v>1.7271436899982542</v>
      </c>
      <c r="AG586" s="8">
        <f>IF(DASHBOARD!$Q$7&gt;'staging data'!X586,'staging data'!X586,DASHBOARD!$Q$7)</f>
        <v>0.187</v>
      </c>
      <c r="AH586">
        <f>(100%+DASHBOARD!$Q$8)*'staging data'!T586</f>
        <v>988.25249999999994</v>
      </c>
      <c r="AI586">
        <f>(100%+DASHBOARD!$Q$9)*'staging data'!Y586</f>
        <v>28.799999999999997</v>
      </c>
    </row>
    <row r="587" spans="1:35" x14ac:dyDescent="0.3">
      <c r="A587" s="3" t="s">
        <v>60</v>
      </c>
      <c r="B587" s="28">
        <v>45847</v>
      </c>
      <c r="C587" s="28" t="str">
        <f t="shared" si="155"/>
        <v>Q3</v>
      </c>
      <c r="D587" s="28" t="str">
        <f t="shared" si="156"/>
        <v>2023</v>
      </c>
      <c r="E587" s="28" t="str">
        <f t="shared" si="157"/>
        <v>Jun</v>
      </c>
      <c r="F587" s="5">
        <v>45100</v>
      </c>
      <c r="G587" s="5">
        <f t="shared" si="145"/>
        <v>45110</v>
      </c>
      <c r="H587" s="5">
        <v>45110</v>
      </c>
      <c r="I587" s="5" t="str">
        <f t="shared" si="158"/>
        <v>Achieved</v>
      </c>
      <c r="J587" s="14">
        <f t="shared" si="159"/>
        <v>10</v>
      </c>
      <c r="K587" s="14">
        <f t="shared" si="146"/>
        <v>10</v>
      </c>
      <c r="L587" s="3" t="s">
        <v>645</v>
      </c>
      <c r="M587" s="3" t="s">
        <v>650</v>
      </c>
      <c r="N587" s="3" t="s">
        <v>668</v>
      </c>
      <c r="O587" s="3" t="s">
        <v>703</v>
      </c>
      <c r="P587" s="3" t="s">
        <v>707</v>
      </c>
      <c r="Q587" s="3" t="s">
        <v>712</v>
      </c>
      <c r="R587" s="3" t="s">
        <v>727</v>
      </c>
      <c r="S587" s="3" t="s">
        <v>779</v>
      </c>
      <c r="T587" s="21">
        <v>337.75</v>
      </c>
      <c r="U587" s="21" t="str">
        <f t="shared" si="160"/>
        <v>Low</v>
      </c>
      <c r="V587">
        <f t="shared" si="147"/>
        <v>548.89</v>
      </c>
      <c r="W587" s="7">
        <v>548.89</v>
      </c>
      <c r="X587" s="8">
        <v>0</v>
      </c>
      <c r="Y587" s="14">
        <v>13</v>
      </c>
      <c r="Z587" s="7">
        <f t="shared" si="148"/>
        <v>0</v>
      </c>
      <c r="AA587" s="7">
        <f t="shared" si="149"/>
        <v>7135.57</v>
      </c>
      <c r="AB587" s="7">
        <f t="shared" si="150"/>
        <v>7135.57</v>
      </c>
      <c r="AC587" s="7">
        <f t="shared" si="151"/>
        <v>4390.75</v>
      </c>
      <c r="AD587" s="7">
        <f t="shared" si="152"/>
        <v>2744.8199999999997</v>
      </c>
      <c r="AE587" s="7">
        <f t="shared" si="153"/>
        <v>2744.8199999999997</v>
      </c>
      <c r="AF587" s="26">
        <f t="shared" si="154"/>
        <v>1.6251369356032568</v>
      </c>
      <c r="AG587" s="8">
        <f>IF(DASHBOARD!$Q$7&gt;'staging data'!X587,'staging data'!X587,DASHBOARD!$Q$7)</f>
        <v>0</v>
      </c>
      <c r="AH587">
        <f>(100%+DASHBOARD!$Q$8)*'staging data'!T587</f>
        <v>388.41249999999997</v>
      </c>
      <c r="AI587">
        <f>(100%+DASHBOARD!$Q$9)*'staging data'!Y587</f>
        <v>15.6</v>
      </c>
    </row>
    <row r="588" spans="1:35" x14ac:dyDescent="0.3">
      <c r="A588" s="3" t="s">
        <v>58</v>
      </c>
      <c r="B588" s="28">
        <v>45849</v>
      </c>
      <c r="C588" s="28" t="str">
        <f t="shared" si="155"/>
        <v>Q3</v>
      </c>
      <c r="D588" s="28" t="str">
        <f t="shared" si="156"/>
        <v>2024</v>
      </c>
      <c r="E588" s="28" t="str">
        <f t="shared" si="157"/>
        <v>May</v>
      </c>
      <c r="F588" s="5">
        <v>45432</v>
      </c>
      <c r="G588" s="5">
        <f t="shared" si="145"/>
        <v>45445</v>
      </c>
      <c r="H588" s="5">
        <v>45445</v>
      </c>
      <c r="I588" s="5" t="str">
        <f t="shared" si="158"/>
        <v>Achieved</v>
      </c>
      <c r="J588" s="14">
        <f t="shared" si="159"/>
        <v>13</v>
      </c>
      <c r="K588" s="14">
        <f t="shared" si="146"/>
        <v>13</v>
      </c>
      <c r="L588" s="3" t="s">
        <v>647</v>
      </c>
      <c r="M588" s="3" t="s">
        <v>652</v>
      </c>
      <c r="N588" s="3" t="s">
        <v>687</v>
      </c>
      <c r="O588" s="3" t="s">
        <v>705</v>
      </c>
      <c r="P588" s="3" t="s">
        <v>708</v>
      </c>
      <c r="Q588" s="3" t="s">
        <v>722</v>
      </c>
      <c r="R588" s="3" t="s">
        <v>726</v>
      </c>
      <c r="S588" s="3" t="s">
        <v>777</v>
      </c>
      <c r="T588" s="21">
        <v>675.43</v>
      </c>
      <c r="U588" s="21" t="str">
        <f t="shared" si="160"/>
        <v>Medium</v>
      </c>
      <c r="V588">
        <f t="shared" si="147"/>
        <v>996.36</v>
      </c>
      <c r="W588" s="7">
        <v>996.36</v>
      </c>
      <c r="X588" s="8">
        <v>0.182</v>
      </c>
      <c r="Y588" s="14">
        <v>22</v>
      </c>
      <c r="Z588" s="7">
        <f t="shared" si="148"/>
        <v>181.33751999999998</v>
      </c>
      <c r="AA588" s="7">
        <f t="shared" si="149"/>
        <v>17930.494560000003</v>
      </c>
      <c r="AB588" s="7">
        <f t="shared" si="150"/>
        <v>17749.157040000002</v>
      </c>
      <c r="AC588" s="7">
        <f t="shared" si="151"/>
        <v>14859.46</v>
      </c>
      <c r="AD588" s="7">
        <f t="shared" si="152"/>
        <v>3071.0345600000037</v>
      </c>
      <c r="AE588" s="7">
        <f t="shared" si="153"/>
        <v>2889.6970400000027</v>
      </c>
      <c r="AF588" s="26">
        <f t="shared" si="154"/>
        <v>1.2066720163451434</v>
      </c>
      <c r="AG588" s="8">
        <f>IF(DASHBOARD!$Q$7&gt;'staging data'!X588,'staging data'!X588,DASHBOARD!$Q$7)</f>
        <v>0.182</v>
      </c>
      <c r="AH588">
        <f>(100%+DASHBOARD!$Q$8)*'staging data'!T588</f>
        <v>776.7444999999999</v>
      </c>
      <c r="AI588">
        <f>(100%+DASHBOARD!$Q$9)*'staging data'!Y588</f>
        <v>26.4</v>
      </c>
    </row>
    <row r="589" spans="1:35" x14ac:dyDescent="0.3">
      <c r="A589" s="3" t="s">
        <v>59</v>
      </c>
      <c r="B589" s="28">
        <v>45849</v>
      </c>
      <c r="C589" s="28" t="str">
        <f t="shared" si="155"/>
        <v>Q3</v>
      </c>
      <c r="D589" s="28" t="str">
        <f t="shared" si="156"/>
        <v>2023</v>
      </c>
      <c r="E589" s="28" t="str">
        <f t="shared" si="157"/>
        <v>Apr</v>
      </c>
      <c r="F589" s="5">
        <v>45035</v>
      </c>
      <c r="G589" s="5">
        <f t="shared" si="145"/>
        <v>45046</v>
      </c>
      <c r="H589" s="5">
        <v>45046</v>
      </c>
      <c r="I589" s="5" t="str">
        <f t="shared" si="158"/>
        <v>Achieved</v>
      </c>
      <c r="J589" s="14">
        <f t="shared" si="159"/>
        <v>11</v>
      </c>
      <c r="K589" s="14">
        <f t="shared" si="146"/>
        <v>11</v>
      </c>
      <c r="L589" s="3" t="s">
        <v>646</v>
      </c>
      <c r="M589" s="3" t="s">
        <v>653</v>
      </c>
      <c r="N589" s="3" t="s">
        <v>679</v>
      </c>
      <c r="O589" s="3" t="s">
        <v>704</v>
      </c>
      <c r="P589" s="3" t="s">
        <v>706</v>
      </c>
      <c r="Q589" s="3" t="s">
        <v>719</v>
      </c>
      <c r="R589" s="3" t="s">
        <v>728</v>
      </c>
      <c r="S589" s="3" t="s">
        <v>778</v>
      </c>
      <c r="T589" s="21">
        <v>826.55</v>
      </c>
      <c r="U589" s="21" t="str">
        <f t="shared" si="160"/>
        <v>Medium</v>
      </c>
      <c r="V589">
        <f t="shared" si="147"/>
        <v>1397.05</v>
      </c>
      <c r="W589" s="7">
        <v>1397.05</v>
      </c>
      <c r="X589" s="8">
        <v>0.16900000000000001</v>
      </c>
      <c r="Y589" s="14">
        <v>28</v>
      </c>
      <c r="Z589" s="7">
        <f t="shared" si="148"/>
        <v>236.10145</v>
      </c>
      <c r="AA589" s="7">
        <f t="shared" si="149"/>
        <v>32506.559399999998</v>
      </c>
      <c r="AB589" s="7">
        <f t="shared" si="150"/>
        <v>32270.45795</v>
      </c>
      <c r="AC589" s="7">
        <f t="shared" si="151"/>
        <v>23143.399999999998</v>
      </c>
      <c r="AD589" s="7">
        <f t="shared" si="152"/>
        <v>9363.1594000000005</v>
      </c>
      <c r="AE589" s="7">
        <f t="shared" si="153"/>
        <v>9127.0579500000022</v>
      </c>
      <c r="AF589" s="26">
        <f t="shared" si="154"/>
        <v>1.4045714717802917</v>
      </c>
      <c r="AG589" s="8">
        <f>IF(DASHBOARD!$Q$7&gt;'staging data'!X589,'staging data'!X589,DASHBOARD!$Q$7)</f>
        <v>0.16900000000000001</v>
      </c>
      <c r="AH589">
        <f>(100%+DASHBOARD!$Q$8)*'staging data'!T589</f>
        <v>950.53249999999991</v>
      </c>
      <c r="AI589">
        <f>(100%+DASHBOARD!$Q$9)*'staging data'!Y589</f>
        <v>33.6</v>
      </c>
    </row>
    <row r="590" spans="1:35" x14ac:dyDescent="0.3">
      <c r="A590" s="3" t="s">
        <v>57</v>
      </c>
      <c r="B590" s="28">
        <v>45852</v>
      </c>
      <c r="C590" s="28" t="str">
        <f t="shared" si="155"/>
        <v>Q3</v>
      </c>
      <c r="D590" s="28" t="str">
        <f t="shared" si="156"/>
        <v>2025</v>
      </c>
      <c r="E590" s="28" t="str">
        <f t="shared" si="157"/>
        <v>May</v>
      </c>
      <c r="F590" s="5">
        <v>45806</v>
      </c>
      <c r="G590" s="5">
        <f t="shared" si="145"/>
        <v>45828</v>
      </c>
      <c r="H590" s="5">
        <v>45828</v>
      </c>
      <c r="I590" s="5" t="str">
        <f t="shared" si="158"/>
        <v>Achieved</v>
      </c>
      <c r="J590" s="14">
        <f t="shared" si="159"/>
        <v>22</v>
      </c>
      <c r="K590" s="14">
        <f t="shared" si="146"/>
        <v>22</v>
      </c>
      <c r="L590" s="3" t="s">
        <v>648</v>
      </c>
      <c r="M590" s="3" t="s">
        <v>655</v>
      </c>
      <c r="N590" s="3" t="s">
        <v>670</v>
      </c>
      <c r="O590" s="3" t="s">
        <v>700</v>
      </c>
      <c r="P590" s="3" t="s">
        <v>710</v>
      </c>
      <c r="Q590" s="3" t="s">
        <v>719</v>
      </c>
      <c r="R590" s="3" t="s">
        <v>727</v>
      </c>
      <c r="S590" s="3" t="s">
        <v>776</v>
      </c>
      <c r="T590" s="21">
        <v>483.47</v>
      </c>
      <c r="U590" s="21" t="str">
        <f t="shared" si="160"/>
        <v>Medium</v>
      </c>
      <c r="V590">
        <f t="shared" si="147"/>
        <v>1135.43</v>
      </c>
      <c r="W590" s="7">
        <v>1135.43</v>
      </c>
      <c r="X590" s="8">
        <v>0.14599999999999999</v>
      </c>
      <c r="Y590" s="14">
        <v>11</v>
      </c>
      <c r="Z590" s="7">
        <f t="shared" si="148"/>
        <v>165.77278000000001</v>
      </c>
      <c r="AA590" s="7">
        <f t="shared" si="149"/>
        <v>10666.229420000001</v>
      </c>
      <c r="AB590" s="7">
        <f t="shared" si="150"/>
        <v>10500.456640000002</v>
      </c>
      <c r="AC590" s="7">
        <f t="shared" si="151"/>
        <v>5318.17</v>
      </c>
      <c r="AD590" s="7">
        <f t="shared" si="152"/>
        <v>5348.0594200000014</v>
      </c>
      <c r="AE590" s="7">
        <f t="shared" si="153"/>
        <v>5182.2866400000021</v>
      </c>
      <c r="AF590" s="26">
        <f t="shared" si="154"/>
        <v>2.005620245309947</v>
      </c>
      <c r="AG590" s="8">
        <f>IF(DASHBOARD!$Q$7&gt;'staging data'!X590,'staging data'!X590,DASHBOARD!$Q$7)</f>
        <v>0.14599999999999999</v>
      </c>
      <c r="AH590">
        <f>(100%+DASHBOARD!$Q$8)*'staging data'!T590</f>
        <v>555.9905</v>
      </c>
      <c r="AI590">
        <f>(100%+DASHBOARD!$Q$9)*'staging data'!Y590</f>
        <v>13.2</v>
      </c>
    </row>
    <row r="591" spans="1:35" x14ac:dyDescent="0.3">
      <c r="A591" s="3" t="s">
        <v>56</v>
      </c>
      <c r="B591" s="28">
        <v>45854</v>
      </c>
      <c r="C591" s="28" t="str">
        <f t="shared" si="155"/>
        <v>Q3</v>
      </c>
      <c r="D591" s="28" t="str">
        <f t="shared" si="156"/>
        <v>2024</v>
      </c>
      <c r="E591" s="28" t="str">
        <f t="shared" si="157"/>
        <v>Oct</v>
      </c>
      <c r="F591" s="5">
        <v>45590</v>
      </c>
      <c r="G591" s="5">
        <f t="shared" si="145"/>
        <v>45610</v>
      </c>
      <c r="H591" s="5">
        <v>45610</v>
      </c>
      <c r="I591" s="5" t="str">
        <f t="shared" si="158"/>
        <v>Achieved</v>
      </c>
      <c r="J591" s="14">
        <f t="shared" si="159"/>
        <v>20</v>
      </c>
      <c r="K591" s="14">
        <f t="shared" si="146"/>
        <v>20</v>
      </c>
      <c r="L591" s="3" t="s">
        <v>645</v>
      </c>
      <c r="M591" s="3" t="s">
        <v>649</v>
      </c>
      <c r="N591" s="3" t="s">
        <v>674</v>
      </c>
      <c r="O591" s="3" t="s">
        <v>700</v>
      </c>
      <c r="P591" s="3" t="s">
        <v>710</v>
      </c>
      <c r="Q591" s="3" t="s">
        <v>721</v>
      </c>
      <c r="R591" s="3" t="s">
        <v>727</v>
      </c>
      <c r="S591" s="3" t="s">
        <v>775</v>
      </c>
      <c r="T591" s="21">
        <v>1396.48</v>
      </c>
      <c r="U591" s="21" t="str">
        <f t="shared" si="160"/>
        <v>High</v>
      </c>
      <c r="V591">
        <f t="shared" si="147"/>
        <v>3204.5</v>
      </c>
      <c r="W591" s="7">
        <v>3204.5</v>
      </c>
      <c r="X591" s="8">
        <v>0.318</v>
      </c>
      <c r="Y591" s="14">
        <v>14</v>
      </c>
      <c r="Z591" s="7">
        <f t="shared" si="148"/>
        <v>1019.0310000000001</v>
      </c>
      <c r="AA591" s="7">
        <f t="shared" si="149"/>
        <v>30596.565999999999</v>
      </c>
      <c r="AB591" s="7">
        <f t="shared" si="150"/>
        <v>29577.535</v>
      </c>
      <c r="AC591" s="7">
        <f t="shared" si="151"/>
        <v>19550.72</v>
      </c>
      <c r="AD591" s="7">
        <f t="shared" si="152"/>
        <v>11045.845999999998</v>
      </c>
      <c r="AE591" s="7">
        <f t="shared" si="153"/>
        <v>10026.814999999999</v>
      </c>
      <c r="AF591" s="26">
        <f t="shared" si="154"/>
        <v>1.5649841028872593</v>
      </c>
      <c r="AG591" s="8">
        <f>IF(DASHBOARD!$Q$7&gt;'staging data'!X591,'staging data'!X591,DASHBOARD!$Q$7)</f>
        <v>0.2</v>
      </c>
      <c r="AH591">
        <f>(100%+DASHBOARD!$Q$8)*'staging data'!T591</f>
        <v>1605.952</v>
      </c>
      <c r="AI591">
        <f>(100%+DASHBOARD!$Q$9)*'staging data'!Y591</f>
        <v>16.8</v>
      </c>
    </row>
    <row r="592" spans="1:35" x14ac:dyDescent="0.3">
      <c r="A592" s="3" t="s">
        <v>55</v>
      </c>
      <c r="B592" s="28">
        <v>45855</v>
      </c>
      <c r="C592" s="28" t="str">
        <f t="shared" si="155"/>
        <v>Q3</v>
      </c>
      <c r="D592" s="28" t="str">
        <f t="shared" si="156"/>
        <v>2024</v>
      </c>
      <c r="E592" s="28" t="str">
        <f t="shared" si="157"/>
        <v>Jan</v>
      </c>
      <c r="F592" s="5">
        <v>45302</v>
      </c>
      <c r="G592" s="5">
        <f t="shared" si="145"/>
        <v>45324</v>
      </c>
      <c r="H592" s="5">
        <v>45324</v>
      </c>
      <c r="I592" s="5" t="str">
        <f t="shared" si="158"/>
        <v>Achieved</v>
      </c>
      <c r="J592" s="14">
        <f t="shared" si="159"/>
        <v>22</v>
      </c>
      <c r="K592" s="14">
        <f t="shared" si="146"/>
        <v>22</v>
      </c>
      <c r="L592" s="3" t="s">
        <v>645</v>
      </c>
      <c r="M592" s="3" t="s">
        <v>660</v>
      </c>
      <c r="N592" s="3" t="s">
        <v>686</v>
      </c>
      <c r="O592" s="3" t="s">
        <v>703</v>
      </c>
      <c r="P592" s="3" t="s">
        <v>707</v>
      </c>
      <c r="Q592" s="3" t="s">
        <v>722</v>
      </c>
      <c r="R592" s="3" t="s">
        <v>728</v>
      </c>
      <c r="S592" s="3" t="s">
        <v>774</v>
      </c>
      <c r="T592" s="21">
        <v>1206.2</v>
      </c>
      <c r="U592" s="21" t="str">
        <f t="shared" si="160"/>
        <v>Medium</v>
      </c>
      <c r="V592">
        <f t="shared" si="147"/>
        <v>1759.79</v>
      </c>
      <c r="W592" s="7">
        <v>1759.79</v>
      </c>
      <c r="X592" s="8">
        <v>0</v>
      </c>
      <c r="Y592" s="14">
        <v>6</v>
      </c>
      <c r="Z592" s="7">
        <f t="shared" si="148"/>
        <v>0</v>
      </c>
      <c r="AA592" s="7">
        <f t="shared" si="149"/>
        <v>10558.74</v>
      </c>
      <c r="AB592" s="7">
        <f t="shared" si="150"/>
        <v>10558.74</v>
      </c>
      <c r="AC592" s="7">
        <f t="shared" si="151"/>
        <v>7237.2000000000007</v>
      </c>
      <c r="AD592" s="7">
        <f t="shared" si="152"/>
        <v>3321.5399999999991</v>
      </c>
      <c r="AE592" s="7">
        <f t="shared" si="153"/>
        <v>3321.5399999999991</v>
      </c>
      <c r="AF592" s="26">
        <f t="shared" si="154"/>
        <v>1.4589537390150886</v>
      </c>
      <c r="AG592" s="8">
        <f>IF(DASHBOARD!$Q$7&gt;'staging data'!X592,'staging data'!X592,DASHBOARD!$Q$7)</f>
        <v>0</v>
      </c>
      <c r="AH592">
        <f>(100%+DASHBOARD!$Q$8)*'staging data'!T592</f>
        <v>1387.1299999999999</v>
      </c>
      <c r="AI592">
        <f>(100%+DASHBOARD!$Q$9)*'staging data'!Y592</f>
        <v>7.1999999999999993</v>
      </c>
    </row>
    <row r="593" spans="1:35" x14ac:dyDescent="0.3">
      <c r="A593" s="3" t="s">
        <v>54</v>
      </c>
      <c r="B593" s="28">
        <v>45857</v>
      </c>
      <c r="C593" s="28" t="str">
        <f t="shared" si="155"/>
        <v>Q3</v>
      </c>
      <c r="D593" s="28" t="str">
        <f t="shared" si="156"/>
        <v>2024</v>
      </c>
      <c r="E593" s="28" t="str">
        <f t="shared" si="157"/>
        <v>Aug</v>
      </c>
      <c r="F593" s="5">
        <v>45531</v>
      </c>
      <c r="G593" s="5">
        <f t="shared" si="145"/>
        <v>45554</v>
      </c>
      <c r="H593" s="5">
        <v>45554</v>
      </c>
      <c r="I593" s="5" t="str">
        <f t="shared" si="158"/>
        <v>Achieved</v>
      </c>
      <c r="J593" s="14">
        <f t="shared" si="159"/>
        <v>23</v>
      </c>
      <c r="K593" s="14">
        <f t="shared" si="146"/>
        <v>23</v>
      </c>
      <c r="L593" s="3" t="s">
        <v>648</v>
      </c>
      <c r="M593" s="3" t="s">
        <v>655</v>
      </c>
      <c r="N593" s="3" t="s">
        <v>670</v>
      </c>
      <c r="O593" s="3" t="s">
        <v>704</v>
      </c>
      <c r="P593" s="3" t="s">
        <v>710</v>
      </c>
      <c r="Q593" s="3" t="s">
        <v>725</v>
      </c>
      <c r="R593" s="3" t="s">
        <v>731</v>
      </c>
      <c r="S593" s="3" t="s">
        <v>773</v>
      </c>
      <c r="T593" s="21">
        <v>1024.01</v>
      </c>
      <c r="U593" s="21" t="str">
        <f t="shared" si="160"/>
        <v>Medium</v>
      </c>
      <c r="V593">
        <f t="shared" si="147"/>
        <v>1580.97</v>
      </c>
      <c r="W593" s="7">
        <v>1580.97</v>
      </c>
      <c r="X593" s="8">
        <v>3.6999999999999998E-2</v>
      </c>
      <c r="Y593" s="14">
        <v>27</v>
      </c>
      <c r="Z593" s="7">
        <f t="shared" si="148"/>
        <v>58.495889999999996</v>
      </c>
      <c r="AA593" s="7">
        <f t="shared" si="149"/>
        <v>41106.800970000004</v>
      </c>
      <c r="AB593" s="7">
        <f t="shared" si="150"/>
        <v>41048.305080000006</v>
      </c>
      <c r="AC593" s="7">
        <f t="shared" si="151"/>
        <v>27648.27</v>
      </c>
      <c r="AD593" s="7">
        <f t="shared" si="152"/>
        <v>13458.530970000003</v>
      </c>
      <c r="AE593" s="7">
        <f t="shared" si="153"/>
        <v>13400.035080000005</v>
      </c>
      <c r="AF593" s="26">
        <f t="shared" si="154"/>
        <v>1.4867766037441041</v>
      </c>
      <c r="AG593" s="8">
        <f>IF(DASHBOARD!$Q$7&gt;'staging data'!X593,'staging data'!X593,DASHBOARD!$Q$7)</f>
        <v>3.6999999999999998E-2</v>
      </c>
      <c r="AH593">
        <f>(100%+DASHBOARD!$Q$8)*'staging data'!T593</f>
        <v>1177.6115</v>
      </c>
      <c r="AI593">
        <f>(100%+DASHBOARD!$Q$9)*'staging data'!Y593</f>
        <v>32.4</v>
      </c>
    </row>
    <row r="594" spans="1:35" x14ac:dyDescent="0.3">
      <c r="A594" s="3" t="s">
        <v>53</v>
      </c>
      <c r="B594" s="28">
        <v>45858</v>
      </c>
      <c r="C594" s="28" t="str">
        <f t="shared" si="155"/>
        <v>Q3</v>
      </c>
      <c r="D594" s="28" t="str">
        <f t="shared" si="156"/>
        <v>2023</v>
      </c>
      <c r="E594" s="28" t="str">
        <f t="shared" si="157"/>
        <v>Jun</v>
      </c>
      <c r="F594" s="5">
        <v>45094</v>
      </c>
      <c r="G594" s="5">
        <f t="shared" si="145"/>
        <v>45101</v>
      </c>
      <c r="H594" s="5">
        <v>45101</v>
      </c>
      <c r="I594" s="5" t="str">
        <f t="shared" si="158"/>
        <v>Achieved</v>
      </c>
      <c r="J594" s="14">
        <f t="shared" si="159"/>
        <v>7</v>
      </c>
      <c r="K594" s="14">
        <f t="shared" si="146"/>
        <v>7</v>
      </c>
      <c r="L594" s="3" t="s">
        <v>647</v>
      </c>
      <c r="M594" s="3" t="s">
        <v>659</v>
      </c>
      <c r="N594" s="3" t="s">
        <v>685</v>
      </c>
      <c r="O594" s="3" t="s">
        <v>700</v>
      </c>
      <c r="P594" s="3" t="s">
        <v>706</v>
      </c>
      <c r="Q594" s="3" t="s">
        <v>713</v>
      </c>
      <c r="R594" s="3" t="s">
        <v>727</v>
      </c>
      <c r="S594" s="3" t="s">
        <v>772</v>
      </c>
      <c r="T594" s="21">
        <v>313.99</v>
      </c>
      <c r="U594" s="21" t="str">
        <f t="shared" si="160"/>
        <v>Low</v>
      </c>
      <c r="V594">
        <f t="shared" si="147"/>
        <v>454.42</v>
      </c>
      <c r="W594" s="7">
        <v>454.42</v>
      </c>
      <c r="X594" s="8">
        <v>0.129</v>
      </c>
      <c r="Y594" s="14">
        <v>9</v>
      </c>
      <c r="Z594" s="7">
        <f t="shared" si="148"/>
        <v>58.620180000000005</v>
      </c>
      <c r="AA594" s="7">
        <f t="shared" si="149"/>
        <v>3562.1983800000003</v>
      </c>
      <c r="AB594" s="7">
        <f t="shared" si="150"/>
        <v>3503.5782000000004</v>
      </c>
      <c r="AC594" s="7">
        <f t="shared" si="151"/>
        <v>2825.91</v>
      </c>
      <c r="AD594" s="7">
        <f t="shared" si="152"/>
        <v>736.28838000000042</v>
      </c>
      <c r="AE594" s="7">
        <f t="shared" si="153"/>
        <v>677.66820000000052</v>
      </c>
      <c r="AF594" s="26">
        <f t="shared" si="154"/>
        <v>1.2605491257683368</v>
      </c>
      <c r="AG594" s="8">
        <f>IF(DASHBOARD!$Q$7&gt;'staging data'!X594,'staging data'!X594,DASHBOARD!$Q$7)</f>
        <v>0.129</v>
      </c>
      <c r="AH594">
        <f>(100%+DASHBOARD!$Q$8)*'staging data'!T594</f>
        <v>361.08850000000001</v>
      </c>
      <c r="AI594">
        <f>(100%+DASHBOARD!$Q$9)*'staging data'!Y594</f>
        <v>10.799999999999999</v>
      </c>
    </row>
    <row r="595" spans="1:35" x14ac:dyDescent="0.3">
      <c r="A595" s="3" t="s">
        <v>52</v>
      </c>
      <c r="B595" s="28">
        <v>45859</v>
      </c>
      <c r="C595" s="28" t="str">
        <f t="shared" si="155"/>
        <v>Q3</v>
      </c>
      <c r="D595" s="28" t="str">
        <f t="shared" si="156"/>
        <v>2024</v>
      </c>
      <c r="E595" s="28" t="str">
        <f t="shared" si="157"/>
        <v>Apr</v>
      </c>
      <c r="F595" s="5">
        <v>45401</v>
      </c>
      <c r="G595" s="5">
        <f t="shared" si="145"/>
        <v>45418</v>
      </c>
      <c r="H595" s="5">
        <v>45418</v>
      </c>
      <c r="I595" s="5" t="str">
        <f t="shared" si="158"/>
        <v>Achieved</v>
      </c>
      <c r="J595" s="14">
        <f t="shared" si="159"/>
        <v>17</v>
      </c>
      <c r="K595" s="14">
        <f t="shared" si="146"/>
        <v>17</v>
      </c>
      <c r="L595" s="3" t="s">
        <v>645</v>
      </c>
      <c r="M595" s="3" t="s">
        <v>650</v>
      </c>
      <c r="N595" s="3" t="s">
        <v>662</v>
      </c>
      <c r="O595" s="3" t="s">
        <v>702</v>
      </c>
      <c r="P595" s="3" t="s">
        <v>707</v>
      </c>
      <c r="Q595" s="3" t="s">
        <v>719</v>
      </c>
      <c r="R595" s="3" t="s">
        <v>727</v>
      </c>
      <c r="S595" s="3" t="s">
        <v>771</v>
      </c>
      <c r="T595" s="21">
        <v>865.33</v>
      </c>
      <c r="U595" s="21" t="str">
        <f t="shared" si="160"/>
        <v>Medium</v>
      </c>
      <c r="V595">
        <f t="shared" si="147"/>
        <v>1395.64</v>
      </c>
      <c r="W595" s="7">
        <v>1395.64</v>
      </c>
      <c r="X595" s="8">
        <v>0.17499999999999999</v>
      </c>
      <c r="Y595" s="14">
        <v>13</v>
      </c>
      <c r="Z595" s="7">
        <f t="shared" si="148"/>
        <v>244.23699999999999</v>
      </c>
      <c r="AA595" s="7">
        <f t="shared" si="149"/>
        <v>14968.239</v>
      </c>
      <c r="AB595" s="7">
        <f t="shared" si="150"/>
        <v>14724.002</v>
      </c>
      <c r="AC595" s="7">
        <f t="shared" si="151"/>
        <v>11249.29</v>
      </c>
      <c r="AD595" s="7">
        <f t="shared" si="152"/>
        <v>3718.9489999999987</v>
      </c>
      <c r="AE595" s="7">
        <f t="shared" si="153"/>
        <v>3474.7119999999995</v>
      </c>
      <c r="AF595" s="26">
        <f t="shared" si="154"/>
        <v>1.3305941086059652</v>
      </c>
      <c r="AG595" s="8">
        <f>IF(DASHBOARD!$Q$7&gt;'staging data'!X595,'staging data'!X595,DASHBOARD!$Q$7)</f>
        <v>0.17499999999999999</v>
      </c>
      <c r="AH595">
        <f>(100%+DASHBOARD!$Q$8)*'staging data'!T595</f>
        <v>995.12950000000001</v>
      </c>
      <c r="AI595">
        <f>(100%+DASHBOARD!$Q$9)*'staging data'!Y595</f>
        <v>15.6</v>
      </c>
    </row>
    <row r="596" spans="1:35" x14ac:dyDescent="0.3">
      <c r="A596" s="3" t="s">
        <v>51</v>
      </c>
      <c r="B596" s="28">
        <v>45860</v>
      </c>
      <c r="C596" s="28" t="str">
        <f t="shared" si="155"/>
        <v>Q3</v>
      </c>
      <c r="D596" s="28" t="str">
        <f t="shared" si="156"/>
        <v>2025</v>
      </c>
      <c r="E596" s="28" t="str">
        <f t="shared" si="157"/>
        <v>Jun</v>
      </c>
      <c r="F596" s="5">
        <v>45832</v>
      </c>
      <c r="G596" s="5">
        <f t="shared" si="145"/>
        <v>45848</v>
      </c>
      <c r="H596" s="5">
        <v>45848</v>
      </c>
      <c r="I596" s="5" t="str">
        <f t="shared" si="158"/>
        <v>Achieved</v>
      </c>
      <c r="J596" s="14">
        <f t="shared" si="159"/>
        <v>16</v>
      </c>
      <c r="K596" s="14">
        <f t="shared" si="146"/>
        <v>16</v>
      </c>
      <c r="L596" s="3" t="s">
        <v>646</v>
      </c>
      <c r="M596" s="3" t="s">
        <v>658</v>
      </c>
      <c r="N596" s="3" t="s">
        <v>684</v>
      </c>
      <c r="O596" s="3" t="s">
        <v>705</v>
      </c>
      <c r="P596" s="3" t="s">
        <v>710</v>
      </c>
      <c r="Q596" s="3" t="s">
        <v>724</v>
      </c>
      <c r="R596" s="3" t="s">
        <v>726</v>
      </c>
      <c r="S596" s="3" t="s">
        <v>770</v>
      </c>
      <c r="T596" s="21">
        <v>757.19</v>
      </c>
      <c r="U596" s="21" t="str">
        <f t="shared" si="160"/>
        <v>Medium</v>
      </c>
      <c r="V596">
        <f t="shared" si="147"/>
        <v>1735.41</v>
      </c>
      <c r="W596" s="7">
        <v>1735.41</v>
      </c>
      <c r="X596" s="8">
        <v>0.13600000000000001</v>
      </c>
      <c r="Y596" s="14">
        <v>8</v>
      </c>
      <c r="Z596" s="7">
        <f t="shared" si="148"/>
        <v>236.01576000000003</v>
      </c>
      <c r="AA596" s="7">
        <f t="shared" si="149"/>
        <v>11995.153920000001</v>
      </c>
      <c r="AB596" s="7">
        <f t="shared" si="150"/>
        <v>11759.13816</v>
      </c>
      <c r="AC596" s="7">
        <f t="shared" si="151"/>
        <v>6057.52</v>
      </c>
      <c r="AD596" s="7">
        <f t="shared" si="152"/>
        <v>5937.6339200000002</v>
      </c>
      <c r="AE596" s="7">
        <f t="shared" si="153"/>
        <v>5701.61816</v>
      </c>
      <c r="AF596" s="26">
        <f t="shared" si="154"/>
        <v>1.9802087190797555</v>
      </c>
      <c r="AG596" s="8">
        <f>IF(DASHBOARD!$Q$7&gt;'staging data'!X596,'staging data'!X596,DASHBOARD!$Q$7)</f>
        <v>0.13600000000000001</v>
      </c>
      <c r="AH596">
        <f>(100%+DASHBOARD!$Q$8)*'staging data'!T596</f>
        <v>870.76850000000002</v>
      </c>
      <c r="AI596">
        <f>(100%+DASHBOARD!$Q$9)*'staging data'!Y596</f>
        <v>9.6</v>
      </c>
    </row>
    <row r="597" spans="1:35" x14ac:dyDescent="0.3">
      <c r="A597" s="3" t="s">
        <v>49</v>
      </c>
      <c r="B597" s="28">
        <v>45861</v>
      </c>
      <c r="C597" s="28" t="str">
        <f t="shared" si="155"/>
        <v>Q3</v>
      </c>
      <c r="D597" s="28" t="str">
        <f t="shared" si="156"/>
        <v>2023</v>
      </c>
      <c r="E597" s="28" t="str">
        <f t="shared" si="157"/>
        <v>Mar</v>
      </c>
      <c r="F597" s="5">
        <v>45012</v>
      </c>
      <c r="G597" s="5">
        <f t="shared" si="145"/>
        <v>45038</v>
      </c>
      <c r="H597" s="5">
        <v>45038</v>
      </c>
      <c r="I597" s="5" t="str">
        <f t="shared" si="158"/>
        <v>Achieved</v>
      </c>
      <c r="J597" s="14">
        <f t="shared" si="159"/>
        <v>26</v>
      </c>
      <c r="K597" s="14">
        <f t="shared" si="146"/>
        <v>26</v>
      </c>
      <c r="L597" s="3" t="s">
        <v>646</v>
      </c>
      <c r="M597" s="3" t="s">
        <v>653</v>
      </c>
      <c r="N597" s="3" t="s">
        <v>679</v>
      </c>
      <c r="O597" s="3" t="s">
        <v>702</v>
      </c>
      <c r="P597" s="3" t="s">
        <v>708</v>
      </c>
      <c r="Q597" s="3" t="s">
        <v>712</v>
      </c>
      <c r="R597" s="3" t="s">
        <v>727</v>
      </c>
      <c r="S597" s="3" t="s">
        <v>768</v>
      </c>
      <c r="T597" s="21">
        <v>178.53</v>
      </c>
      <c r="U597" s="21" t="str">
        <f t="shared" si="160"/>
        <v>Low</v>
      </c>
      <c r="V597">
        <f t="shared" si="147"/>
        <v>199.37</v>
      </c>
      <c r="W597" s="7">
        <v>199.37</v>
      </c>
      <c r="X597" s="8">
        <v>0.10100000000000001</v>
      </c>
      <c r="Y597" s="14">
        <v>37</v>
      </c>
      <c r="Z597" s="7">
        <f t="shared" si="148"/>
        <v>20.136370000000003</v>
      </c>
      <c r="AA597" s="7">
        <f t="shared" si="149"/>
        <v>6631.6443100000006</v>
      </c>
      <c r="AB597" s="7">
        <f t="shared" si="150"/>
        <v>6611.5079400000004</v>
      </c>
      <c r="AC597" s="7">
        <f t="shared" si="151"/>
        <v>6605.61</v>
      </c>
      <c r="AD597" s="7">
        <f t="shared" si="152"/>
        <v>26.034310000000914</v>
      </c>
      <c r="AE597" s="7">
        <f t="shared" si="153"/>
        <v>5.8979400000007445</v>
      </c>
      <c r="AF597" s="26">
        <f t="shared" si="154"/>
        <v>1.0039412423682295</v>
      </c>
      <c r="AG597" s="8">
        <f>IF(DASHBOARD!$Q$7&gt;'staging data'!X597,'staging data'!X597,DASHBOARD!$Q$7)</f>
        <v>0.10100000000000001</v>
      </c>
      <c r="AH597">
        <f>(100%+DASHBOARD!$Q$8)*'staging data'!T597</f>
        <v>205.30949999999999</v>
      </c>
      <c r="AI597">
        <f>(100%+DASHBOARD!$Q$9)*'staging data'!Y597</f>
        <v>44.4</v>
      </c>
    </row>
    <row r="598" spans="1:35" x14ac:dyDescent="0.3">
      <c r="A598" s="3" t="s">
        <v>50</v>
      </c>
      <c r="B598" s="28">
        <v>45861</v>
      </c>
      <c r="C598" s="28" t="str">
        <f t="shared" si="155"/>
        <v>Q3</v>
      </c>
      <c r="D598" s="28" t="str">
        <f t="shared" si="156"/>
        <v>2024</v>
      </c>
      <c r="E598" s="28" t="str">
        <f t="shared" si="157"/>
        <v>Mar</v>
      </c>
      <c r="F598" s="5">
        <v>45358</v>
      </c>
      <c r="G598" s="5">
        <f t="shared" si="145"/>
        <v>45376</v>
      </c>
      <c r="H598" s="5">
        <v>45376</v>
      </c>
      <c r="I598" s="5" t="str">
        <f t="shared" si="158"/>
        <v>Achieved</v>
      </c>
      <c r="J598" s="14">
        <f t="shared" si="159"/>
        <v>18</v>
      </c>
      <c r="K598" s="14">
        <f t="shared" si="146"/>
        <v>18</v>
      </c>
      <c r="L598" s="3" t="s">
        <v>648</v>
      </c>
      <c r="M598" s="3" t="s">
        <v>655</v>
      </c>
      <c r="N598" s="3" t="s">
        <v>683</v>
      </c>
      <c r="O598" s="3" t="s">
        <v>700</v>
      </c>
      <c r="P598" s="3" t="s">
        <v>707</v>
      </c>
      <c r="Q598" s="3" t="s">
        <v>716</v>
      </c>
      <c r="R598" s="3" t="s">
        <v>726</v>
      </c>
      <c r="S598" s="3" t="s">
        <v>769</v>
      </c>
      <c r="T598" s="21">
        <v>712.84</v>
      </c>
      <c r="U598" s="21" t="str">
        <f t="shared" si="160"/>
        <v>Medium</v>
      </c>
      <c r="V598">
        <f t="shared" si="147"/>
        <v>927.51</v>
      </c>
      <c r="W598" s="7">
        <v>927.51</v>
      </c>
      <c r="X598" s="8">
        <v>0.24299999999999999</v>
      </c>
      <c r="Y598" s="14">
        <v>27</v>
      </c>
      <c r="Z598" s="7">
        <f t="shared" si="148"/>
        <v>225.38493</v>
      </c>
      <c r="AA598" s="7">
        <f t="shared" si="149"/>
        <v>18957.37689</v>
      </c>
      <c r="AB598" s="7">
        <f t="shared" si="150"/>
        <v>18731.991959999999</v>
      </c>
      <c r="AC598" s="7">
        <f t="shared" si="151"/>
        <v>19246.68</v>
      </c>
      <c r="AD598" s="7">
        <f t="shared" si="152"/>
        <v>-289.30311000000074</v>
      </c>
      <c r="AE598" s="7">
        <f t="shared" si="153"/>
        <v>-514.68804000000091</v>
      </c>
      <c r="AF598" s="26">
        <f t="shared" si="154"/>
        <v>0.98496867459738502</v>
      </c>
      <c r="AG598" s="8">
        <f>IF(DASHBOARD!$Q$7&gt;'staging data'!X598,'staging data'!X598,DASHBOARD!$Q$7)</f>
        <v>0.2</v>
      </c>
      <c r="AH598">
        <f>(100%+DASHBOARD!$Q$8)*'staging data'!T598</f>
        <v>819.76599999999996</v>
      </c>
      <c r="AI598">
        <f>(100%+DASHBOARD!$Q$9)*'staging data'!Y598</f>
        <v>32.4</v>
      </c>
    </row>
    <row r="599" spans="1:35" x14ac:dyDescent="0.3">
      <c r="A599" s="3" t="s">
        <v>48</v>
      </c>
      <c r="B599" s="28">
        <v>45862</v>
      </c>
      <c r="C599" s="28" t="str">
        <f t="shared" si="155"/>
        <v>Q3</v>
      </c>
      <c r="D599" s="28" t="str">
        <f t="shared" si="156"/>
        <v>2024</v>
      </c>
      <c r="E599" s="28" t="str">
        <f t="shared" si="157"/>
        <v>Aug</v>
      </c>
      <c r="F599" s="5">
        <v>45527</v>
      </c>
      <c r="G599" s="5">
        <f t="shared" si="145"/>
        <v>45527</v>
      </c>
      <c r="H599" s="5">
        <v>45525</v>
      </c>
      <c r="I599" s="5" t="str">
        <f t="shared" si="158"/>
        <v>Not achieved</v>
      </c>
      <c r="J599" s="14">
        <f t="shared" si="159"/>
        <v>0</v>
      </c>
      <c r="K599" s="14">
        <f t="shared" si="146"/>
        <v>-2</v>
      </c>
      <c r="L599" s="3" t="s">
        <v>645</v>
      </c>
      <c r="M599" s="3" t="s">
        <v>660</v>
      </c>
      <c r="N599" s="3" t="s">
        <v>681</v>
      </c>
      <c r="O599" s="3" t="s">
        <v>701</v>
      </c>
      <c r="P599" s="3" t="s">
        <v>706</v>
      </c>
      <c r="Q599" s="3" t="s">
        <v>717</v>
      </c>
      <c r="R599" s="3" t="s">
        <v>726</v>
      </c>
      <c r="S599" s="3" t="s">
        <v>767</v>
      </c>
      <c r="T599" s="21">
        <v>1432.52</v>
      </c>
      <c r="U599" s="21" t="str">
        <f t="shared" si="160"/>
        <v>High</v>
      </c>
      <c r="V599">
        <f t="shared" si="147"/>
        <v>3036.87</v>
      </c>
      <c r="W599" s="7">
        <v>3036.87</v>
      </c>
      <c r="X599" s="8">
        <v>0</v>
      </c>
      <c r="Y599" s="14">
        <v>9</v>
      </c>
      <c r="Z599" s="7">
        <f t="shared" si="148"/>
        <v>0</v>
      </c>
      <c r="AA599" s="7">
        <f t="shared" si="149"/>
        <v>27331.829999999998</v>
      </c>
      <c r="AB599" s="7">
        <f t="shared" si="150"/>
        <v>27331.829999999998</v>
      </c>
      <c r="AC599" s="7">
        <f t="shared" si="151"/>
        <v>12892.68</v>
      </c>
      <c r="AD599" s="7">
        <f t="shared" si="152"/>
        <v>14439.149999999998</v>
      </c>
      <c r="AE599" s="7">
        <f t="shared" si="153"/>
        <v>14439.149999999998</v>
      </c>
      <c r="AF599" s="26">
        <f t="shared" si="154"/>
        <v>2.1199494596934074</v>
      </c>
      <c r="AG599" s="8">
        <f>IF(DASHBOARD!$Q$7&gt;'staging data'!X599,'staging data'!X599,DASHBOARD!$Q$7)</f>
        <v>0</v>
      </c>
      <c r="AH599">
        <f>(100%+DASHBOARD!$Q$8)*'staging data'!T599</f>
        <v>1647.3979999999999</v>
      </c>
      <c r="AI599">
        <f>(100%+DASHBOARD!$Q$9)*'staging data'!Y599</f>
        <v>10.799999999999999</v>
      </c>
    </row>
    <row r="600" spans="1:35" x14ac:dyDescent="0.3">
      <c r="A600" s="3" t="s">
        <v>47</v>
      </c>
      <c r="B600" s="28">
        <v>45865</v>
      </c>
      <c r="C600" s="28" t="str">
        <f t="shared" si="155"/>
        <v>Q3</v>
      </c>
      <c r="D600" s="28" t="str">
        <f t="shared" si="156"/>
        <v>2024</v>
      </c>
      <c r="E600" s="28" t="str">
        <f t="shared" si="157"/>
        <v>Apr</v>
      </c>
      <c r="F600" s="5">
        <v>45400</v>
      </c>
      <c r="G600" s="5">
        <f t="shared" si="145"/>
        <v>45420</v>
      </c>
      <c r="H600" s="5">
        <v>45420</v>
      </c>
      <c r="I600" s="5" t="str">
        <f t="shared" si="158"/>
        <v>Achieved</v>
      </c>
      <c r="J600" s="14">
        <f t="shared" si="159"/>
        <v>20</v>
      </c>
      <c r="K600" s="14">
        <f t="shared" si="146"/>
        <v>20</v>
      </c>
      <c r="L600" s="3" t="s">
        <v>648</v>
      </c>
      <c r="M600" s="3" t="s">
        <v>657</v>
      </c>
      <c r="N600" s="3" t="s">
        <v>682</v>
      </c>
      <c r="O600" s="3" t="s">
        <v>702</v>
      </c>
      <c r="P600" s="3" t="s">
        <v>709</v>
      </c>
      <c r="Q600" s="3" t="s">
        <v>725</v>
      </c>
      <c r="R600" s="3" t="s">
        <v>730</v>
      </c>
      <c r="S600" s="3" t="s">
        <v>766</v>
      </c>
      <c r="T600" s="21">
        <v>645.33000000000004</v>
      </c>
      <c r="U600" s="21" t="str">
        <f t="shared" si="160"/>
        <v>Medium</v>
      </c>
      <c r="V600">
        <f t="shared" si="147"/>
        <v>1321.85</v>
      </c>
      <c r="W600" s="7">
        <v>1321.85</v>
      </c>
      <c r="X600" s="8">
        <v>0</v>
      </c>
      <c r="Y600" s="14">
        <v>10</v>
      </c>
      <c r="Z600" s="7">
        <f t="shared" si="148"/>
        <v>0</v>
      </c>
      <c r="AA600" s="7">
        <f t="shared" si="149"/>
        <v>13218.5</v>
      </c>
      <c r="AB600" s="7">
        <f t="shared" si="150"/>
        <v>13218.5</v>
      </c>
      <c r="AC600" s="7">
        <f t="shared" si="151"/>
        <v>6453.3</v>
      </c>
      <c r="AD600" s="7">
        <f t="shared" si="152"/>
        <v>6765.2</v>
      </c>
      <c r="AE600" s="7">
        <f t="shared" si="153"/>
        <v>6765.2</v>
      </c>
      <c r="AF600" s="26">
        <f t="shared" si="154"/>
        <v>2.0483318612182915</v>
      </c>
      <c r="AG600" s="8">
        <f>IF(DASHBOARD!$Q$7&gt;'staging data'!X600,'staging data'!X600,DASHBOARD!$Q$7)</f>
        <v>0</v>
      </c>
      <c r="AH600">
        <f>(100%+DASHBOARD!$Q$8)*'staging data'!T600</f>
        <v>742.12950000000001</v>
      </c>
      <c r="AI600">
        <f>(100%+DASHBOARD!$Q$9)*'staging data'!Y600</f>
        <v>12</v>
      </c>
    </row>
    <row r="601" spans="1:35" x14ac:dyDescent="0.3">
      <c r="A601" s="3" t="s">
        <v>45</v>
      </c>
      <c r="B601" s="28">
        <v>45870</v>
      </c>
      <c r="C601" s="28" t="str">
        <f t="shared" si="155"/>
        <v>Q3</v>
      </c>
      <c r="D601" s="28" t="str">
        <f t="shared" si="156"/>
        <v>2023</v>
      </c>
      <c r="E601" s="28" t="str">
        <f t="shared" si="157"/>
        <v>Feb</v>
      </c>
      <c r="F601" s="5">
        <v>44980</v>
      </c>
      <c r="G601" s="5">
        <f t="shared" si="145"/>
        <v>45010</v>
      </c>
      <c r="H601" s="5">
        <v>45010</v>
      </c>
      <c r="I601" s="5" t="str">
        <f t="shared" si="158"/>
        <v>Achieved</v>
      </c>
      <c r="J601" s="14">
        <f t="shared" si="159"/>
        <v>30</v>
      </c>
      <c r="K601" s="14">
        <f t="shared" si="146"/>
        <v>30</v>
      </c>
      <c r="L601" s="3" t="s">
        <v>647</v>
      </c>
      <c r="M601" s="3" t="s">
        <v>652</v>
      </c>
      <c r="N601" s="3" t="s">
        <v>680</v>
      </c>
      <c r="O601" s="3" t="s">
        <v>705</v>
      </c>
      <c r="P601" s="3" t="s">
        <v>707</v>
      </c>
      <c r="Q601" s="3" t="s">
        <v>725</v>
      </c>
      <c r="R601" s="3" t="s">
        <v>729</v>
      </c>
      <c r="S601" s="3" t="s">
        <v>764</v>
      </c>
      <c r="T601" s="21">
        <v>1242.6600000000001</v>
      </c>
      <c r="U601" s="21" t="str">
        <f t="shared" si="160"/>
        <v>Medium</v>
      </c>
      <c r="V601">
        <f t="shared" si="147"/>
        <v>1794.07</v>
      </c>
      <c r="W601" s="7">
        <v>1794.07</v>
      </c>
      <c r="X601" s="8">
        <v>8.8999999999999996E-2</v>
      </c>
      <c r="Y601" s="14">
        <v>16</v>
      </c>
      <c r="Z601" s="7">
        <f t="shared" si="148"/>
        <v>159.67222999999998</v>
      </c>
      <c r="AA601" s="7">
        <f t="shared" si="149"/>
        <v>26150.364320000001</v>
      </c>
      <c r="AB601" s="7">
        <f t="shared" si="150"/>
        <v>25990.69209</v>
      </c>
      <c r="AC601" s="7">
        <f t="shared" si="151"/>
        <v>19882.560000000001</v>
      </c>
      <c r="AD601" s="7">
        <f t="shared" si="152"/>
        <v>6267.8043199999993</v>
      </c>
      <c r="AE601" s="7">
        <f t="shared" si="153"/>
        <v>6108.1320899999992</v>
      </c>
      <c r="AF601" s="26">
        <f t="shared" si="154"/>
        <v>1.3152413129898766</v>
      </c>
      <c r="AG601" s="8">
        <f>IF(DASHBOARD!$Q$7&gt;'staging data'!X601,'staging data'!X601,DASHBOARD!$Q$7)</f>
        <v>8.8999999999999996E-2</v>
      </c>
      <c r="AH601">
        <f>(100%+DASHBOARD!$Q$8)*'staging data'!T601</f>
        <v>1429.059</v>
      </c>
      <c r="AI601">
        <f>(100%+DASHBOARD!$Q$9)*'staging data'!Y601</f>
        <v>19.2</v>
      </c>
    </row>
    <row r="602" spans="1:35" x14ac:dyDescent="0.3">
      <c r="A602" s="3" t="s">
        <v>46</v>
      </c>
      <c r="B602" s="28">
        <v>45870</v>
      </c>
      <c r="C602" s="28" t="str">
        <f t="shared" si="155"/>
        <v>Q3</v>
      </c>
      <c r="D602" s="28" t="str">
        <f t="shared" si="156"/>
        <v>2025</v>
      </c>
      <c r="E602" s="28" t="str">
        <f t="shared" si="157"/>
        <v>Jul</v>
      </c>
      <c r="F602" s="5">
        <v>45862</v>
      </c>
      <c r="G602" s="5">
        <f t="shared" si="145"/>
        <v>45875</v>
      </c>
      <c r="H602" s="5">
        <v>45875</v>
      </c>
      <c r="I602" s="5" t="str">
        <f t="shared" si="158"/>
        <v>Achieved</v>
      </c>
      <c r="J602" s="14">
        <f t="shared" si="159"/>
        <v>13</v>
      </c>
      <c r="K602" s="14">
        <f t="shared" si="146"/>
        <v>13</v>
      </c>
      <c r="L602" s="3" t="s">
        <v>645</v>
      </c>
      <c r="M602" s="3" t="s">
        <v>660</v>
      </c>
      <c r="N602" s="3" t="s">
        <v>681</v>
      </c>
      <c r="O602" s="3" t="s">
        <v>701</v>
      </c>
      <c r="P602" s="3" t="s">
        <v>708</v>
      </c>
      <c r="Q602" s="3" t="s">
        <v>725</v>
      </c>
      <c r="R602" s="3" t="s">
        <v>728</v>
      </c>
      <c r="S602" s="3" t="s">
        <v>765</v>
      </c>
      <c r="T602" s="21">
        <v>1463.9</v>
      </c>
      <c r="U602" s="21" t="str">
        <f t="shared" si="160"/>
        <v>High</v>
      </c>
      <c r="V602">
        <f t="shared" si="147"/>
        <v>2633.02</v>
      </c>
      <c r="W602" s="7">
        <v>2633.02</v>
      </c>
      <c r="X602" s="8">
        <v>8.4000000000000005E-2</v>
      </c>
      <c r="Y602" s="14">
        <v>4</v>
      </c>
      <c r="Z602" s="7">
        <f t="shared" si="148"/>
        <v>221.17368000000002</v>
      </c>
      <c r="AA602" s="7">
        <f t="shared" si="149"/>
        <v>9647.3852800000004</v>
      </c>
      <c r="AB602" s="7">
        <f t="shared" si="150"/>
        <v>9426.2116000000005</v>
      </c>
      <c r="AC602" s="7">
        <f t="shared" si="151"/>
        <v>5855.6</v>
      </c>
      <c r="AD602" s="7">
        <f t="shared" si="152"/>
        <v>3791.7852800000001</v>
      </c>
      <c r="AE602" s="7">
        <f t="shared" si="153"/>
        <v>3570.6116000000002</v>
      </c>
      <c r="AF602" s="26">
        <f t="shared" si="154"/>
        <v>1.6475485483981145</v>
      </c>
      <c r="AG602" s="8">
        <f>IF(DASHBOARD!$Q$7&gt;'staging data'!X602,'staging data'!X602,DASHBOARD!$Q$7)</f>
        <v>8.4000000000000005E-2</v>
      </c>
      <c r="AH602">
        <f>(100%+DASHBOARD!$Q$8)*'staging data'!T602</f>
        <v>1683.4849999999999</v>
      </c>
      <c r="AI602">
        <f>(100%+DASHBOARD!$Q$9)*'staging data'!Y602</f>
        <v>4.8</v>
      </c>
    </row>
    <row r="603" spans="1:35" x14ac:dyDescent="0.3">
      <c r="A603" s="3" t="s">
        <v>44</v>
      </c>
      <c r="B603" s="28">
        <v>45871</v>
      </c>
      <c r="C603" s="28" t="str">
        <f t="shared" si="155"/>
        <v>Q3</v>
      </c>
      <c r="D603" s="28" t="str">
        <f t="shared" si="156"/>
        <v>2024</v>
      </c>
      <c r="E603" s="28" t="str">
        <f t="shared" si="157"/>
        <v>Dec</v>
      </c>
      <c r="F603" s="5">
        <v>45653</v>
      </c>
      <c r="G603" s="5">
        <f t="shared" si="145"/>
        <v>45672</v>
      </c>
      <c r="H603" s="5">
        <v>45672</v>
      </c>
      <c r="I603" s="5" t="str">
        <f t="shared" si="158"/>
        <v>Achieved</v>
      </c>
      <c r="J603" s="14">
        <f t="shared" si="159"/>
        <v>19</v>
      </c>
      <c r="K603" s="14">
        <f t="shared" si="146"/>
        <v>19</v>
      </c>
      <c r="L603" s="3" t="s">
        <v>646</v>
      </c>
      <c r="M603" s="3" t="s">
        <v>653</v>
      </c>
      <c r="N603" s="3" t="s">
        <v>679</v>
      </c>
      <c r="O603" s="3" t="s">
        <v>702</v>
      </c>
      <c r="P603" s="3" t="s">
        <v>709</v>
      </c>
      <c r="Q603" s="3" t="s">
        <v>714</v>
      </c>
      <c r="R603" s="3" t="s">
        <v>726</v>
      </c>
      <c r="S603" s="3" t="s">
        <v>763</v>
      </c>
      <c r="T603" s="21">
        <v>495.59</v>
      </c>
      <c r="U603" s="21" t="str">
        <f t="shared" si="160"/>
        <v>Medium</v>
      </c>
      <c r="V603">
        <f t="shared" si="147"/>
        <v>631.78</v>
      </c>
      <c r="W603" s="7">
        <v>631.78</v>
      </c>
      <c r="X603" s="8">
        <v>8.6999999999999994E-2</v>
      </c>
      <c r="Y603" s="14">
        <v>17</v>
      </c>
      <c r="Z603" s="7">
        <f t="shared" si="148"/>
        <v>54.964859999999994</v>
      </c>
      <c r="AA603" s="7">
        <f t="shared" si="149"/>
        <v>9805.8573800000013</v>
      </c>
      <c r="AB603" s="7">
        <f t="shared" si="150"/>
        <v>9750.8925200000012</v>
      </c>
      <c r="AC603" s="7">
        <f t="shared" si="151"/>
        <v>8425.0299999999988</v>
      </c>
      <c r="AD603" s="7">
        <f t="shared" si="152"/>
        <v>1380.8273800000024</v>
      </c>
      <c r="AE603" s="7">
        <f t="shared" si="153"/>
        <v>1325.8625200000024</v>
      </c>
      <c r="AF603" s="26">
        <f t="shared" si="154"/>
        <v>1.1638958413204465</v>
      </c>
      <c r="AG603" s="8">
        <f>IF(DASHBOARD!$Q$7&gt;'staging data'!X603,'staging data'!X603,DASHBOARD!$Q$7)</f>
        <v>8.6999999999999994E-2</v>
      </c>
      <c r="AH603">
        <f>(100%+DASHBOARD!$Q$8)*'staging data'!T603</f>
        <v>569.92849999999987</v>
      </c>
      <c r="AI603">
        <f>(100%+DASHBOARD!$Q$9)*'staging data'!Y603</f>
        <v>20.399999999999999</v>
      </c>
    </row>
    <row r="604" spans="1:35" x14ac:dyDescent="0.3">
      <c r="A604" s="3" t="s">
        <v>43</v>
      </c>
      <c r="B604" s="28">
        <v>45872</v>
      </c>
      <c r="C604" s="28" t="str">
        <f t="shared" si="155"/>
        <v>Q3</v>
      </c>
      <c r="D604" s="28" t="str">
        <f t="shared" si="156"/>
        <v>2025</v>
      </c>
      <c r="E604" s="28" t="str">
        <f t="shared" si="157"/>
        <v>Apr</v>
      </c>
      <c r="F604" s="5">
        <v>45754</v>
      </c>
      <c r="G604" s="5">
        <f t="shared" si="145"/>
        <v>45758</v>
      </c>
      <c r="H604" s="5">
        <v>45758</v>
      </c>
      <c r="I604" s="5" t="str">
        <f t="shared" si="158"/>
        <v>Not achieved</v>
      </c>
      <c r="J604" s="14">
        <f t="shared" si="159"/>
        <v>4</v>
      </c>
      <c r="K604" s="14">
        <f t="shared" si="146"/>
        <v>4</v>
      </c>
      <c r="L604" s="3" t="s">
        <v>648</v>
      </c>
      <c r="M604" s="3" t="s">
        <v>656</v>
      </c>
      <c r="N604" s="3" t="s">
        <v>678</v>
      </c>
      <c r="O604" s="3" t="s">
        <v>701</v>
      </c>
      <c r="P604" s="3" t="s">
        <v>706</v>
      </c>
      <c r="Q604" s="3" t="s">
        <v>717</v>
      </c>
      <c r="R604" s="3" t="s">
        <v>728</v>
      </c>
      <c r="S604" s="3" t="s">
        <v>762</v>
      </c>
      <c r="T604" s="21">
        <v>754.77</v>
      </c>
      <c r="U604" s="21" t="str">
        <f t="shared" si="160"/>
        <v>Medium</v>
      </c>
      <c r="V604">
        <f t="shared" si="147"/>
        <v>1666.18</v>
      </c>
      <c r="W604" s="7">
        <v>1666.18</v>
      </c>
      <c r="X604" s="8">
        <v>0.13900000000000001</v>
      </c>
      <c r="Y604" s="14">
        <v>14</v>
      </c>
      <c r="Z604" s="7">
        <f t="shared" si="148"/>
        <v>231.59902000000002</v>
      </c>
      <c r="AA604" s="7">
        <f t="shared" si="149"/>
        <v>20084.133720000002</v>
      </c>
      <c r="AB604" s="7">
        <f t="shared" si="150"/>
        <v>19852.5347</v>
      </c>
      <c r="AC604" s="7">
        <f t="shared" si="151"/>
        <v>10566.779999999999</v>
      </c>
      <c r="AD604" s="7">
        <f t="shared" si="152"/>
        <v>9517.3537200000028</v>
      </c>
      <c r="AE604" s="7">
        <f t="shared" si="153"/>
        <v>9285.7547000000013</v>
      </c>
      <c r="AF604" s="26">
        <f t="shared" si="154"/>
        <v>1.9006862752891613</v>
      </c>
      <c r="AG604" s="8">
        <f>IF(DASHBOARD!$Q$7&gt;'staging data'!X604,'staging data'!X604,DASHBOARD!$Q$7)</f>
        <v>0.13900000000000001</v>
      </c>
      <c r="AH604">
        <f>(100%+DASHBOARD!$Q$8)*'staging data'!T604</f>
        <v>867.98549999999989</v>
      </c>
      <c r="AI604">
        <f>(100%+DASHBOARD!$Q$9)*'staging data'!Y604</f>
        <v>16.8</v>
      </c>
    </row>
    <row r="605" spans="1:35" x14ac:dyDescent="0.3">
      <c r="A605" s="3" t="s">
        <v>41</v>
      </c>
      <c r="B605" s="28">
        <v>45874</v>
      </c>
      <c r="C605" s="28" t="str">
        <f t="shared" si="155"/>
        <v>Q3</v>
      </c>
      <c r="D605" s="28" t="str">
        <f t="shared" si="156"/>
        <v>2024</v>
      </c>
      <c r="E605" s="28" t="str">
        <f t="shared" si="157"/>
        <v>Jul</v>
      </c>
      <c r="F605" s="5">
        <v>45492</v>
      </c>
      <c r="G605" s="5">
        <f t="shared" si="145"/>
        <v>45492</v>
      </c>
      <c r="H605" s="5">
        <v>45492</v>
      </c>
      <c r="I605" s="5" t="str">
        <f t="shared" si="158"/>
        <v>Not achieved</v>
      </c>
      <c r="J605" s="14">
        <f t="shared" si="159"/>
        <v>0</v>
      </c>
      <c r="K605" s="14">
        <f t="shared" si="146"/>
        <v>0</v>
      </c>
      <c r="L605" s="3" t="s">
        <v>645</v>
      </c>
      <c r="M605" s="3" t="s">
        <v>649</v>
      </c>
      <c r="N605" s="3" t="s">
        <v>661</v>
      </c>
      <c r="O605" s="3" t="s">
        <v>704</v>
      </c>
      <c r="P605" s="3" t="s">
        <v>706</v>
      </c>
      <c r="Q605" s="3" t="s">
        <v>719</v>
      </c>
      <c r="R605" s="3" t="s">
        <v>729</v>
      </c>
      <c r="S605" s="3" t="s">
        <v>760</v>
      </c>
      <c r="T605" s="21">
        <v>857.24</v>
      </c>
      <c r="U605" s="21" t="str">
        <f t="shared" si="160"/>
        <v>Medium</v>
      </c>
      <c r="V605">
        <f t="shared" si="147"/>
        <v>758.23</v>
      </c>
      <c r="W605" s="7">
        <v>758.23</v>
      </c>
      <c r="X605" s="8">
        <v>0.125</v>
      </c>
      <c r="Y605" s="14">
        <v>6</v>
      </c>
      <c r="Z605" s="7">
        <f t="shared" si="148"/>
        <v>94.778750000000002</v>
      </c>
      <c r="AA605" s="7">
        <f t="shared" si="149"/>
        <v>3980.7075</v>
      </c>
      <c r="AB605" s="7">
        <f t="shared" si="150"/>
        <v>3885.92875</v>
      </c>
      <c r="AC605" s="7">
        <f t="shared" si="151"/>
        <v>5143.4400000000005</v>
      </c>
      <c r="AD605" s="7">
        <f t="shared" si="152"/>
        <v>-1162.7325000000005</v>
      </c>
      <c r="AE605" s="7">
        <f t="shared" si="153"/>
        <v>-1257.5112500000005</v>
      </c>
      <c r="AF605" s="26">
        <f t="shared" si="154"/>
        <v>0.77393874527553541</v>
      </c>
      <c r="AG605" s="8">
        <f>IF(DASHBOARD!$Q$7&gt;'staging data'!X605,'staging data'!X605,DASHBOARD!$Q$7)</f>
        <v>0.125</v>
      </c>
      <c r="AH605">
        <f>(100%+DASHBOARD!$Q$8)*'staging data'!T605</f>
        <v>985.82599999999991</v>
      </c>
      <c r="AI605">
        <f>(100%+DASHBOARD!$Q$9)*'staging data'!Y605</f>
        <v>7.1999999999999993</v>
      </c>
    </row>
    <row r="606" spans="1:35" x14ac:dyDescent="0.3">
      <c r="A606" s="3" t="s">
        <v>42</v>
      </c>
      <c r="B606" s="28">
        <v>45874</v>
      </c>
      <c r="C606" s="28" t="str">
        <f t="shared" si="155"/>
        <v>Q3</v>
      </c>
      <c r="D606" s="28" t="str">
        <f t="shared" si="156"/>
        <v>2023</v>
      </c>
      <c r="E606" s="28" t="str">
        <f t="shared" si="157"/>
        <v>Apr</v>
      </c>
      <c r="F606" s="5">
        <v>45030</v>
      </c>
      <c r="G606" s="5">
        <f t="shared" si="145"/>
        <v>45060</v>
      </c>
      <c r="H606" s="5">
        <v>45060</v>
      </c>
      <c r="I606" s="5" t="str">
        <f t="shared" si="158"/>
        <v>Achieved</v>
      </c>
      <c r="J606" s="14">
        <f t="shared" si="159"/>
        <v>30</v>
      </c>
      <c r="K606" s="14">
        <f t="shared" si="146"/>
        <v>30</v>
      </c>
      <c r="L606" s="3" t="s">
        <v>645</v>
      </c>
      <c r="M606" s="3" t="s">
        <v>649</v>
      </c>
      <c r="N606" s="3" t="s">
        <v>677</v>
      </c>
      <c r="O606" s="3" t="s">
        <v>703</v>
      </c>
      <c r="P606" s="3" t="s">
        <v>708</v>
      </c>
      <c r="Q606" s="3" t="s">
        <v>723</v>
      </c>
      <c r="R606" s="3" t="s">
        <v>729</v>
      </c>
      <c r="S606" s="3" t="s">
        <v>761</v>
      </c>
      <c r="T606" s="21">
        <v>209.25</v>
      </c>
      <c r="U606" s="21" t="str">
        <f t="shared" si="160"/>
        <v>Low</v>
      </c>
      <c r="V606">
        <f t="shared" si="147"/>
        <v>434.8</v>
      </c>
      <c r="W606" s="7">
        <v>434.8</v>
      </c>
      <c r="X606" s="8">
        <v>0</v>
      </c>
      <c r="Y606" s="14">
        <v>9</v>
      </c>
      <c r="Z606" s="7">
        <f t="shared" si="148"/>
        <v>0</v>
      </c>
      <c r="AA606" s="7">
        <f t="shared" si="149"/>
        <v>3913.2000000000003</v>
      </c>
      <c r="AB606" s="7">
        <f t="shared" si="150"/>
        <v>3913.2000000000003</v>
      </c>
      <c r="AC606" s="7">
        <f t="shared" si="151"/>
        <v>1883.25</v>
      </c>
      <c r="AD606" s="7">
        <f t="shared" si="152"/>
        <v>2029.9500000000003</v>
      </c>
      <c r="AE606" s="7">
        <f t="shared" si="153"/>
        <v>2029.9500000000003</v>
      </c>
      <c r="AF606" s="26">
        <f t="shared" si="154"/>
        <v>2.0778972520908008</v>
      </c>
      <c r="AG606" s="8">
        <f>IF(DASHBOARD!$Q$7&gt;'staging data'!X606,'staging data'!X606,DASHBOARD!$Q$7)</f>
        <v>0</v>
      </c>
      <c r="AH606">
        <f>(100%+DASHBOARD!$Q$8)*'staging data'!T606</f>
        <v>240.63749999999999</v>
      </c>
      <c r="AI606">
        <f>(100%+DASHBOARD!$Q$9)*'staging data'!Y606</f>
        <v>10.799999999999999</v>
      </c>
    </row>
    <row r="607" spans="1:35" x14ac:dyDescent="0.3">
      <c r="A607" s="3" t="s">
        <v>40</v>
      </c>
      <c r="B607" s="28">
        <v>45875</v>
      </c>
      <c r="C607" s="28" t="str">
        <f t="shared" si="155"/>
        <v>Q3</v>
      </c>
      <c r="D607" s="28" t="str">
        <f t="shared" si="156"/>
        <v>2024</v>
      </c>
      <c r="E607" s="28" t="str">
        <f t="shared" si="157"/>
        <v>Nov</v>
      </c>
      <c r="F607" s="5">
        <v>45626</v>
      </c>
      <c r="G607" s="5">
        <f t="shared" si="145"/>
        <v>45656</v>
      </c>
      <c r="H607" s="5">
        <v>45656</v>
      </c>
      <c r="I607" s="5" t="str">
        <f t="shared" si="158"/>
        <v>Achieved</v>
      </c>
      <c r="J607" s="14">
        <f t="shared" si="159"/>
        <v>30</v>
      </c>
      <c r="K607" s="14">
        <f t="shared" si="146"/>
        <v>30</v>
      </c>
      <c r="L607" s="3" t="s">
        <v>648</v>
      </c>
      <c r="M607" s="3" t="s">
        <v>656</v>
      </c>
      <c r="N607" s="3" t="s">
        <v>672</v>
      </c>
      <c r="O607" s="3" t="s">
        <v>703</v>
      </c>
      <c r="P607" s="3" t="s">
        <v>708</v>
      </c>
      <c r="Q607" s="3" t="s">
        <v>720</v>
      </c>
      <c r="R607" s="3" t="s">
        <v>727</v>
      </c>
      <c r="S607" s="3" t="s">
        <v>759</v>
      </c>
      <c r="T607" s="21">
        <v>117.64</v>
      </c>
      <c r="U607" s="21" t="str">
        <f t="shared" si="160"/>
        <v>Low</v>
      </c>
      <c r="V607">
        <f t="shared" si="147"/>
        <v>175.67</v>
      </c>
      <c r="W607" s="7">
        <v>175.67</v>
      </c>
      <c r="X607" s="8">
        <v>0</v>
      </c>
      <c r="Y607" s="14">
        <v>10</v>
      </c>
      <c r="Z607" s="7">
        <f t="shared" si="148"/>
        <v>0</v>
      </c>
      <c r="AA607" s="7">
        <f t="shared" si="149"/>
        <v>1756.6999999999998</v>
      </c>
      <c r="AB607" s="7">
        <f t="shared" si="150"/>
        <v>1756.6999999999998</v>
      </c>
      <c r="AC607" s="7">
        <f t="shared" si="151"/>
        <v>1176.4000000000001</v>
      </c>
      <c r="AD607" s="7">
        <f t="shared" si="152"/>
        <v>580.29999999999973</v>
      </c>
      <c r="AE607" s="7">
        <f t="shared" si="153"/>
        <v>580.29999999999973</v>
      </c>
      <c r="AF607" s="26">
        <f t="shared" si="154"/>
        <v>1.4932845970758242</v>
      </c>
      <c r="AG607" s="8">
        <f>IF(DASHBOARD!$Q$7&gt;'staging data'!X607,'staging data'!X607,DASHBOARD!$Q$7)</f>
        <v>0</v>
      </c>
      <c r="AH607">
        <f>(100%+DASHBOARD!$Q$8)*'staging data'!T607</f>
        <v>135.286</v>
      </c>
      <c r="AI607">
        <f>(100%+DASHBOARD!$Q$9)*'staging data'!Y607</f>
        <v>12</v>
      </c>
    </row>
    <row r="608" spans="1:35" x14ac:dyDescent="0.3">
      <c r="A608" s="3" t="s">
        <v>38</v>
      </c>
      <c r="B608" s="28">
        <v>45876</v>
      </c>
      <c r="C608" s="28" t="str">
        <f t="shared" si="155"/>
        <v>Q3</v>
      </c>
      <c r="D608" s="28" t="str">
        <f t="shared" si="156"/>
        <v>2023</v>
      </c>
      <c r="E608" s="28" t="str">
        <f t="shared" si="157"/>
        <v>Feb</v>
      </c>
      <c r="F608" s="5">
        <v>44964</v>
      </c>
      <c r="G608" s="5">
        <f t="shared" si="145"/>
        <v>44969</v>
      </c>
      <c r="H608" s="5">
        <v>44969</v>
      </c>
      <c r="I608" s="5" t="str">
        <f t="shared" si="158"/>
        <v>Not achieved</v>
      </c>
      <c r="J608" s="14">
        <f t="shared" si="159"/>
        <v>5</v>
      </c>
      <c r="K608" s="14">
        <f t="shared" si="146"/>
        <v>5</v>
      </c>
      <c r="L608" s="3" t="s">
        <v>647</v>
      </c>
      <c r="M608" s="3" t="s">
        <v>654</v>
      </c>
      <c r="N608" s="3" t="s">
        <v>669</v>
      </c>
      <c r="O608" s="3" t="s">
        <v>701</v>
      </c>
      <c r="P608" s="3" t="s">
        <v>707</v>
      </c>
      <c r="Q608" s="3" t="s">
        <v>724</v>
      </c>
      <c r="R608" s="3" t="s">
        <v>726</v>
      </c>
      <c r="S608" s="3" t="s">
        <v>757</v>
      </c>
      <c r="T608" s="21">
        <v>948.55</v>
      </c>
      <c r="U608" s="21" t="str">
        <f t="shared" si="160"/>
        <v>Medium</v>
      </c>
      <c r="V608">
        <f t="shared" si="147"/>
        <v>2089.16</v>
      </c>
      <c r="W608" s="7">
        <v>2089.16</v>
      </c>
      <c r="X608" s="8">
        <v>7.0000000000000001E-3</v>
      </c>
      <c r="Y608" s="14">
        <v>12</v>
      </c>
      <c r="Z608" s="7">
        <f t="shared" si="148"/>
        <v>14.62412</v>
      </c>
      <c r="AA608" s="7">
        <f t="shared" si="149"/>
        <v>24894.430559999997</v>
      </c>
      <c r="AB608" s="7">
        <f t="shared" si="150"/>
        <v>24879.806439999997</v>
      </c>
      <c r="AC608" s="7">
        <f t="shared" si="151"/>
        <v>11382.599999999999</v>
      </c>
      <c r="AD608" s="7">
        <f t="shared" si="152"/>
        <v>13511.830559999999</v>
      </c>
      <c r="AE608" s="7">
        <f t="shared" si="153"/>
        <v>13497.206439999998</v>
      </c>
      <c r="AF608" s="26">
        <f t="shared" si="154"/>
        <v>2.1870601233461597</v>
      </c>
      <c r="AG608" s="8">
        <f>IF(DASHBOARD!$Q$7&gt;'staging data'!X608,'staging data'!X608,DASHBOARD!$Q$7)</f>
        <v>7.0000000000000001E-3</v>
      </c>
      <c r="AH608">
        <f>(100%+DASHBOARD!$Q$8)*'staging data'!T608</f>
        <v>1090.8324999999998</v>
      </c>
      <c r="AI608">
        <f>(100%+DASHBOARD!$Q$9)*'staging data'!Y608</f>
        <v>14.399999999999999</v>
      </c>
    </row>
    <row r="609" spans="1:35" x14ac:dyDescent="0.3">
      <c r="A609" s="3" t="s">
        <v>39</v>
      </c>
      <c r="B609" s="28">
        <v>45876</v>
      </c>
      <c r="C609" s="28" t="str">
        <f t="shared" si="155"/>
        <v>Q3</v>
      </c>
      <c r="D609" s="28" t="str">
        <f t="shared" si="156"/>
        <v>2024</v>
      </c>
      <c r="E609" s="28" t="str">
        <f t="shared" si="157"/>
        <v>Jun</v>
      </c>
      <c r="F609" s="5">
        <v>45473</v>
      </c>
      <c r="G609" s="5">
        <f t="shared" si="145"/>
        <v>45487</v>
      </c>
      <c r="H609" s="5">
        <v>45487</v>
      </c>
      <c r="I609" s="5" t="str">
        <f t="shared" si="158"/>
        <v>Achieved</v>
      </c>
      <c r="J609" s="14">
        <f t="shared" si="159"/>
        <v>14</v>
      </c>
      <c r="K609" s="14">
        <f t="shared" si="146"/>
        <v>14</v>
      </c>
      <c r="L609" s="3" t="s">
        <v>647</v>
      </c>
      <c r="M609" s="3" t="s">
        <v>654</v>
      </c>
      <c r="N609" s="3" t="s">
        <v>671</v>
      </c>
      <c r="O609" s="3" t="s">
        <v>701</v>
      </c>
      <c r="P609" s="3" t="s">
        <v>706</v>
      </c>
      <c r="Q609" s="3" t="s">
        <v>711</v>
      </c>
      <c r="R609" s="3" t="s">
        <v>732</v>
      </c>
      <c r="S609" s="3" t="s">
        <v>758</v>
      </c>
      <c r="T609" s="21">
        <v>1491.85</v>
      </c>
      <c r="U609" s="21" t="str">
        <f t="shared" si="160"/>
        <v>High</v>
      </c>
      <c r="V609">
        <f t="shared" si="147"/>
        <v>2583.02</v>
      </c>
      <c r="W609" s="7">
        <v>2583.02</v>
      </c>
      <c r="X609" s="8">
        <v>0.16800000000000001</v>
      </c>
      <c r="Y609" s="14">
        <v>4</v>
      </c>
      <c r="Z609" s="7">
        <f t="shared" si="148"/>
        <v>433.94736</v>
      </c>
      <c r="AA609" s="7">
        <f t="shared" si="149"/>
        <v>8596.2905599999995</v>
      </c>
      <c r="AB609" s="7">
        <f t="shared" si="150"/>
        <v>8162.3431999999993</v>
      </c>
      <c r="AC609" s="7">
        <f t="shared" si="151"/>
        <v>5967.4</v>
      </c>
      <c r="AD609" s="7">
        <f t="shared" si="152"/>
        <v>2628.8905599999998</v>
      </c>
      <c r="AE609" s="7">
        <f t="shared" si="153"/>
        <v>2194.9431999999997</v>
      </c>
      <c r="AF609" s="26">
        <f t="shared" si="154"/>
        <v>1.4405420384086871</v>
      </c>
      <c r="AG609" s="8">
        <f>IF(DASHBOARD!$Q$7&gt;'staging data'!X609,'staging data'!X609,DASHBOARD!$Q$7)</f>
        <v>0.16800000000000001</v>
      </c>
      <c r="AH609">
        <f>(100%+DASHBOARD!$Q$8)*'staging data'!T609</f>
        <v>1715.6274999999998</v>
      </c>
      <c r="AI609">
        <f>(100%+DASHBOARD!$Q$9)*'staging data'!Y609</f>
        <v>4.8</v>
      </c>
    </row>
    <row r="610" spans="1:35" x14ac:dyDescent="0.3">
      <c r="A610" s="3" t="s">
        <v>37</v>
      </c>
      <c r="B610" s="28">
        <v>45879</v>
      </c>
      <c r="C610" s="28" t="str">
        <f t="shared" si="155"/>
        <v>Q3</v>
      </c>
      <c r="D610" s="28" t="str">
        <f t="shared" si="156"/>
        <v>2024</v>
      </c>
      <c r="E610" s="28" t="str">
        <f t="shared" si="157"/>
        <v>May</v>
      </c>
      <c r="F610" s="5">
        <v>45430</v>
      </c>
      <c r="G610" s="5">
        <f t="shared" si="145"/>
        <v>45435</v>
      </c>
      <c r="H610" s="5">
        <v>45435</v>
      </c>
      <c r="I610" s="5" t="str">
        <f t="shared" si="158"/>
        <v>Not achieved</v>
      </c>
      <c r="J610" s="14">
        <f t="shared" si="159"/>
        <v>5</v>
      </c>
      <c r="K610" s="14">
        <f t="shared" si="146"/>
        <v>5</v>
      </c>
      <c r="L610" s="3" t="s">
        <v>647</v>
      </c>
      <c r="M610" s="3" t="s">
        <v>659</v>
      </c>
      <c r="N610" s="3" t="s">
        <v>676</v>
      </c>
      <c r="O610" s="3" t="s">
        <v>705</v>
      </c>
      <c r="P610" s="3" t="s">
        <v>706</v>
      </c>
      <c r="Q610" s="3" t="s">
        <v>721</v>
      </c>
      <c r="R610" s="3" t="s">
        <v>730</v>
      </c>
      <c r="S610" s="3" t="s">
        <v>756</v>
      </c>
      <c r="T610" s="21">
        <v>1274.5899999999999</v>
      </c>
      <c r="U610" s="21" t="str">
        <f t="shared" si="160"/>
        <v>High</v>
      </c>
      <c r="V610">
        <f t="shared" si="147"/>
        <v>2553.69</v>
      </c>
      <c r="W610" s="7">
        <v>2553.69</v>
      </c>
      <c r="X610" s="8">
        <v>0.01</v>
      </c>
      <c r="Y610" s="14">
        <v>8</v>
      </c>
      <c r="Z610" s="7">
        <f t="shared" si="148"/>
        <v>25.536900000000003</v>
      </c>
      <c r="AA610" s="7">
        <f t="shared" si="149"/>
        <v>20225.2248</v>
      </c>
      <c r="AB610" s="7">
        <f t="shared" si="150"/>
        <v>20199.687900000001</v>
      </c>
      <c r="AC610" s="7">
        <f t="shared" si="151"/>
        <v>10196.719999999999</v>
      </c>
      <c r="AD610" s="7">
        <f t="shared" si="152"/>
        <v>10028.504800000001</v>
      </c>
      <c r="AE610" s="7">
        <f t="shared" si="153"/>
        <v>10002.967900000001</v>
      </c>
      <c r="AF610" s="26">
        <f t="shared" si="154"/>
        <v>1.9835030088106764</v>
      </c>
      <c r="AG610" s="8">
        <f>IF(DASHBOARD!$Q$7&gt;'staging data'!X610,'staging data'!X610,DASHBOARD!$Q$7)</f>
        <v>0.01</v>
      </c>
      <c r="AH610">
        <f>(100%+DASHBOARD!$Q$8)*'staging data'!T610</f>
        <v>1465.7784999999999</v>
      </c>
      <c r="AI610">
        <f>(100%+DASHBOARD!$Q$9)*'staging data'!Y610</f>
        <v>9.6</v>
      </c>
    </row>
    <row r="611" spans="1:35" x14ac:dyDescent="0.3">
      <c r="A611" s="3" t="s">
        <v>36</v>
      </c>
      <c r="B611" s="28">
        <v>45880</v>
      </c>
      <c r="C611" s="28" t="str">
        <f t="shared" si="155"/>
        <v>Q3</v>
      </c>
      <c r="D611" s="28" t="str">
        <f t="shared" si="156"/>
        <v>2025</v>
      </c>
      <c r="E611" s="28" t="str">
        <f t="shared" si="157"/>
        <v>Jun</v>
      </c>
      <c r="F611" s="5">
        <v>45822</v>
      </c>
      <c r="G611" s="5">
        <f t="shared" si="145"/>
        <v>45837</v>
      </c>
      <c r="H611" s="5">
        <v>45837</v>
      </c>
      <c r="I611" s="5" t="str">
        <f t="shared" si="158"/>
        <v>Achieved</v>
      </c>
      <c r="J611" s="14">
        <f t="shared" si="159"/>
        <v>15</v>
      </c>
      <c r="K611" s="14">
        <f t="shared" si="146"/>
        <v>15</v>
      </c>
      <c r="L611" s="3" t="s">
        <v>645</v>
      </c>
      <c r="M611" s="3" t="s">
        <v>650</v>
      </c>
      <c r="N611" s="3" t="s">
        <v>662</v>
      </c>
      <c r="O611" s="3" t="s">
        <v>703</v>
      </c>
      <c r="P611" s="3" t="s">
        <v>708</v>
      </c>
      <c r="Q611" s="3" t="s">
        <v>723</v>
      </c>
      <c r="R611" s="3" t="s">
        <v>732</v>
      </c>
      <c r="S611" s="3" t="s">
        <v>755</v>
      </c>
      <c r="T611" s="21">
        <v>730.99</v>
      </c>
      <c r="U611" s="21" t="str">
        <f t="shared" si="160"/>
        <v>Medium</v>
      </c>
      <c r="V611">
        <f t="shared" si="147"/>
        <v>1242.8399999999999</v>
      </c>
      <c r="W611" s="7">
        <v>1242.8399999999999</v>
      </c>
      <c r="X611" s="8">
        <v>0.12</v>
      </c>
      <c r="Y611" s="14">
        <v>10</v>
      </c>
      <c r="Z611" s="7">
        <f t="shared" si="148"/>
        <v>149.14079999999998</v>
      </c>
      <c r="AA611" s="7">
        <f t="shared" si="149"/>
        <v>10936.992</v>
      </c>
      <c r="AB611" s="7">
        <f t="shared" si="150"/>
        <v>10787.851200000001</v>
      </c>
      <c r="AC611" s="7">
        <f t="shared" si="151"/>
        <v>7309.9</v>
      </c>
      <c r="AD611" s="7">
        <f t="shared" si="152"/>
        <v>3627.0920000000006</v>
      </c>
      <c r="AE611" s="7">
        <f t="shared" si="153"/>
        <v>3477.9512000000013</v>
      </c>
      <c r="AF611" s="26">
        <f t="shared" si="154"/>
        <v>1.4961890039535426</v>
      </c>
      <c r="AG611" s="8">
        <f>IF(DASHBOARD!$Q$7&gt;'staging data'!X611,'staging data'!X611,DASHBOARD!$Q$7)</f>
        <v>0.12</v>
      </c>
      <c r="AH611">
        <f>(100%+DASHBOARD!$Q$8)*'staging data'!T611</f>
        <v>840.63849999999991</v>
      </c>
      <c r="AI611">
        <f>(100%+DASHBOARD!$Q$9)*'staging data'!Y611</f>
        <v>12</v>
      </c>
    </row>
    <row r="612" spans="1:35" x14ac:dyDescent="0.3">
      <c r="A612" s="3" t="s">
        <v>35</v>
      </c>
      <c r="B612" s="28">
        <v>45882</v>
      </c>
      <c r="C612" s="28" t="str">
        <f t="shared" si="155"/>
        <v>Q3</v>
      </c>
      <c r="D612" s="28" t="str">
        <f t="shared" si="156"/>
        <v>2023</v>
      </c>
      <c r="E612" s="28" t="str">
        <f t="shared" si="157"/>
        <v>May</v>
      </c>
      <c r="F612" s="5">
        <v>45057</v>
      </c>
      <c r="G612" s="5">
        <f t="shared" si="145"/>
        <v>45074</v>
      </c>
      <c r="H612" s="5">
        <v>45074</v>
      </c>
      <c r="I612" s="5" t="str">
        <f t="shared" si="158"/>
        <v>Achieved</v>
      </c>
      <c r="J612" s="14">
        <f t="shared" si="159"/>
        <v>17</v>
      </c>
      <c r="K612" s="14">
        <f t="shared" si="146"/>
        <v>17</v>
      </c>
      <c r="L612" s="3" t="s">
        <v>646</v>
      </c>
      <c r="M612" s="3" t="s">
        <v>658</v>
      </c>
      <c r="N612" s="3" t="s">
        <v>675</v>
      </c>
      <c r="O612" s="3" t="s">
        <v>705</v>
      </c>
      <c r="P612" s="3" t="s">
        <v>708</v>
      </c>
      <c r="Q612" s="3" t="s">
        <v>717</v>
      </c>
      <c r="R612" s="3" t="s">
        <v>728</v>
      </c>
      <c r="S612" s="3" t="s">
        <v>754</v>
      </c>
      <c r="T612" s="21">
        <v>1331.19</v>
      </c>
      <c r="U612" s="21" t="str">
        <f t="shared" si="160"/>
        <v>High</v>
      </c>
      <c r="V612">
        <f t="shared" si="147"/>
        <v>2903.09</v>
      </c>
      <c r="W612" s="7">
        <v>2903.09</v>
      </c>
      <c r="X612" s="8">
        <v>0.14299999999999999</v>
      </c>
      <c r="Y612" s="14">
        <v>8</v>
      </c>
      <c r="Z612" s="7">
        <f t="shared" si="148"/>
        <v>415.14186999999998</v>
      </c>
      <c r="AA612" s="7">
        <f t="shared" si="149"/>
        <v>19903.585040000002</v>
      </c>
      <c r="AB612" s="7">
        <f t="shared" si="150"/>
        <v>19488.443170000002</v>
      </c>
      <c r="AC612" s="7">
        <f t="shared" si="151"/>
        <v>10649.52</v>
      </c>
      <c r="AD612" s="7">
        <f t="shared" si="152"/>
        <v>9254.0650400000013</v>
      </c>
      <c r="AE612" s="7">
        <f t="shared" si="153"/>
        <v>8838.9231700000018</v>
      </c>
      <c r="AF612" s="26">
        <f t="shared" si="154"/>
        <v>1.868965459476108</v>
      </c>
      <c r="AG612" s="8">
        <f>IF(DASHBOARD!$Q$7&gt;'staging data'!X612,'staging data'!X612,DASHBOARD!$Q$7)</f>
        <v>0.14299999999999999</v>
      </c>
      <c r="AH612">
        <f>(100%+DASHBOARD!$Q$8)*'staging data'!T612</f>
        <v>1530.8685</v>
      </c>
      <c r="AI612">
        <f>(100%+DASHBOARD!$Q$9)*'staging data'!Y612</f>
        <v>9.6</v>
      </c>
    </row>
    <row r="613" spans="1:35" x14ac:dyDescent="0.3">
      <c r="A613" s="3" t="s">
        <v>34</v>
      </c>
      <c r="B613" s="28">
        <v>45883</v>
      </c>
      <c r="C613" s="28" t="str">
        <f t="shared" si="155"/>
        <v>Q3</v>
      </c>
      <c r="D613" s="28" t="str">
        <f t="shared" si="156"/>
        <v>2024</v>
      </c>
      <c r="E613" s="28" t="str">
        <f t="shared" si="157"/>
        <v>Jul</v>
      </c>
      <c r="F613" s="5">
        <v>45498</v>
      </c>
      <c r="G613" s="5">
        <f t="shared" si="145"/>
        <v>45498</v>
      </c>
      <c r="H613" s="5">
        <v>45497</v>
      </c>
      <c r="I613" s="5" t="str">
        <f t="shared" si="158"/>
        <v>Not achieved</v>
      </c>
      <c r="J613" s="14">
        <f t="shared" si="159"/>
        <v>0</v>
      </c>
      <c r="K613" s="14">
        <f t="shared" si="146"/>
        <v>-1</v>
      </c>
      <c r="L613" s="3" t="s">
        <v>645</v>
      </c>
      <c r="M613" s="3" t="s">
        <v>649</v>
      </c>
      <c r="N613" s="3" t="s">
        <v>674</v>
      </c>
      <c r="O613" s="3" t="s">
        <v>702</v>
      </c>
      <c r="P613" s="3" t="s">
        <v>710</v>
      </c>
      <c r="Q613" s="3" t="s">
        <v>712</v>
      </c>
      <c r="R613" s="3" t="s">
        <v>730</v>
      </c>
      <c r="S613" s="3" t="s">
        <v>753</v>
      </c>
      <c r="T613" s="21">
        <v>1494.4</v>
      </c>
      <c r="U613" s="21" t="str">
        <f t="shared" si="160"/>
        <v>High</v>
      </c>
      <c r="V613">
        <f t="shared" si="147"/>
        <v>3661.07</v>
      </c>
      <c r="W613" s="7">
        <v>3661.07</v>
      </c>
      <c r="X613" s="8">
        <v>7.1999999999999995E-2</v>
      </c>
      <c r="Y613" s="14">
        <v>7</v>
      </c>
      <c r="Z613" s="7">
        <f t="shared" si="148"/>
        <v>263.59703999999999</v>
      </c>
      <c r="AA613" s="7">
        <f t="shared" si="149"/>
        <v>23782.310720000001</v>
      </c>
      <c r="AB613" s="7">
        <f t="shared" si="150"/>
        <v>23518.713680000001</v>
      </c>
      <c r="AC613" s="7">
        <f t="shared" si="151"/>
        <v>10460.800000000001</v>
      </c>
      <c r="AD613" s="7">
        <f t="shared" si="152"/>
        <v>13321.51072</v>
      </c>
      <c r="AE613" s="7">
        <f t="shared" si="153"/>
        <v>13057.91368</v>
      </c>
      <c r="AF613" s="26">
        <f t="shared" si="154"/>
        <v>2.2734695931477513</v>
      </c>
      <c r="AG613" s="8">
        <f>IF(DASHBOARD!$Q$7&gt;'staging data'!X613,'staging data'!X613,DASHBOARD!$Q$7)</f>
        <v>7.1999999999999995E-2</v>
      </c>
      <c r="AH613">
        <f>(100%+DASHBOARD!$Q$8)*'staging data'!T613</f>
        <v>1718.56</v>
      </c>
      <c r="AI613">
        <f>(100%+DASHBOARD!$Q$9)*'staging data'!Y613</f>
        <v>8.4</v>
      </c>
    </row>
    <row r="614" spans="1:35" x14ac:dyDescent="0.3">
      <c r="A614" s="3" t="s">
        <v>33</v>
      </c>
      <c r="B614" s="28">
        <v>45889</v>
      </c>
      <c r="C614" s="28" t="str">
        <f t="shared" si="155"/>
        <v>Q3</v>
      </c>
      <c r="D614" s="28" t="str">
        <f t="shared" si="156"/>
        <v>2025</v>
      </c>
      <c r="E614" s="28" t="str">
        <f t="shared" si="157"/>
        <v>May</v>
      </c>
      <c r="F614" s="5">
        <v>45798</v>
      </c>
      <c r="G614" s="5">
        <f t="shared" si="145"/>
        <v>45798</v>
      </c>
      <c r="H614" s="5">
        <v>45796</v>
      </c>
      <c r="I614" s="5" t="str">
        <f t="shared" si="158"/>
        <v>Not achieved</v>
      </c>
      <c r="J614" s="14">
        <f t="shared" si="159"/>
        <v>0</v>
      </c>
      <c r="K614" s="14">
        <f t="shared" si="146"/>
        <v>-2</v>
      </c>
      <c r="L614" s="3" t="s">
        <v>648</v>
      </c>
      <c r="M614" s="3" t="s">
        <v>657</v>
      </c>
      <c r="N614" s="3" t="s">
        <v>673</v>
      </c>
      <c r="O614" s="3" t="s">
        <v>705</v>
      </c>
      <c r="P614" s="3" t="s">
        <v>707</v>
      </c>
      <c r="Q614" s="3" t="s">
        <v>723</v>
      </c>
      <c r="R614" s="3" t="s">
        <v>730</v>
      </c>
      <c r="S614" s="3" t="s">
        <v>752</v>
      </c>
      <c r="T614" s="21">
        <v>1015.16</v>
      </c>
      <c r="U614" s="21" t="str">
        <f t="shared" si="160"/>
        <v>High</v>
      </c>
      <c r="V614">
        <f t="shared" si="147"/>
        <v>2148.14</v>
      </c>
      <c r="W614" s="7">
        <v>2148.14</v>
      </c>
      <c r="X614" s="8">
        <v>3.7999999999999999E-2</v>
      </c>
      <c r="Y614" s="14">
        <v>19</v>
      </c>
      <c r="Z614" s="7">
        <f t="shared" si="148"/>
        <v>81.629319999999993</v>
      </c>
      <c r="AA614" s="7">
        <f t="shared" si="149"/>
        <v>39263.702919999996</v>
      </c>
      <c r="AB614" s="7">
        <f t="shared" si="150"/>
        <v>39182.073599999996</v>
      </c>
      <c r="AC614" s="7">
        <f t="shared" si="151"/>
        <v>19288.04</v>
      </c>
      <c r="AD614" s="7">
        <f t="shared" si="152"/>
        <v>19975.662919999995</v>
      </c>
      <c r="AE614" s="7">
        <f t="shared" si="153"/>
        <v>19894.033599999995</v>
      </c>
      <c r="AF614" s="26">
        <f t="shared" si="154"/>
        <v>2.0356502226250046</v>
      </c>
      <c r="AG614" s="8">
        <f>IF(DASHBOARD!$Q$7&gt;'staging data'!X614,'staging data'!X614,DASHBOARD!$Q$7)</f>
        <v>3.7999999999999999E-2</v>
      </c>
      <c r="AH614">
        <f>(100%+DASHBOARD!$Q$8)*'staging data'!T614</f>
        <v>1167.434</v>
      </c>
      <c r="AI614">
        <f>(100%+DASHBOARD!$Q$9)*'staging data'!Y614</f>
        <v>22.8</v>
      </c>
    </row>
    <row r="615" spans="1:35" x14ac:dyDescent="0.3">
      <c r="A615" s="3" t="s">
        <v>31</v>
      </c>
      <c r="B615" s="28">
        <v>45890</v>
      </c>
      <c r="C615" s="28" t="str">
        <f t="shared" si="155"/>
        <v>Q3</v>
      </c>
      <c r="D615" s="28" t="str">
        <f t="shared" si="156"/>
        <v>2025</v>
      </c>
      <c r="E615" s="28" t="str">
        <f t="shared" si="157"/>
        <v>Sept</v>
      </c>
      <c r="F615" s="5">
        <v>45908</v>
      </c>
      <c r="G615" s="5">
        <f t="shared" si="145"/>
        <v>45916</v>
      </c>
      <c r="H615" s="5">
        <v>45916</v>
      </c>
      <c r="I615" s="5" t="str">
        <f t="shared" si="158"/>
        <v>Achieved</v>
      </c>
      <c r="J615" s="14">
        <f t="shared" si="159"/>
        <v>8</v>
      </c>
      <c r="K615" s="14">
        <f t="shared" si="146"/>
        <v>8</v>
      </c>
      <c r="L615" s="3" t="s">
        <v>646</v>
      </c>
      <c r="M615" s="3" t="s">
        <v>651</v>
      </c>
      <c r="N615" s="3" t="s">
        <v>665</v>
      </c>
      <c r="O615" s="3" t="s">
        <v>700</v>
      </c>
      <c r="P615" s="3" t="s">
        <v>709</v>
      </c>
      <c r="Q615" s="3" t="s">
        <v>711</v>
      </c>
      <c r="R615" s="3" t="s">
        <v>729</v>
      </c>
      <c r="S615" s="3" t="s">
        <v>750</v>
      </c>
      <c r="T615" s="21">
        <v>1225.57</v>
      </c>
      <c r="U615" s="21" t="str">
        <f t="shared" si="160"/>
        <v>High</v>
      </c>
      <c r="V615">
        <f t="shared" si="147"/>
        <v>2705.57</v>
      </c>
      <c r="W615" s="7">
        <v>2705.57</v>
      </c>
      <c r="X615" s="8">
        <v>0.183</v>
      </c>
      <c r="Y615" s="14">
        <v>16</v>
      </c>
      <c r="Z615" s="7">
        <f t="shared" si="148"/>
        <v>495.11931000000004</v>
      </c>
      <c r="AA615" s="7">
        <f t="shared" si="149"/>
        <v>35367.211040000002</v>
      </c>
      <c r="AB615" s="7">
        <f t="shared" si="150"/>
        <v>34872.09173</v>
      </c>
      <c r="AC615" s="7">
        <f t="shared" si="151"/>
        <v>19609.12</v>
      </c>
      <c r="AD615" s="7">
        <f t="shared" si="152"/>
        <v>15758.091040000003</v>
      </c>
      <c r="AE615" s="7">
        <f t="shared" si="153"/>
        <v>15262.971730000001</v>
      </c>
      <c r="AF615" s="26">
        <f t="shared" si="154"/>
        <v>1.8036103119364868</v>
      </c>
      <c r="AG615" s="8">
        <f>IF(DASHBOARD!$Q$7&gt;'staging data'!X615,'staging data'!X615,DASHBOARD!$Q$7)</f>
        <v>0.183</v>
      </c>
      <c r="AH615">
        <f>(100%+DASHBOARD!$Q$8)*'staging data'!T615</f>
        <v>1409.4054999999998</v>
      </c>
      <c r="AI615">
        <f>(100%+DASHBOARD!$Q$9)*'staging data'!Y615</f>
        <v>19.2</v>
      </c>
    </row>
    <row r="616" spans="1:35" x14ac:dyDescent="0.3">
      <c r="A616" s="3" t="s">
        <v>32</v>
      </c>
      <c r="B616" s="28">
        <v>45890</v>
      </c>
      <c r="C616" s="28" t="str">
        <f t="shared" si="155"/>
        <v>Q3</v>
      </c>
      <c r="D616" s="28" t="str">
        <f t="shared" si="156"/>
        <v>2025</v>
      </c>
      <c r="E616" s="28" t="str">
        <f t="shared" si="157"/>
        <v>Jul</v>
      </c>
      <c r="F616" s="5">
        <v>45858</v>
      </c>
      <c r="G616" s="5">
        <f t="shared" si="145"/>
        <v>45874</v>
      </c>
      <c r="H616" s="5">
        <v>45874</v>
      </c>
      <c r="I616" s="5" t="str">
        <f t="shared" si="158"/>
        <v>Achieved</v>
      </c>
      <c r="J616" s="14">
        <f t="shared" si="159"/>
        <v>16</v>
      </c>
      <c r="K616" s="14">
        <f t="shared" si="146"/>
        <v>16</v>
      </c>
      <c r="L616" s="3" t="s">
        <v>647</v>
      </c>
      <c r="M616" s="3" t="s">
        <v>654</v>
      </c>
      <c r="N616" s="3" t="s">
        <v>671</v>
      </c>
      <c r="O616" s="3" t="s">
        <v>705</v>
      </c>
      <c r="P616" s="3" t="s">
        <v>708</v>
      </c>
      <c r="Q616" s="3" t="s">
        <v>714</v>
      </c>
      <c r="R616" s="3" t="s">
        <v>732</v>
      </c>
      <c r="S616" s="3" t="s">
        <v>751</v>
      </c>
      <c r="T616" s="21">
        <v>1068.17</v>
      </c>
      <c r="U616" s="21" t="str">
        <f t="shared" si="160"/>
        <v>High</v>
      </c>
      <c r="V616">
        <f t="shared" si="147"/>
        <v>2375.37</v>
      </c>
      <c r="W616" s="7">
        <v>2375.37</v>
      </c>
      <c r="X616" s="8">
        <v>0.109</v>
      </c>
      <c r="Y616" s="14">
        <v>18</v>
      </c>
      <c r="Z616" s="7">
        <f t="shared" si="148"/>
        <v>258.91532999999998</v>
      </c>
      <c r="AA616" s="7">
        <f t="shared" si="149"/>
        <v>38096.18406</v>
      </c>
      <c r="AB616" s="7">
        <f t="shared" si="150"/>
        <v>37837.268729999996</v>
      </c>
      <c r="AC616" s="7">
        <f t="shared" si="151"/>
        <v>19227.060000000001</v>
      </c>
      <c r="AD616" s="7">
        <f t="shared" si="152"/>
        <v>18869.124059999998</v>
      </c>
      <c r="AE616" s="7">
        <f t="shared" si="153"/>
        <v>18610.208729999995</v>
      </c>
      <c r="AF616" s="26">
        <f t="shared" si="154"/>
        <v>1.9813837404158512</v>
      </c>
      <c r="AG616" s="8">
        <f>IF(DASHBOARD!$Q$7&gt;'staging data'!X616,'staging data'!X616,DASHBOARD!$Q$7)</f>
        <v>0.109</v>
      </c>
      <c r="AH616">
        <f>(100%+DASHBOARD!$Q$8)*'staging data'!T616</f>
        <v>1228.3955000000001</v>
      </c>
      <c r="AI616">
        <f>(100%+DASHBOARD!$Q$9)*'staging data'!Y616</f>
        <v>21.599999999999998</v>
      </c>
    </row>
    <row r="617" spans="1:35" x14ac:dyDescent="0.3">
      <c r="A617" s="3" t="s">
        <v>30</v>
      </c>
      <c r="B617" s="28">
        <v>45894</v>
      </c>
      <c r="C617" s="28" t="str">
        <f t="shared" si="155"/>
        <v>Q3</v>
      </c>
      <c r="D617" s="28" t="str">
        <f t="shared" si="156"/>
        <v>2024</v>
      </c>
      <c r="E617" s="28" t="str">
        <f t="shared" si="157"/>
        <v>Dec</v>
      </c>
      <c r="F617" s="5">
        <v>45636</v>
      </c>
      <c r="G617" s="5">
        <f t="shared" si="145"/>
        <v>45665</v>
      </c>
      <c r="H617" s="5">
        <v>45665</v>
      </c>
      <c r="I617" s="5" t="str">
        <f t="shared" si="158"/>
        <v>Achieved</v>
      </c>
      <c r="J617" s="14">
        <f t="shared" si="159"/>
        <v>29</v>
      </c>
      <c r="K617" s="14">
        <f t="shared" si="146"/>
        <v>29</v>
      </c>
      <c r="L617" s="3" t="s">
        <v>648</v>
      </c>
      <c r="M617" s="3" t="s">
        <v>656</v>
      </c>
      <c r="N617" s="3" t="s">
        <v>672</v>
      </c>
      <c r="O617" s="3" t="s">
        <v>704</v>
      </c>
      <c r="P617" s="3" t="s">
        <v>706</v>
      </c>
      <c r="Q617" s="3" t="s">
        <v>722</v>
      </c>
      <c r="R617" s="3" t="s">
        <v>727</v>
      </c>
      <c r="S617" s="3" t="s">
        <v>749</v>
      </c>
      <c r="T617" s="21">
        <v>891.08</v>
      </c>
      <c r="U617" s="21" t="str">
        <f t="shared" si="160"/>
        <v>High</v>
      </c>
      <c r="V617">
        <f t="shared" si="147"/>
        <v>1040.0999999999999</v>
      </c>
      <c r="W617" s="7">
        <v>1040.0999999999999</v>
      </c>
      <c r="X617" s="8">
        <v>0.109</v>
      </c>
      <c r="Y617" s="14">
        <v>28</v>
      </c>
      <c r="Z617" s="7">
        <f t="shared" si="148"/>
        <v>113.37089999999999</v>
      </c>
      <c r="AA617" s="7">
        <f t="shared" si="149"/>
        <v>25948.414799999995</v>
      </c>
      <c r="AB617" s="7">
        <f t="shared" si="150"/>
        <v>25835.043899999993</v>
      </c>
      <c r="AC617" s="7">
        <f t="shared" si="151"/>
        <v>24950.240000000002</v>
      </c>
      <c r="AD617" s="7">
        <f t="shared" si="152"/>
        <v>998.17479999999341</v>
      </c>
      <c r="AE617" s="7">
        <f t="shared" si="153"/>
        <v>884.8038999999917</v>
      </c>
      <c r="AF617" s="26">
        <f t="shared" si="154"/>
        <v>1.0400066211787939</v>
      </c>
      <c r="AG617" s="8">
        <f>IF(DASHBOARD!$Q$7&gt;'staging data'!X617,'staging data'!X617,DASHBOARD!$Q$7)</f>
        <v>0.109</v>
      </c>
      <c r="AH617">
        <f>(100%+DASHBOARD!$Q$8)*'staging data'!T617</f>
        <v>1024.742</v>
      </c>
      <c r="AI617">
        <f>(100%+DASHBOARD!$Q$9)*'staging data'!Y617</f>
        <v>33.6</v>
      </c>
    </row>
    <row r="618" spans="1:35" x14ac:dyDescent="0.3">
      <c r="A618" s="3" t="s">
        <v>28</v>
      </c>
      <c r="B618" s="28">
        <v>45897</v>
      </c>
      <c r="C618" s="28" t="str">
        <f t="shared" si="155"/>
        <v>Q3</v>
      </c>
      <c r="D618" s="28" t="str">
        <f t="shared" si="156"/>
        <v>2025</v>
      </c>
      <c r="E618" s="28" t="str">
        <f t="shared" si="157"/>
        <v>Sept</v>
      </c>
      <c r="F618" s="5">
        <v>45901</v>
      </c>
      <c r="G618" s="5">
        <f t="shared" si="145"/>
        <v>45930</v>
      </c>
      <c r="H618" s="5">
        <v>45930</v>
      </c>
      <c r="I618" s="5" t="str">
        <f t="shared" si="158"/>
        <v>Achieved</v>
      </c>
      <c r="J618" s="14">
        <f t="shared" si="159"/>
        <v>29</v>
      </c>
      <c r="K618" s="14">
        <f t="shared" si="146"/>
        <v>29</v>
      </c>
      <c r="L618" s="3" t="s">
        <v>647</v>
      </c>
      <c r="M618" s="3" t="s">
        <v>654</v>
      </c>
      <c r="N618" s="3" t="s">
        <v>671</v>
      </c>
      <c r="O618" s="3" t="s">
        <v>701</v>
      </c>
      <c r="P618" s="3" t="s">
        <v>706</v>
      </c>
      <c r="Q618" s="3" t="s">
        <v>722</v>
      </c>
      <c r="R618" s="3" t="s">
        <v>732</v>
      </c>
      <c r="S618" s="3" t="s">
        <v>747</v>
      </c>
      <c r="T618" s="21">
        <v>780.59</v>
      </c>
      <c r="U618" s="21" t="str">
        <f t="shared" si="160"/>
        <v>Medium</v>
      </c>
      <c r="V618">
        <f t="shared" si="147"/>
        <v>631.57000000000005</v>
      </c>
      <c r="W618" s="7">
        <v>631.57000000000005</v>
      </c>
      <c r="X618" s="8">
        <v>0</v>
      </c>
      <c r="Y618" s="14">
        <v>12</v>
      </c>
      <c r="Z618" s="7">
        <f t="shared" si="148"/>
        <v>0</v>
      </c>
      <c r="AA618" s="7">
        <f t="shared" si="149"/>
        <v>7578.84</v>
      </c>
      <c r="AB618" s="7">
        <f t="shared" si="150"/>
        <v>7578.84</v>
      </c>
      <c r="AC618" s="7">
        <f t="shared" si="151"/>
        <v>9367.08</v>
      </c>
      <c r="AD618" s="7">
        <f t="shared" si="152"/>
        <v>-1788.2399999999998</v>
      </c>
      <c r="AE618" s="7">
        <f t="shared" si="153"/>
        <v>-1788.2399999999998</v>
      </c>
      <c r="AF618" s="26">
        <f t="shared" si="154"/>
        <v>0.80909312186935523</v>
      </c>
      <c r="AG618" s="8">
        <f>IF(DASHBOARD!$Q$7&gt;'staging data'!X618,'staging data'!X618,DASHBOARD!$Q$7)</f>
        <v>0</v>
      </c>
      <c r="AH618">
        <f>(100%+DASHBOARD!$Q$8)*'staging data'!T618</f>
        <v>897.67849999999999</v>
      </c>
      <c r="AI618">
        <f>(100%+DASHBOARD!$Q$9)*'staging data'!Y618</f>
        <v>14.399999999999999</v>
      </c>
    </row>
    <row r="619" spans="1:35" x14ac:dyDescent="0.3">
      <c r="A619" s="3" t="s">
        <v>29</v>
      </c>
      <c r="B619" s="28">
        <v>45897</v>
      </c>
      <c r="C619" s="28" t="str">
        <f t="shared" si="155"/>
        <v>Q3</v>
      </c>
      <c r="D619" s="28" t="str">
        <f t="shared" si="156"/>
        <v>2023</v>
      </c>
      <c r="E619" s="28" t="str">
        <f t="shared" si="157"/>
        <v>Apr</v>
      </c>
      <c r="F619" s="5">
        <v>45039</v>
      </c>
      <c r="G619" s="5">
        <f t="shared" si="145"/>
        <v>45039</v>
      </c>
      <c r="H619" s="5">
        <v>45038</v>
      </c>
      <c r="I619" s="5" t="str">
        <f t="shared" si="158"/>
        <v>Not achieved</v>
      </c>
      <c r="J619" s="14">
        <f t="shared" si="159"/>
        <v>0</v>
      </c>
      <c r="K619" s="14">
        <f t="shared" si="146"/>
        <v>-1</v>
      </c>
      <c r="L619" s="3" t="s">
        <v>645</v>
      </c>
      <c r="M619" s="3" t="s">
        <v>649</v>
      </c>
      <c r="N619" s="3" t="s">
        <v>663</v>
      </c>
      <c r="O619" s="3" t="s">
        <v>704</v>
      </c>
      <c r="P619" s="3" t="s">
        <v>710</v>
      </c>
      <c r="Q619" s="3" t="s">
        <v>717</v>
      </c>
      <c r="R619" s="3" t="s">
        <v>730</v>
      </c>
      <c r="S619" s="3" t="s">
        <v>748</v>
      </c>
      <c r="T619" s="21">
        <v>756.51</v>
      </c>
      <c r="U619" s="21" t="str">
        <f t="shared" si="160"/>
        <v>High</v>
      </c>
      <c r="V619">
        <f t="shared" si="147"/>
        <v>850.8</v>
      </c>
      <c r="W619" s="7">
        <v>850.8</v>
      </c>
      <c r="X619" s="8">
        <v>7.3999999999999996E-2</v>
      </c>
      <c r="Y619" s="14">
        <v>9</v>
      </c>
      <c r="Z619" s="7">
        <f t="shared" si="148"/>
        <v>62.959199999999996</v>
      </c>
      <c r="AA619" s="7">
        <f t="shared" si="149"/>
        <v>7090.5672000000004</v>
      </c>
      <c r="AB619" s="7">
        <f t="shared" si="150"/>
        <v>7027.6080000000002</v>
      </c>
      <c r="AC619" s="7">
        <f t="shared" si="151"/>
        <v>6808.59</v>
      </c>
      <c r="AD619" s="7">
        <f t="shared" si="152"/>
        <v>281.97720000000027</v>
      </c>
      <c r="AE619" s="7">
        <f t="shared" si="153"/>
        <v>219.01800000000003</v>
      </c>
      <c r="AF619" s="26">
        <f t="shared" si="154"/>
        <v>1.0414149185073562</v>
      </c>
      <c r="AG619" s="8">
        <f>IF(DASHBOARD!$Q$7&gt;'staging data'!X619,'staging data'!X619,DASHBOARD!$Q$7)</f>
        <v>7.3999999999999996E-2</v>
      </c>
      <c r="AH619">
        <f>(100%+DASHBOARD!$Q$8)*'staging data'!T619</f>
        <v>869.98649999999998</v>
      </c>
      <c r="AI619">
        <f>(100%+DASHBOARD!$Q$9)*'staging data'!Y619</f>
        <v>10.799999999999999</v>
      </c>
    </row>
    <row r="620" spans="1:35" x14ac:dyDescent="0.3">
      <c r="A620" s="3" t="s">
        <v>26</v>
      </c>
      <c r="B620" s="28">
        <v>45899</v>
      </c>
      <c r="C620" s="28" t="str">
        <f t="shared" si="155"/>
        <v>Q3</v>
      </c>
      <c r="D620" s="28" t="str">
        <f t="shared" si="156"/>
        <v>2025</v>
      </c>
      <c r="E620" s="28" t="str">
        <f t="shared" si="157"/>
        <v>Mar</v>
      </c>
      <c r="F620" s="5">
        <v>45722</v>
      </c>
      <c r="G620" s="5">
        <f t="shared" si="145"/>
        <v>45747</v>
      </c>
      <c r="H620" s="5">
        <v>45747</v>
      </c>
      <c r="I620" s="5" t="str">
        <f t="shared" si="158"/>
        <v>Achieved</v>
      </c>
      <c r="J620" s="14">
        <f t="shared" si="159"/>
        <v>25</v>
      </c>
      <c r="K620" s="14">
        <f t="shared" si="146"/>
        <v>25</v>
      </c>
      <c r="L620" s="3" t="s">
        <v>647</v>
      </c>
      <c r="M620" s="3" t="s">
        <v>654</v>
      </c>
      <c r="N620" s="3" t="s">
        <v>671</v>
      </c>
      <c r="O620" s="3" t="s">
        <v>702</v>
      </c>
      <c r="P620" s="3" t="s">
        <v>707</v>
      </c>
      <c r="Q620" s="3" t="s">
        <v>712</v>
      </c>
      <c r="R620" s="3" t="s">
        <v>726</v>
      </c>
      <c r="S620" s="3" t="s">
        <v>745</v>
      </c>
      <c r="T620" s="21">
        <v>331.57</v>
      </c>
      <c r="U620" s="21" t="str">
        <f t="shared" si="160"/>
        <v>Low</v>
      </c>
      <c r="V620">
        <f t="shared" si="147"/>
        <v>548.4</v>
      </c>
      <c r="W620" s="7">
        <v>548.4</v>
      </c>
      <c r="X620" s="8">
        <v>9.4E-2</v>
      </c>
      <c r="Y620" s="14">
        <v>10</v>
      </c>
      <c r="Z620" s="7">
        <f t="shared" si="148"/>
        <v>51.549599999999998</v>
      </c>
      <c r="AA620" s="7">
        <f t="shared" si="149"/>
        <v>4968.5039999999999</v>
      </c>
      <c r="AB620" s="7">
        <f t="shared" si="150"/>
        <v>4916.9543999999996</v>
      </c>
      <c r="AC620" s="7">
        <f t="shared" si="151"/>
        <v>3315.7</v>
      </c>
      <c r="AD620" s="7">
        <f t="shared" si="152"/>
        <v>1652.8040000000001</v>
      </c>
      <c r="AE620" s="7">
        <f t="shared" si="153"/>
        <v>1601.2543999999998</v>
      </c>
      <c r="AF620" s="26">
        <f t="shared" si="154"/>
        <v>1.4984781494103809</v>
      </c>
      <c r="AG620" s="8">
        <f>IF(DASHBOARD!$Q$7&gt;'staging data'!X620,'staging data'!X620,DASHBOARD!$Q$7)</f>
        <v>9.4E-2</v>
      </c>
      <c r="AH620">
        <f>(100%+DASHBOARD!$Q$8)*'staging data'!T620</f>
        <v>381.30549999999994</v>
      </c>
      <c r="AI620">
        <f>(100%+DASHBOARD!$Q$9)*'staging data'!Y620</f>
        <v>12</v>
      </c>
    </row>
    <row r="621" spans="1:35" x14ac:dyDescent="0.3">
      <c r="A621" s="3" t="s">
        <v>27</v>
      </c>
      <c r="B621" s="28">
        <v>45899</v>
      </c>
      <c r="C621" s="28" t="str">
        <f t="shared" si="155"/>
        <v>Q3</v>
      </c>
      <c r="D621" s="28" t="str">
        <f t="shared" si="156"/>
        <v>2024</v>
      </c>
      <c r="E621" s="28" t="str">
        <f t="shared" si="157"/>
        <v>Jan</v>
      </c>
      <c r="F621" s="5">
        <v>45311</v>
      </c>
      <c r="G621" s="5">
        <f t="shared" si="145"/>
        <v>45335</v>
      </c>
      <c r="H621" s="5">
        <v>45335</v>
      </c>
      <c r="I621" s="5" t="str">
        <f t="shared" si="158"/>
        <v>Achieved</v>
      </c>
      <c r="J621" s="14">
        <f t="shared" si="159"/>
        <v>24</v>
      </c>
      <c r="K621" s="14">
        <f t="shared" si="146"/>
        <v>24</v>
      </c>
      <c r="L621" s="3" t="s">
        <v>648</v>
      </c>
      <c r="M621" s="3" t="s">
        <v>656</v>
      </c>
      <c r="N621" s="3" t="s">
        <v>672</v>
      </c>
      <c r="O621" s="3" t="s">
        <v>700</v>
      </c>
      <c r="P621" s="3" t="s">
        <v>706</v>
      </c>
      <c r="Q621" s="3" t="s">
        <v>721</v>
      </c>
      <c r="R621" s="3" t="s">
        <v>727</v>
      </c>
      <c r="S621" s="3" t="s">
        <v>746</v>
      </c>
      <c r="T621" s="21">
        <v>643.53</v>
      </c>
      <c r="U621" s="21" t="str">
        <f t="shared" si="160"/>
        <v>High</v>
      </c>
      <c r="V621">
        <f t="shared" si="147"/>
        <v>1439.01</v>
      </c>
      <c r="W621" s="7">
        <v>1439.01</v>
      </c>
      <c r="X621" s="8">
        <v>0</v>
      </c>
      <c r="Y621" s="14">
        <v>15</v>
      </c>
      <c r="Z621" s="7">
        <f t="shared" si="148"/>
        <v>0</v>
      </c>
      <c r="AA621" s="7">
        <f t="shared" si="149"/>
        <v>21585.15</v>
      </c>
      <c r="AB621" s="7">
        <f t="shared" si="150"/>
        <v>21585.15</v>
      </c>
      <c r="AC621" s="7">
        <f t="shared" si="151"/>
        <v>9652.9499999999989</v>
      </c>
      <c r="AD621" s="7">
        <f t="shared" si="152"/>
        <v>11932.200000000003</v>
      </c>
      <c r="AE621" s="7">
        <f t="shared" si="153"/>
        <v>11932.200000000003</v>
      </c>
      <c r="AF621" s="26">
        <f t="shared" si="154"/>
        <v>2.2361195282271229</v>
      </c>
      <c r="AG621" s="8">
        <f>IF(DASHBOARD!$Q$7&gt;'staging data'!X621,'staging data'!X621,DASHBOARD!$Q$7)</f>
        <v>0</v>
      </c>
      <c r="AH621">
        <f>(100%+DASHBOARD!$Q$8)*'staging data'!T621</f>
        <v>740.05949999999996</v>
      </c>
      <c r="AI621">
        <f>(100%+DASHBOARD!$Q$9)*'staging data'!Y621</f>
        <v>18</v>
      </c>
    </row>
    <row r="622" spans="1:35" x14ac:dyDescent="0.3">
      <c r="A622" s="3" t="s">
        <v>25</v>
      </c>
      <c r="B622" s="28">
        <v>45901</v>
      </c>
      <c r="C622" s="28" t="str">
        <f t="shared" si="155"/>
        <v>Q3</v>
      </c>
      <c r="D622" s="28" t="str">
        <f t="shared" si="156"/>
        <v>2025</v>
      </c>
      <c r="E622" s="28" t="str">
        <f t="shared" si="157"/>
        <v>Jan</v>
      </c>
      <c r="F622" s="5">
        <v>45660</v>
      </c>
      <c r="G622" s="5">
        <f t="shared" si="145"/>
        <v>45680</v>
      </c>
      <c r="H622" s="5">
        <v>45680</v>
      </c>
      <c r="I622" s="5" t="str">
        <f t="shared" si="158"/>
        <v>Achieved</v>
      </c>
      <c r="J622" s="14">
        <f t="shared" si="159"/>
        <v>20</v>
      </c>
      <c r="K622" s="14">
        <f t="shared" si="146"/>
        <v>20</v>
      </c>
      <c r="L622" s="3" t="s">
        <v>646</v>
      </c>
      <c r="M622" s="3" t="s">
        <v>651</v>
      </c>
      <c r="N622" s="3" t="s">
        <v>665</v>
      </c>
      <c r="O622" s="3" t="s">
        <v>700</v>
      </c>
      <c r="P622" s="3" t="s">
        <v>709</v>
      </c>
      <c r="Q622" s="3" t="s">
        <v>720</v>
      </c>
      <c r="R622" s="3" t="s">
        <v>729</v>
      </c>
      <c r="S622" s="3" t="s">
        <v>744</v>
      </c>
      <c r="T622" s="21">
        <v>908.6</v>
      </c>
      <c r="U622" s="21" t="str">
        <f t="shared" si="160"/>
        <v>Medium</v>
      </c>
      <c r="V622">
        <f t="shared" si="147"/>
        <v>691.37</v>
      </c>
      <c r="W622" s="7">
        <v>691.37</v>
      </c>
      <c r="X622" s="8">
        <v>0.25</v>
      </c>
      <c r="Y622" s="14">
        <v>20</v>
      </c>
      <c r="Z622" s="7">
        <f t="shared" si="148"/>
        <v>172.8425</v>
      </c>
      <c r="AA622" s="7">
        <f t="shared" si="149"/>
        <v>10370.549999999999</v>
      </c>
      <c r="AB622" s="7">
        <f t="shared" si="150"/>
        <v>10197.707499999999</v>
      </c>
      <c r="AC622" s="7">
        <f t="shared" si="151"/>
        <v>18172</v>
      </c>
      <c r="AD622" s="7">
        <f t="shared" si="152"/>
        <v>-7801.4500000000007</v>
      </c>
      <c r="AE622" s="7">
        <f t="shared" si="153"/>
        <v>-7974.2925000000014</v>
      </c>
      <c r="AF622" s="26">
        <f t="shared" si="154"/>
        <v>0.5706884217477437</v>
      </c>
      <c r="AG622" s="8">
        <f>IF(DASHBOARD!$Q$7&gt;'staging data'!X622,'staging data'!X622,DASHBOARD!$Q$7)</f>
        <v>0.2</v>
      </c>
      <c r="AH622">
        <f>(100%+DASHBOARD!$Q$8)*'staging data'!T622</f>
        <v>1044.8899999999999</v>
      </c>
      <c r="AI622">
        <f>(100%+DASHBOARD!$Q$9)*'staging data'!Y622</f>
        <v>24</v>
      </c>
    </row>
    <row r="623" spans="1:35" x14ac:dyDescent="0.3">
      <c r="A623" s="3" t="s">
        <v>24</v>
      </c>
      <c r="B623" s="28">
        <v>45902</v>
      </c>
      <c r="C623" s="28" t="str">
        <f t="shared" si="155"/>
        <v>Q3</v>
      </c>
      <c r="D623" s="28" t="str">
        <f t="shared" si="156"/>
        <v>2024</v>
      </c>
      <c r="E623" s="28" t="str">
        <f t="shared" si="157"/>
        <v>Jan</v>
      </c>
      <c r="F623" s="5">
        <v>45319</v>
      </c>
      <c r="G623" s="5">
        <f t="shared" si="145"/>
        <v>45331</v>
      </c>
      <c r="H623" s="5">
        <v>45331</v>
      </c>
      <c r="I623" s="5" t="str">
        <f t="shared" si="158"/>
        <v>Achieved</v>
      </c>
      <c r="J623" s="14">
        <f t="shared" si="159"/>
        <v>12</v>
      </c>
      <c r="K623" s="14">
        <f t="shared" si="146"/>
        <v>12</v>
      </c>
      <c r="L623" s="3" t="s">
        <v>648</v>
      </c>
      <c r="M623" s="3" t="s">
        <v>655</v>
      </c>
      <c r="N623" s="3" t="s">
        <v>670</v>
      </c>
      <c r="O623" s="3" t="s">
        <v>700</v>
      </c>
      <c r="P623" s="3" t="s">
        <v>707</v>
      </c>
      <c r="Q623" s="3" t="s">
        <v>714</v>
      </c>
      <c r="R623" s="3" t="s">
        <v>732</v>
      </c>
      <c r="S623" s="3" t="s">
        <v>743</v>
      </c>
      <c r="T623" s="21">
        <v>644.16999999999996</v>
      </c>
      <c r="U623" s="21" t="str">
        <f t="shared" si="160"/>
        <v>Medium</v>
      </c>
      <c r="V623">
        <f t="shared" si="147"/>
        <v>700.12</v>
      </c>
      <c r="W623" s="7">
        <v>700.12</v>
      </c>
      <c r="X623" s="8">
        <v>6.0000000000000001E-3</v>
      </c>
      <c r="Y623" s="14">
        <v>23</v>
      </c>
      <c r="Z623" s="7">
        <f t="shared" si="148"/>
        <v>4.2007200000000005</v>
      </c>
      <c r="AA623" s="7">
        <f t="shared" si="149"/>
        <v>16006.14344</v>
      </c>
      <c r="AB623" s="7">
        <f t="shared" si="150"/>
        <v>16001.942719999999</v>
      </c>
      <c r="AC623" s="7">
        <f t="shared" si="151"/>
        <v>14815.91</v>
      </c>
      <c r="AD623" s="7">
        <f t="shared" si="152"/>
        <v>1190.23344</v>
      </c>
      <c r="AE623" s="7">
        <f t="shared" si="153"/>
        <v>1186.0327199999992</v>
      </c>
      <c r="AF623" s="26">
        <f t="shared" si="154"/>
        <v>1.0803348184485462</v>
      </c>
      <c r="AG623" s="8">
        <f>IF(DASHBOARD!$Q$7&gt;'staging data'!X623,'staging data'!X623,DASHBOARD!$Q$7)</f>
        <v>6.0000000000000001E-3</v>
      </c>
      <c r="AH623">
        <f>(100%+DASHBOARD!$Q$8)*'staging data'!T623</f>
        <v>740.79549999999995</v>
      </c>
      <c r="AI623">
        <f>(100%+DASHBOARD!$Q$9)*'staging data'!Y623</f>
        <v>27.599999999999998</v>
      </c>
    </row>
    <row r="624" spans="1:35" x14ac:dyDescent="0.3">
      <c r="A624" s="3" t="s">
        <v>22</v>
      </c>
      <c r="B624" s="28">
        <v>45908</v>
      </c>
      <c r="C624" s="28" t="str">
        <f t="shared" si="155"/>
        <v>Q3</v>
      </c>
      <c r="D624" s="28" t="str">
        <f t="shared" si="156"/>
        <v>2024</v>
      </c>
      <c r="E624" s="28" t="str">
        <f t="shared" si="157"/>
        <v>May</v>
      </c>
      <c r="F624" s="5">
        <v>45416</v>
      </c>
      <c r="G624" s="5">
        <f t="shared" si="145"/>
        <v>45441</v>
      </c>
      <c r="H624" s="5">
        <v>45441</v>
      </c>
      <c r="I624" s="5" t="str">
        <f t="shared" si="158"/>
        <v>Achieved</v>
      </c>
      <c r="J624" s="14">
        <f t="shared" si="159"/>
        <v>25</v>
      </c>
      <c r="K624" s="14">
        <f t="shared" si="146"/>
        <v>25</v>
      </c>
      <c r="L624" s="3" t="s">
        <v>645</v>
      </c>
      <c r="M624" s="3" t="s">
        <v>650</v>
      </c>
      <c r="N624" s="3" t="s">
        <v>668</v>
      </c>
      <c r="O624" s="3" t="s">
        <v>702</v>
      </c>
      <c r="P624" s="3" t="s">
        <v>708</v>
      </c>
      <c r="Q624" s="3" t="s">
        <v>718</v>
      </c>
      <c r="R624" s="3" t="s">
        <v>731</v>
      </c>
      <c r="S624" s="3" t="s">
        <v>741</v>
      </c>
      <c r="T624" s="21">
        <v>1295.3399999999999</v>
      </c>
      <c r="U624" s="21" t="str">
        <f t="shared" si="160"/>
        <v>High</v>
      </c>
      <c r="V624">
        <f t="shared" si="147"/>
        <v>2530.81</v>
      </c>
      <c r="W624" s="7">
        <v>2530.81</v>
      </c>
      <c r="X624" s="8">
        <v>3.1E-2</v>
      </c>
      <c r="Y624" s="14">
        <v>6</v>
      </c>
      <c r="Z624" s="7">
        <f t="shared" si="148"/>
        <v>78.455110000000005</v>
      </c>
      <c r="AA624" s="7">
        <f t="shared" si="149"/>
        <v>14714.12934</v>
      </c>
      <c r="AB624" s="7">
        <f t="shared" si="150"/>
        <v>14635.674229999999</v>
      </c>
      <c r="AC624" s="7">
        <f t="shared" si="151"/>
        <v>7772.0399999999991</v>
      </c>
      <c r="AD624" s="7">
        <f t="shared" si="152"/>
        <v>6942.0893400000004</v>
      </c>
      <c r="AE624" s="7">
        <f t="shared" si="153"/>
        <v>6863.6342299999997</v>
      </c>
      <c r="AF624" s="26">
        <f t="shared" si="154"/>
        <v>1.8932132799110659</v>
      </c>
      <c r="AG624" s="8">
        <f>IF(DASHBOARD!$Q$7&gt;'staging data'!X624,'staging data'!X624,DASHBOARD!$Q$7)</f>
        <v>3.1E-2</v>
      </c>
      <c r="AH624">
        <f>(100%+DASHBOARD!$Q$8)*'staging data'!T624</f>
        <v>1489.6409999999998</v>
      </c>
      <c r="AI624">
        <f>(100%+DASHBOARD!$Q$9)*'staging data'!Y624</f>
        <v>7.1999999999999993</v>
      </c>
    </row>
    <row r="625" spans="1:35" x14ac:dyDescent="0.3">
      <c r="A625" s="3" t="s">
        <v>23</v>
      </c>
      <c r="B625" s="28">
        <v>45908</v>
      </c>
      <c r="C625" s="28" t="str">
        <f t="shared" si="155"/>
        <v>Q3</v>
      </c>
      <c r="D625" s="28" t="str">
        <f t="shared" si="156"/>
        <v>2025</v>
      </c>
      <c r="E625" s="28" t="str">
        <f t="shared" si="157"/>
        <v>May</v>
      </c>
      <c r="F625" s="5">
        <v>45798</v>
      </c>
      <c r="G625" s="5">
        <f t="shared" si="145"/>
        <v>45817</v>
      </c>
      <c r="H625" s="5">
        <v>45817</v>
      </c>
      <c r="I625" s="5" t="str">
        <f t="shared" si="158"/>
        <v>Achieved</v>
      </c>
      <c r="J625" s="14">
        <f t="shared" si="159"/>
        <v>19</v>
      </c>
      <c r="K625" s="14">
        <f t="shared" si="146"/>
        <v>19</v>
      </c>
      <c r="L625" s="3" t="s">
        <v>647</v>
      </c>
      <c r="M625" s="3" t="s">
        <v>654</v>
      </c>
      <c r="N625" s="3" t="s">
        <v>669</v>
      </c>
      <c r="O625" s="3" t="s">
        <v>702</v>
      </c>
      <c r="P625" s="3" t="s">
        <v>707</v>
      </c>
      <c r="Q625" s="3" t="s">
        <v>719</v>
      </c>
      <c r="R625" s="3" t="s">
        <v>726</v>
      </c>
      <c r="S625" s="3" t="s">
        <v>742</v>
      </c>
      <c r="T625" s="21">
        <v>1331.38</v>
      </c>
      <c r="U625" s="21" t="str">
        <f t="shared" si="160"/>
        <v>High</v>
      </c>
      <c r="V625">
        <f t="shared" si="147"/>
        <v>2309.56</v>
      </c>
      <c r="W625" s="7">
        <v>2309.56</v>
      </c>
      <c r="X625" s="8">
        <v>0.14899999999999999</v>
      </c>
      <c r="Y625" s="14">
        <v>31</v>
      </c>
      <c r="Z625" s="7">
        <f t="shared" si="148"/>
        <v>344.12443999999999</v>
      </c>
      <c r="AA625" s="7">
        <f t="shared" si="149"/>
        <v>60928.502359999999</v>
      </c>
      <c r="AB625" s="7">
        <f t="shared" si="150"/>
        <v>60584.377919999999</v>
      </c>
      <c r="AC625" s="7">
        <f t="shared" si="151"/>
        <v>41272.780000000006</v>
      </c>
      <c r="AD625" s="7">
        <f t="shared" si="152"/>
        <v>19655.722359999992</v>
      </c>
      <c r="AE625" s="7">
        <f t="shared" si="153"/>
        <v>19311.597919999993</v>
      </c>
      <c r="AF625" s="26">
        <f t="shared" si="154"/>
        <v>1.4762393606633717</v>
      </c>
      <c r="AG625" s="8">
        <f>IF(DASHBOARD!$Q$7&gt;'staging data'!X625,'staging data'!X625,DASHBOARD!$Q$7)</f>
        <v>0.14899999999999999</v>
      </c>
      <c r="AH625">
        <f>(100%+DASHBOARD!$Q$8)*'staging data'!T625</f>
        <v>1531.087</v>
      </c>
      <c r="AI625">
        <f>(100%+DASHBOARD!$Q$9)*'staging data'!Y625</f>
        <v>37.199999999999996</v>
      </c>
    </row>
    <row r="626" spans="1:35" x14ac:dyDescent="0.3">
      <c r="A626" s="3" t="s">
        <v>20</v>
      </c>
      <c r="B626" s="28">
        <v>45910</v>
      </c>
      <c r="C626" s="28" t="str">
        <f t="shared" si="155"/>
        <v>Q3</v>
      </c>
      <c r="D626" s="28" t="str">
        <f t="shared" si="156"/>
        <v>2024</v>
      </c>
      <c r="E626" s="28" t="str">
        <f t="shared" si="157"/>
        <v>Dec</v>
      </c>
      <c r="F626" s="5">
        <v>45653</v>
      </c>
      <c r="G626" s="5">
        <f t="shared" si="145"/>
        <v>45671</v>
      </c>
      <c r="H626" s="5">
        <v>45671</v>
      </c>
      <c r="I626" s="5" t="str">
        <f t="shared" si="158"/>
        <v>Achieved</v>
      </c>
      <c r="J626" s="14">
        <f t="shared" si="159"/>
        <v>18</v>
      </c>
      <c r="K626" s="14">
        <f t="shared" si="146"/>
        <v>18</v>
      </c>
      <c r="L626" s="3" t="s">
        <v>646</v>
      </c>
      <c r="M626" s="3" t="s">
        <v>653</v>
      </c>
      <c r="N626" s="3" t="s">
        <v>667</v>
      </c>
      <c r="O626" s="3" t="s">
        <v>704</v>
      </c>
      <c r="P626" s="3" t="s">
        <v>708</v>
      </c>
      <c r="Q626" s="3" t="s">
        <v>717</v>
      </c>
      <c r="R626" s="3" t="s">
        <v>731</v>
      </c>
      <c r="S626" s="3" t="s">
        <v>739</v>
      </c>
      <c r="T626" s="21">
        <v>586.07000000000005</v>
      </c>
      <c r="U626" s="21" t="str">
        <f t="shared" si="160"/>
        <v>High</v>
      </c>
      <c r="V626">
        <f t="shared" si="147"/>
        <v>845.97</v>
      </c>
      <c r="W626" s="7">
        <v>845.97</v>
      </c>
      <c r="X626" s="8">
        <v>0.14699999999999999</v>
      </c>
      <c r="Y626" s="14">
        <v>4</v>
      </c>
      <c r="Z626" s="7">
        <f t="shared" si="148"/>
        <v>124.35759</v>
      </c>
      <c r="AA626" s="7">
        <f t="shared" si="149"/>
        <v>2886.4496399999998</v>
      </c>
      <c r="AB626" s="7">
        <f t="shared" si="150"/>
        <v>2762.0920499999997</v>
      </c>
      <c r="AC626" s="7">
        <f t="shared" si="151"/>
        <v>2344.2800000000002</v>
      </c>
      <c r="AD626" s="7">
        <f t="shared" si="152"/>
        <v>542.16963999999962</v>
      </c>
      <c r="AE626" s="7">
        <f t="shared" si="153"/>
        <v>417.81204999999954</v>
      </c>
      <c r="AF626" s="26">
        <f t="shared" si="154"/>
        <v>1.2312734144385482</v>
      </c>
      <c r="AG626" s="8">
        <f>IF(DASHBOARD!$Q$7&gt;'staging data'!X626,'staging data'!X626,DASHBOARD!$Q$7)</f>
        <v>0.14699999999999999</v>
      </c>
      <c r="AH626">
        <f>(100%+DASHBOARD!$Q$8)*'staging data'!T626</f>
        <v>673.98050000000001</v>
      </c>
      <c r="AI626">
        <f>(100%+DASHBOARD!$Q$9)*'staging data'!Y626</f>
        <v>4.8</v>
      </c>
    </row>
    <row r="627" spans="1:35" x14ac:dyDescent="0.3">
      <c r="A627" s="3" t="s">
        <v>21</v>
      </c>
      <c r="B627" s="28">
        <v>45910</v>
      </c>
      <c r="C627" s="28" t="str">
        <f t="shared" si="155"/>
        <v>Q3</v>
      </c>
      <c r="D627" s="28" t="str">
        <f t="shared" si="156"/>
        <v>2023</v>
      </c>
      <c r="E627" s="28" t="str">
        <f t="shared" si="157"/>
        <v>Jan</v>
      </c>
      <c r="F627" s="5">
        <v>44941</v>
      </c>
      <c r="G627" s="5">
        <f t="shared" si="145"/>
        <v>44941</v>
      </c>
      <c r="H627" s="5">
        <v>44939</v>
      </c>
      <c r="I627" s="5" t="str">
        <f t="shared" si="158"/>
        <v>Not achieved</v>
      </c>
      <c r="J627" s="14">
        <f t="shared" si="159"/>
        <v>0</v>
      </c>
      <c r="K627" s="14">
        <f t="shared" si="146"/>
        <v>-2</v>
      </c>
      <c r="L627" s="3" t="s">
        <v>645</v>
      </c>
      <c r="M627" s="3" t="s">
        <v>650</v>
      </c>
      <c r="N627" s="3" t="s">
        <v>668</v>
      </c>
      <c r="O627" s="3" t="s">
        <v>701</v>
      </c>
      <c r="P627" s="3" t="s">
        <v>707</v>
      </c>
      <c r="Q627" s="3" t="s">
        <v>718</v>
      </c>
      <c r="R627" s="3" t="s">
        <v>727</v>
      </c>
      <c r="S627" s="3" t="s">
        <v>740</v>
      </c>
      <c r="T627" s="21">
        <v>28.38</v>
      </c>
      <c r="U627" s="21" t="str">
        <f t="shared" si="160"/>
        <v>Low</v>
      </c>
      <c r="V627">
        <f t="shared" si="147"/>
        <v>47.22</v>
      </c>
      <c r="W627" s="7">
        <v>47.22</v>
      </c>
      <c r="X627" s="8">
        <v>0.19400000000000001</v>
      </c>
      <c r="Y627" s="14">
        <v>18</v>
      </c>
      <c r="Z627" s="7">
        <f t="shared" si="148"/>
        <v>9.1606799999999993</v>
      </c>
      <c r="AA627" s="7">
        <f t="shared" si="149"/>
        <v>685.06776000000002</v>
      </c>
      <c r="AB627" s="7">
        <f t="shared" si="150"/>
        <v>675.90708000000006</v>
      </c>
      <c r="AC627" s="7">
        <f t="shared" si="151"/>
        <v>510.84</v>
      </c>
      <c r="AD627" s="7">
        <f t="shared" si="152"/>
        <v>174.22776000000005</v>
      </c>
      <c r="AE627" s="7">
        <f t="shared" si="153"/>
        <v>165.06708000000009</v>
      </c>
      <c r="AF627" s="26">
        <f t="shared" si="154"/>
        <v>1.3410613107822411</v>
      </c>
      <c r="AG627" s="8">
        <f>IF(DASHBOARD!$Q$7&gt;'staging data'!X627,'staging data'!X627,DASHBOARD!$Q$7)</f>
        <v>0.19400000000000001</v>
      </c>
      <c r="AH627">
        <f>(100%+DASHBOARD!$Q$8)*'staging data'!T627</f>
        <v>32.636999999999993</v>
      </c>
      <c r="AI627">
        <f>(100%+DASHBOARD!$Q$9)*'staging data'!Y627</f>
        <v>21.599999999999998</v>
      </c>
    </row>
    <row r="628" spans="1:35" x14ac:dyDescent="0.3">
      <c r="A628" s="3" t="s">
        <v>19</v>
      </c>
      <c r="B628" s="28">
        <v>45911</v>
      </c>
      <c r="C628" s="28" t="str">
        <f t="shared" si="155"/>
        <v>Q3</v>
      </c>
      <c r="D628" s="28" t="str">
        <f t="shared" si="156"/>
        <v>2023</v>
      </c>
      <c r="E628" s="28" t="str">
        <f t="shared" si="157"/>
        <v>Jan</v>
      </c>
      <c r="F628" s="5">
        <v>44928</v>
      </c>
      <c r="G628" s="5">
        <f t="shared" si="145"/>
        <v>44931</v>
      </c>
      <c r="H628" s="5">
        <v>44931</v>
      </c>
      <c r="I628" s="5" t="str">
        <f t="shared" si="158"/>
        <v>Not achieved</v>
      </c>
      <c r="J628" s="14">
        <f t="shared" si="159"/>
        <v>3</v>
      </c>
      <c r="K628" s="14">
        <f t="shared" si="146"/>
        <v>3</v>
      </c>
      <c r="L628" s="3" t="s">
        <v>647</v>
      </c>
      <c r="M628" s="3" t="s">
        <v>652</v>
      </c>
      <c r="N628" s="3" t="s">
        <v>666</v>
      </c>
      <c r="O628" s="3" t="s">
        <v>700</v>
      </c>
      <c r="P628" s="3" t="s">
        <v>709</v>
      </c>
      <c r="Q628" s="3" t="s">
        <v>716</v>
      </c>
      <c r="R628" s="3" t="s">
        <v>730</v>
      </c>
      <c r="S628" s="3" t="s">
        <v>738</v>
      </c>
      <c r="T628" s="21">
        <v>315.87</v>
      </c>
      <c r="U628" s="21" t="str">
        <f t="shared" si="160"/>
        <v>Medium</v>
      </c>
      <c r="V628">
        <f t="shared" si="147"/>
        <v>591.67999999999995</v>
      </c>
      <c r="W628" s="7">
        <v>591.67999999999995</v>
      </c>
      <c r="X628" s="8">
        <v>0</v>
      </c>
      <c r="Y628" s="14">
        <v>7</v>
      </c>
      <c r="Z628" s="7">
        <f t="shared" si="148"/>
        <v>0</v>
      </c>
      <c r="AA628" s="7">
        <f t="shared" si="149"/>
        <v>4141.7599999999993</v>
      </c>
      <c r="AB628" s="7">
        <f t="shared" si="150"/>
        <v>4141.7599999999993</v>
      </c>
      <c r="AC628" s="7">
        <f t="shared" si="151"/>
        <v>2211.09</v>
      </c>
      <c r="AD628" s="7">
        <f t="shared" si="152"/>
        <v>1930.6699999999992</v>
      </c>
      <c r="AE628" s="7">
        <f t="shared" si="153"/>
        <v>1930.6699999999992</v>
      </c>
      <c r="AF628" s="26">
        <f t="shared" si="154"/>
        <v>1.873175673536581</v>
      </c>
      <c r="AG628" s="8">
        <f>IF(DASHBOARD!$Q$7&gt;'staging data'!X628,'staging data'!X628,DASHBOARD!$Q$7)</f>
        <v>0</v>
      </c>
      <c r="AH628">
        <f>(100%+DASHBOARD!$Q$8)*'staging data'!T628</f>
        <v>363.25049999999999</v>
      </c>
      <c r="AI628">
        <f>(100%+DASHBOARD!$Q$9)*'staging data'!Y628</f>
        <v>8.4</v>
      </c>
    </row>
    <row r="629" spans="1:35" x14ac:dyDescent="0.3">
      <c r="A629" s="3" t="s">
        <v>18</v>
      </c>
      <c r="B629" s="28">
        <v>45912</v>
      </c>
      <c r="C629" s="28" t="str">
        <f t="shared" si="155"/>
        <v>Q3</v>
      </c>
      <c r="D629" s="28" t="str">
        <f t="shared" si="156"/>
        <v>2023</v>
      </c>
      <c r="E629" s="28" t="str">
        <f t="shared" si="157"/>
        <v>Dec</v>
      </c>
      <c r="F629" s="5">
        <v>45266</v>
      </c>
      <c r="G629" s="5">
        <f t="shared" si="145"/>
        <v>45291</v>
      </c>
      <c r="H629" s="5">
        <v>45291</v>
      </c>
      <c r="I629" s="5" t="str">
        <f t="shared" si="158"/>
        <v>Achieved</v>
      </c>
      <c r="J629" s="14">
        <f t="shared" si="159"/>
        <v>25</v>
      </c>
      <c r="K629" s="14">
        <f t="shared" si="146"/>
        <v>25</v>
      </c>
      <c r="L629" s="3" t="s">
        <v>646</v>
      </c>
      <c r="M629" s="3" t="s">
        <v>651</v>
      </c>
      <c r="N629" s="3" t="s">
        <v>665</v>
      </c>
      <c r="O629" s="3" t="s">
        <v>703</v>
      </c>
      <c r="P629" s="3" t="s">
        <v>706</v>
      </c>
      <c r="Q629" s="3" t="s">
        <v>715</v>
      </c>
      <c r="R629" s="3" t="s">
        <v>727</v>
      </c>
      <c r="S629" s="3" t="s">
        <v>737</v>
      </c>
      <c r="T629" s="21">
        <v>663.03</v>
      </c>
      <c r="U629" s="21" t="str">
        <f t="shared" si="160"/>
        <v>High</v>
      </c>
      <c r="V629">
        <f t="shared" si="147"/>
        <v>813.51</v>
      </c>
      <c r="W629" s="7">
        <v>813.51</v>
      </c>
      <c r="X629" s="8">
        <v>0.10199999999999999</v>
      </c>
      <c r="Y629" s="14">
        <v>15</v>
      </c>
      <c r="Z629" s="7">
        <f t="shared" si="148"/>
        <v>82.978020000000001</v>
      </c>
      <c r="AA629" s="7">
        <f t="shared" si="149"/>
        <v>10957.9797</v>
      </c>
      <c r="AB629" s="7">
        <f t="shared" si="150"/>
        <v>10875.001679999999</v>
      </c>
      <c r="AC629" s="7">
        <f t="shared" si="151"/>
        <v>9945.4499999999989</v>
      </c>
      <c r="AD629" s="7">
        <f t="shared" si="152"/>
        <v>1012.529700000001</v>
      </c>
      <c r="AE629" s="7">
        <f t="shared" si="153"/>
        <v>929.55168000000049</v>
      </c>
      <c r="AF629" s="26">
        <f t="shared" si="154"/>
        <v>1.101808334464504</v>
      </c>
      <c r="AG629" s="8">
        <f>IF(DASHBOARD!$Q$7&gt;'staging data'!X629,'staging data'!X629,DASHBOARD!$Q$7)</f>
        <v>0.10199999999999999</v>
      </c>
      <c r="AH629">
        <f>(100%+DASHBOARD!$Q$8)*'staging data'!T629</f>
        <v>762.48449999999991</v>
      </c>
      <c r="AI629">
        <f>(100%+DASHBOARD!$Q$9)*'staging data'!Y629</f>
        <v>18</v>
      </c>
    </row>
    <row r="630" spans="1:35" x14ac:dyDescent="0.3">
      <c r="A630" s="3" t="s">
        <v>16</v>
      </c>
      <c r="B630" s="28">
        <v>45914</v>
      </c>
      <c r="C630" s="28" t="str">
        <f t="shared" si="155"/>
        <v>Q3</v>
      </c>
      <c r="D630" s="28" t="str">
        <f t="shared" si="156"/>
        <v>2023</v>
      </c>
      <c r="E630" s="28" t="str">
        <f t="shared" si="157"/>
        <v>Feb</v>
      </c>
      <c r="F630" s="5">
        <v>44985</v>
      </c>
      <c r="G630" s="5">
        <f t="shared" si="145"/>
        <v>45010</v>
      </c>
      <c r="H630" s="5">
        <v>45010</v>
      </c>
      <c r="I630" s="5" t="str">
        <f t="shared" si="158"/>
        <v>Achieved</v>
      </c>
      <c r="J630" s="14">
        <f t="shared" si="159"/>
        <v>25</v>
      </c>
      <c r="K630" s="14">
        <f t="shared" si="146"/>
        <v>25</v>
      </c>
      <c r="L630" s="3" t="s">
        <v>645</v>
      </c>
      <c r="M630" s="3" t="s">
        <v>649</v>
      </c>
      <c r="N630" s="3" t="s">
        <v>663</v>
      </c>
      <c r="O630" s="3" t="s">
        <v>700</v>
      </c>
      <c r="P630" s="3" t="s">
        <v>706</v>
      </c>
      <c r="Q630" s="3" t="s">
        <v>713</v>
      </c>
      <c r="R630" s="3" t="s">
        <v>728</v>
      </c>
      <c r="S630" s="3" t="s">
        <v>735</v>
      </c>
      <c r="T630" s="21">
        <v>1460.76</v>
      </c>
      <c r="U630" s="21" t="str">
        <f t="shared" si="160"/>
        <v>Low</v>
      </c>
      <c r="V630">
        <f t="shared" si="147"/>
        <v>30.66</v>
      </c>
      <c r="W630" s="7">
        <v>-30.66</v>
      </c>
      <c r="X630" s="8">
        <v>0.13100000000000001</v>
      </c>
      <c r="Y630" s="14">
        <v>12</v>
      </c>
      <c r="Z630" s="7">
        <f t="shared" si="148"/>
        <v>4.0164600000000004</v>
      </c>
      <c r="AA630" s="7">
        <f t="shared" si="149"/>
        <v>319.72248000000002</v>
      </c>
      <c r="AB630" s="7">
        <f t="shared" si="150"/>
        <v>315.70602000000002</v>
      </c>
      <c r="AC630" s="7">
        <f t="shared" si="151"/>
        <v>17529.12</v>
      </c>
      <c r="AD630" s="7">
        <f t="shared" si="152"/>
        <v>-17209.397519999999</v>
      </c>
      <c r="AE630" s="7">
        <f t="shared" si="153"/>
        <v>-17213.413979999998</v>
      </c>
      <c r="AF630" s="26">
        <f t="shared" si="154"/>
        <v>1.8239505462909721E-2</v>
      </c>
      <c r="AG630" s="8">
        <f>IF(DASHBOARD!$Q$7&gt;'staging data'!X630,'staging data'!X630,DASHBOARD!$Q$7)</f>
        <v>0.13100000000000001</v>
      </c>
      <c r="AH630">
        <f>(100%+DASHBOARD!$Q$8)*'staging data'!T630</f>
        <v>1679.8739999999998</v>
      </c>
      <c r="AI630">
        <f>(100%+DASHBOARD!$Q$9)*'staging data'!Y630</f>
        <v>14.399999999999999</v>
      </c>
    </row>
    <row r="631" spans="1:35" x14ac:dyDescent="0.3">
      <c r="A631" s="3" t="s">
        <v>17</v>
      </c>
      <c r="B631" s="28">
        <v>45914</v>
      </c>
      <c r="C631" s="28" t="str">
        <f t="shared" si="155"/>
        <v>Q3</v>
      </c>
      <c r="D631" s="28" t="str">
        <f t="shared" si="156"/>
        <v>2025</v>
      </c>
      <c r="E631" s="28" t="str">
        <f t="shared" si="157"/>
        <v>Mar</v>
      </c>
      <c r="F631" s="5">
        <v>45745</v>
      </c>
      <c r="G631" s="5">
        <f t="shared" si="145"/>
        <v>45749</v>
      </c>
      <c r="H631" s="5">
        <v>45749</v>
      </c>
      <c r="I631" s="5" t="str">
        <f t="shared" si="158"/>
        <v>Not achieved</v>
      </c>
      <c r="J631" s="14">
        <f t="shared" si="159"/>
        <v>4</v>
      </c>
      <c r="K631" s="14">
        <f t="shared" si="146"/>
        <v>4</v>
      </c>
      <c r="L631" s="3" t="s">
        <v>645</v>
      </c>
      <c r="M631" s="3" t="s">
        <v>650</v>
      </c>
      <c r="N631" s="3" t="s">
        <v>664</v>
      </c>
      <c r="O631" s="3" t="s">
        <v>702</v>
      </c>
      <c r="P631" s="3" t="s">
        <v>708</v>
      </c>
      <c r="Q631" s="3" t="s">
        <v>714</v>
      </c>
      <c r="R631" s="3" t="s">
        <v>729</v>
      </c>
      <c r="S631" s="3" t="s">
        <v>736</v>
      </c>
      <c r="T631" s="21">
        <v>259.93</v>
      </c>
      <c r="U631" s="21" t="str">
        <f t="shared" si="160"/>
        <v>Low</v>
      </c>
      <c r="V631">
        <f t="shared" si="147"/>
        <v>255.94</v>
      </c>
      <c r="W631" s="7">
        <v>255.94</v>
      </c>
      <c r="X631" s="8">
        <v>7.1999999999999995E-2</v>
      </c>
      <c r="Y631" s="14">
        <v>22</v>
      </c>
      <c r="Z631" s="7">
        <f t="shared" si="148"/>
        <v>18.427679999999999</v>
      </c>
      <c r="AA631" s="7">
        <f t="shared" si="149"/>
        <v>5225.2710400000005</v>
      </c>
      <c r="AB631" s="7">
        <f t="shared" si="150"/>
        <v>5206.8433600000008</v>
      </c>
      <c r="AC631" s="7">
        <f t="shared" si="151"/>
        <v>5718.46</v>
      </c>
      <c r="AD631" s="7">
        <f t="shared" si="152"/>
        <v>-493.1889599999995</v>
      </c>
      <c r="AE631" s="7">
        <f t="shared" si="153"/>
        <v>-511.61663999999928</v>
      </c>
      <c r="AF631" s="26">
        <f t="shared" si="154"/>
        <v>0.91375493402069796</v>
      </c>
      <c r="AG631" s="8">
        <f>IF(DASHBOARD!$Q$7&gt;'staging data'!X631,'staging data'!X631,DASHBOARD!$Q$7)</f>
        <v>7.1999999999999995E-2</v>
      </c>
      <c r="AH631">
        <f>(100%+DASHBOARD!$Q$8)*'staging data'!T631</f>
        <v>298.91949999999997</v>
      </c>
      <c r="AI631">
        <f>(100%+DASHBOARD!$Q$9)*'staging data'!Y631</f>
        <v>26.4</v>
      </c>
    </row>
    <row r="632" spans="1:35" x14ac:dyDescent="0.3">
      <c r="A632" s="3" t="s">
        <v>14</v>
      </c>
      <c r="B632" s="28">
        <v>45915</v>
      </c>
      <c r="C632" s="28" t="str">
        <f t="shared" si="155"/>
        <v>Q3</v>
      </c>
      <c r="D632" s="28" t="str">
        <f t="shared" si="156"/>
        <v>2024</v>
      </c>
      <c r="E632" s="28" t="str">
        <f t="shared" si="157"/>
        <v>Mar</v>
      </c>
      <c r="F632" s="5">
        <v>45362</v>
      </c>
      <c r="G632" s="5">
        <f>IF(H632&gt;=F632, H632, (F632+K632))</f>
        <v>45388</v>
      </c>
      <c r="H632" s="5">
        <v>45388</v>
      </c>
      <c r="I632" s="5" t="str">
        <f t="shared" si="158"/>
        <v>Achieved</v>
      </c>
      <c r="J632" s="14">
        <f t="shared" si="159"/>
        <v>26</v>
      </c>
      <c r="K632" s="18">
        <f t="shared" si="146"/>
        <v>26</v>
      </c>
      <c r="L632" s="3" t="s">
        <v>645</v>
      </c>
      <c r="M632" s="3" t="s">
        <v>649</v>
      </c>
      <c r="N632" s="3" t="s">
        <v>661</v>
      </c>
      <c r="O632" s="3" t="s">
        <v>700</v>
      </c>
      <c r="P632" s="3" t="s">
        <v>706</v>
      </c>
      <c r="Q632" s="3" t="s">
        <v>711</v>
      </c>
      <c r="R632" s="3" t="s">
        <v>726</v>
      </c>
      <c r="S632" s="3" t="s">
        <v>733</v>
      </c>
      <c r="T632" s="21">
        <v>279.24</v>
      </c>
      <c r="U632" s="21" t="str">
        <f t="shared" si="160"/>
        <v>Low</v>
      </c>
      <c r="V632">
        <f t="shared" si="147"/>
        <v>608.9</v>
      </c>
      <c r="W632" s="7">
        <v>608.9</v>
      </c>
      <c r="X632" s="8">
        <v>0.112</v>
      </c>
      <c r="Y632" s="14">
        <v>9</v>
      </c>
      <c r="Z632" s="7">
        <f t="shared" si="148"/>
        <v>68.196799999999996</v>
      </c>
      <c r="AA632" s="7">
        <f t="shared" si="149"/>
        <v>4866.3287999999993</v>
      </c>
      <c r="AB632" s="7">
        <f t="shared" si="150"/>
        <v>4798.1319999999996</v>
      </c>
      <c r="AC632" s="7">
        <f t="shared" si="151"/>
        <v>2513.16</v>
      </c>
      <c r="AD632" s="7">
        <f t="shared" si="152"/>
        <v>2353.1687999999995</v>
      </c>
      <c r="AE632" s="7">
        <f t="shared" si="153"/>
        <v>2284.9719999999998</v>
      </c>
      <c r="AF632" s="26">
        <f>IF(AA632=0,0,AA632/AD632)</f>
        <v>2.0679896826780979</v>
      </c>
      <c r="AG632" s="8">
        <f>IF(DASHBOARD!$Q$7&gt;'staging data'!X632,'staging data'!X632,DASHBOARD!$Q$7)</f>
        <v>0.112</v>
      </c>
      <c r="AH632">
        <f>(100%+DASHBOARD!$Q$8)*'staging data'!T632</f>
        <v>321.12599999999998</v>
      </c>
      <c r="AI632">
        <f>(100%+DASHBOARD!$Q$9)*'staging data'!Y632</f>
        <v>10.799999999999999</v>
      </c>
    </row>
    <row r="633" spans="1:35" x14ac:dyDescent="0.3">
      <c r="A633" s="3" t="s">
        <v>15</v>
      </c>
      <c r="B633" s="28">
        <v>45915</v>
      </c>
      <c r="C633" s="28" t="str">
        <f t="shared" si="155"/>
        <v>Q3</v>
      </c>
      <c r="D633" s="28" t="str">
        <f t="shared" si="156"/>
        <v>2024</v>
      </c>
      <c r="E633" s="28" t="str">
        <f t="shared" si="157"/>
        <v>Oct</v>
      </c>
      <c r="F633" s="5">
        <v>45588</v>
      </c>
      <c r="G633" s="5">
        <f>IF(H633&gt;=F633, H633, (H633-K633))</f>
        <v>45588</v>
      </c>
      <c r="H633" s="5">
        <v>45587</v>
      </c>
      <c r="I633" s="5" t="str">
        <f t="shared" si="158"/>
        <v>Not achieved</v>
      </c>
      <c r="J633" s="14">
        <f t="shared" si="159"/>
        <v>0</v>
      </c>
      <c r="K633" s="14">
        <f t="shared" si="146"/>
        <v>-1</v>
      </c>
      <c r="L633" s="3" t="s">
        <v>645</v>
      </c>
      <c r="M633" s="3" t="s">
        <v>650</v>
      </c>
      <c r="N633" s="3" t="s">
        <v>662</v>
      </c>
      <c r="O633" s="3" t="s">
        <v>701</v>
      </c>
      <c r="P633" s="3" t="s">
        <v>707</v>
      </c>
      <c r="Q633" s="3" t="s">
        <v>712</v>
      </c>
      <c r="R633" s="3" t="s">
        <v>727</v>
      </c>
      <c r="S633" s="3" t="s">
        <v>734</v>
      </c>
      <c r="T633" s="21">
        <v>1084.3900000000001</v>
      </c>
      <c r="U633" s="21" t="str">
        <f t="shared" si="160"/>
        <v>Low</v>
      </c>
      <c r="V633">
        <f t="shared" si="147"/>
        <v>759.33</v>
      </c>
      <c r="W633" s="7">
        <v>759.33</v>
      </c>
      <c r="X633" s="8">
        <v>0.23699999999999999</v>
      </c>
      <c r="Y633" s="14">
        <v>31</v>
      </c>
      <c r="Z633" s="7">
        <f t="shared" si="148"/>
        <v>179.96120999999999</v>
      </c>
      <c r="AA633" s="7">
        <f t="shared" si="149"/>
        <v>17960.432489999999</v>
      </c>
      <c r="AB633" s="7">
        <f t="shared" si="150"/>
        <v>17780.471279999998</v>
      </c>
      <c r="AC633" s="7">
        <f t="shared" si="151"/>
        <v>33616.090000000004</v>
      </c>
      <c r="AD633" s="7">
        <f t="shared" si="152"/>
        <v>-15655.657510000005</v>
      </c>
      <c r="AE633" s="7">
        <f t="shared" si="153"/>
        <v>-15835.618720000006</v>
      </c>
      <c r="AF633" s="26">
        <f>IF(AA633=0,0,AA633/AC633)</f>
        <v>0.5342808306974427</v>
      </c>
      <c r="AG633" s="8">
        <f>IF(DASHBOARD!$Q$7&gt;'staging data'!X633,'staging data'!X633,DASHBOARD!$Q$7)</f>
        <v>0.2</v>
      </c>
      <c r="AH633">
        <f>(100%+DASHBOARD!$Q$8)*'staging data'!T633</f>
        <v>1247.0485000000001</v>
      </c>
      <c r="AI633">
        <f>(100%+DASHBOARD!$Q$9)*'staging data'!Y633</f>
        <v>37.199999999999996</v>
      </c>
    </row>
    <row r="1048574" spans="22:22" x14ac:dyDescent="0.3">
      <c r="V1048574">
        <f>MAX(V2:V1048573)</f>
        <v>3661.07</v>
      </c>
    </row>
  </sheetData>
  <autoFilter ref="X1:X1048574" xr:uid="{00000000-0001-0000-0000-000000000000}"/>
  <sortState xmlns:xlrd2="http://schemas.microsoft.com/office/spreadsheetml/2017/richdata2" ref="A2:AF1048574">
    <sortCondition ref="B2:B1048574"/>
  </sortState>
  <conditionalFormatting sqref="G2">
    <cfRule type="cellIs" dxfId="7" priority="3" operator="lessThan">
      <formula>$F$2</formula>
    </cfRule>
  </conditionalFormatting>
  <conditionalFormatting sqref="H2">
    <cfRule type="cellIs" dxfId="6" priority="4" operator="lessThan">
      <formula>$F$2</formula>
    </cfRule>
  </conditionalFormatting>
  <conditionalFormatting sqref="W1:W1048576">
    <cfRule type="cellIs" dxfId="4" priority="2" operator="lessThan">
      <formula>0</formula>
    </cfRule>
    <cfRule type="cellIs" dxfId="3" priority="6" operator="lessThan">
      <formula>1</formula>
    </cfRule>
    <cfRule type="cellIs" dxfId="2" priority="7" operator="lessThan">
      <formula>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5" operator="containsText" id="{31185ADB-3C08-4D2D-8CA0-A0483157559C}">
            <xm:f>NOT(ISERROR(SEARCH("-",K1)))</xm:f>
            <xm:f>"-"</xm:f>
            <x14:dxf>
              <font>
                <color rgb="FF9C0006"/>
              </font>
              <fill>
                <patternFill>
                  <bgColor rgb="FFFFC7CE"/>
                </patternFill>
              </fill>
            </x14:dxf>
          </x14:cfRule>
          <xm:sqref>K1:K1048576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98C33-75AA-49F6-B306-D4F87B942A41}">
  <dimension ref="A2:E641"/>
  <sheetViews>
    <sheetView zoomScale="117" workbookViewId="0">
      <selection activeCell="A66" sqref="A66"/>
    </sheetView>
  </sheetViews>
  <sheetFormatPr defaultRowHeight="14.4" x14ac:dyDescent="0.3"/>
  <cols>
    <col min="1" max="1" width="14.33203125" bestFit="1" customWidth="1"/>
    <col min="2" max="2" width="24.5546875" bestFit="1" customWidth="1"/>
    <col min="3" max="3" width="23.33203125" bestFit="1" customWidth="1"/>
  </cols>
  <sheetData>
    <row r="2" spans="1:5" x14ac:dyDescent="0.3">
      <c r="E2" s="14">
        <f>0.8*88</f>
        <v>70.400000000000006</v>
      </c>
    </row>
    <row r="3" spans="1:5" x14ac:dyDescent="0.3">
      <c r="A3" s="29" t="s">
        <v>1433</v>
      </c>
      <c r="B3" t="s">
        <v>1476</v>
      </c>
      <c r="E3" s="14">
        <f>0.15*188</f>
        <v>28.2</v>
      </c>
    </row>
    <row r="4" spans="1:5" x14ac:dyDescent="0.3">
      <c r="A4" s="30" t="s">
        <v>732</v>
      </c>
      <c r="B4" s="7">
        <v>1331648.9160700005</v>
      </c>
      <c r="E4" s="14">
        <f>0.05*88</f>
        <v>4.4000000000000004</v>
      </c>
    </row>
    <row r="5" spans="1:5" x14ac:dyDescent="0.3">
      <c r="A5" s="31" t="s">
        <v>1079</v>
      </c>
      <c r="B5" s="7">
        <v>79082.507010000001</v>
      </c>
    </row>
    <row r="6" spans="1:5" x14ac:dyDescent="0.3">
      <c r="A6" s="31" t="s">
        <v>1052</v>
      </c>
      <c r="B6" s="7">
        <v>53034.364139999991</v>
      </c>
    </row>
    <row r="7" spans="1:5" x14ac:dyDescent="0.3">
      <c r="A7" s="31" t="s">
        <v>1287</v>
      </c>
      <c r="B7" s="7">
        <v>46450.26</v>
      </c>
    </row>
    <row r="8" spans="1:5" x14ac:dyDescent="0.3">
      <c r="A8" s="31" t="s">
        <v>1039</v>
      </c>
      <c r="B8" s="7">
        <v>43084.872000000003</v>
      </c>
    </row>
    <row r="9" spans="1:5" x14ac:dyDescent="0.3">
      <c r="A9" s="31" t="s">
        <v>751</v>
      </c>
      <c r="B9" s="7">
        <v>38096.18406</v>
      </c>
    </row>
    <row r="10" spans="1:5" x14ac:dyDescent="0.3">
      <c r="A10" s="31" t="s">
        <v>809</v>
      </c>
      <c r="B10" s="7">
        <v>35396.277799999996</v>
      </c>
    </row>
    <row r="11" spans="1:5" x14ac:dyDescent="0.3">
      <c r="A11" s="31" t="s">
        <v>1093</v>
      </c>
      <c r="B11" s="7">
        <v>35167.7448</v>
      </c>
    </row>
    <row r="12" spans="1:5" x14ac:dyDescent="0.3">
      <c r="A12" s="31" t="s">
        <v>830</v>
      </c>
      <c r="B12" s="7">
        <v>34139.159999999996</v>
      </c>
    </row>
    <row r="13" spans="1:5" x14ac:dyDescent="0.3">
      <c r="A13" s="31" t="s">
        <v>810</v>
      </c>
      <c r="B13" s="7">
        <v>33062.236480000007</v>
      </c>
    </row>
    <row r="14" spans="1:5" x14ac:dyDescent="0.3">
      <c r="A14" s="31" t="s">
        <v>875</v>
      </c>
      <c r="B14" s="7">
        <v>32086.37586</v>
      </c>
    </row>
    <row r="15" spans="1:5" x14ac:dyDescent="0.3">
      <c r="A15" s="31" t="s">
        <v>1174</v>
      </c>
      <c r="B15" s="7">
        <v>31513.085009999999</v>
      </c>
    </row>
    <row r="16" spans="1:5" x14ac:dyDescent="0.3">
      <c r="A16" s="31" t="s">
        <v>940</v>
      </c>
      <c r="B16" s="7">
        <v>28386.015839999996</v>
      </c>
    </row>
    <row r="17" spans="1:2" x14ac:dyDescent="0.3">
      <c r="A17" s="31" t="s">
        <v>1021</v>
      </c>
      <c r="B17" s="7">
        <v>26765.040239999998</v>
      </c>
    </row>
    <row r="18" spans="1:2" x14ac:dyDescent="0.3">
      <c r="A18" s="31" t="s">
        <v>920</v>
      </c>
      <c r="B18" s="7">
        <v>26759.28775</v>
      </c>
    </row>
    <row r="19" spans="1:2" x14ac:dyDescent="0.3">
      <c r="A19" s="31" t="s">
        <v>1085</v>
      </c>
      <c r="B19" s="7">
        <v>26552.60298</v>
      </c>
    </row>
    <row r="20" spans="1:2" x14ac:dyDescent="0.3">
      <c r="A20" s="31" t="s">
        <v>1170</v>
      </c>
      <c r="B20" s="7">
        <v>24278.849280000002</v>
      </c>
    </row>
    <row r="21" spans="1:2" x14ac:dyDescent="0.3">
      <c r="A21" s="31" t="s">
        <v>1141</v>
      </c>
      <c r="B21" s="7">
        <v>23668.560000000001</v>
      </c>
    </row>
    <row r="22" spans="1:2" x14ac:dyDescent="0.3">
      <c r="A22" s="31" t="s">
        <v>1025</v>
      </c>
      <c r="B22" s="7">
        <v>23375.594060000003</v>
      </c>
    </row>
    <row r="23" spans="1:2" x14ac:dyDescent="0.3">
      <c r="A23" s="31" t="s">
        <v>1088</v>
      </c>
      <c r="B23" s="7">
        <v>23195.01828</v>
      </c>
    </row>
    <row r="24" spans="1:2" x14ac:dyDescent="0.3">
      <c r="A24" s="31" t="s">
        <v>1211</v>
      </c>
      <c r="B24" s="7">
        <v>22620.859800000002</v>
      </c>
    </row>
    <row r="25" spans="1:2" x14ac:dyDescent="0.3">
      <c r="A25" s="31" t="s">
        <v>1254</v>
      </c>
      <c r="B25" s="7">
        <v>22526.66</v>
      </c>
    </row>
    <row r="26" spans="1:2" x14ac:dyDescent="0.3">
      <c r="A26" s="31" t="s">
        <v>1269</v>
      </c>
      <c r="B26" s="7">
        <v>20430.771599999996</v>
      </c>
    </row>
    <row r="27" spans="1:2" x14ac:dyDescent="0.3">
      <c r="A27" s="31" t="s">
        <v>1284</v>
      </c>
      <c r="B27" s="7">
        <v>20163.409200000002</v>
      </c>
    </row>
    <row r="28" spans="1:2" x14ac:dyDescent="0.3">
      <c r="A28" s="31" t="s">
        <v>826</v>
      </c>
      <c r="B28" s="7">
        <v>20079.343620000003</v>
      </c>
    </row>
    <row r="29" spans="1:2" x14ac:dyDescent="0.3">
      <c r="A29" s="31" t="s">
        <v>1183</v>
      </c>
      <c r="B29" s="7">
        <v>19628.476999999999</v>
      </c>
    </row>
    <row r="30" spans="1:2" x14ac:dyDescent="0.3">
      <c r="A30" s="31" t="s">
        <v>1023</v>
      </c>
      <c r="B30" s="7">
        <v>19066.045319999997</v>
      </c>
    </row>
    <row r="31" spans="1:2" x14ac:dyDescent="0.3">
      <c r="A31" s="31" t="s">
        <v>994</v>
      </c>
      <c r="B31" s="7">
        <v>17964.4038</v>
      </c>
    </row>
    <row r="32" spans="1:2" x14ac:dyDescent="0.3">
      <c r="A32" s="31" t="s">
        <v>942</v>
      </c>
      <c r="B32" s="7">
        <v>17847.907199999998</v>
      </c>
    </row>
    <row r="33" spans="1:2" x14ac:dyDescent="0.3">
      <c r="A33" s="31" t="s">
        <v>1073</v>
      </c>
      <c r="B33" s="7">
        <v>17067.938400000003</v>
      </c>
    </row>
    <row r="34" spans="1:2" x14ac:dyDescent="0.3">
      <c r="A34" s="31" t="s">
        <v>799</v>
      </c>
      <c r="B34" s="7">
        <v>16013.681599999998</v>
      </c>
    </row>
    <row r="35" spans="1:2" x14ac:dyDescent="0.3">
      <c r="A35" s="31" t="s">
        <v>743</v>
      </c>
      <c r="B35" s="7">
        <v>16006.14344</v>
      </c>
    </row>
    <row r="36" spans="1:2" x14ac:dyDescent="0.3">
      <c r="A36" s="31" t="s">
        <v>1285</v>
      </c>
      <c r="B36" s="7">
        <v>15860.782080000001</v>
      </c>
    </row>
    <row r="37" spans="1:2" x14ac:dyDescent="0.3">
      <c r="A37" s="31" t="s">
        <v>1278</v>
      </c>
      <c r="B37" s="7">
        <v>15530.929919999999</v>
      </c>
    </row>
    <row r="38" spans="1:2" x14ac:dyDescent="0.3">
      <c r="A38" s="31" t="s">
        <v>783</v>
      </c>
      <c r="B38" s="7">
        <v>14894.903999999999</v>
      </c>
    </row>
    <row r="39" spans="1:2" x14ac:dyDescent="0.3">
      <c r="A39" s="31" t="s">
        <v>1187</v>
      </c>
      <c r="B39" s="7">
        <v>14752.706080000002</v>
      </c>
    </row>
    <row r="40" spans="1:2" x14ac:dyDescent="0.3">
      <c r="A40" s="31" t="s">
        <v>903</v>
      </c>
      <c r="B40" s="7">
        <v>14549.029120000001</v>
      </c>
    </row>
    <row r="41" spans="1:2" x14ac:dyDescent="0.3">
      <c r="A41" s="31" t="s">
        <v>1127</v>
      </c>
      <c r="B41" s="7">
        <v>14431.738420000001</v>
      </c>
    </row>
    <row r="42" spans="1:2" x14ac:dyDescent="0.3">
      <c r="A42" s="31" t="s">
        <v>1337</v>
      </c>
      <c r="B42" s="7">
        <v>13856.52411</v>
      </c>
    </row>
    <row r="43" spans="1:2" x14ac:dyDescent="0.3">
      <c r="A43" s="31" t="s">
        <v>880</v>
      </c>
      <c r="B43" s="7">
        <v>13321.14</v>
      </c>
    </row>
    <row r="44" spans="1:2" x14ac:dyDescent="0.3">
      <c r="A44" s="31" t="s">
        <v>1290</v>
      </c>
      <c r="B44" s="7">
        <v>13108.78584</v>
      </c>
    </row>
    <row r="45" spans="1:2" x14ac:dyDescent="0.3">
      <c r="A45" s="31" t="s">
        <v>1032</v>
      </c>
      <c r="B45" s="7">
        <v>12699.28</v>
      </c>
    </row>
    <row r="46" spans="1:2" x14ac:dyDescent="0.3">
      <c r="A46" s="31" t="s">
        <v>1320</v>
      </c>
      <c r="B46" s="7">
        <v>12040.64352</v>
      </c>
    </row>
    <row r="47" spans="1:2" x14ac:dyDescent="0.3">
      <c r="A47" s="31" t="s">
        <v>1226</v>
      </c>
      <c r="B47" s="7">
        <v>11859.695119999998</v>
      </c>
    </row>
    <row r="48" spans="1:2" x14ac:dyDescent="0.3">
      <c r="A48" s="31" t="s">
        <v>1045</v>
      </c>
      <c r="B48" s="7">
        <v>11283.400799999999</v>
      </c>
    </row>
    <row r="49" spans="1:2" x14ac:dyDescent="0.3">
      <c r="A49" s="31" t="s">
        <v>887</v>
      </c>
      <c r="B49" s="7">
        <v>11015.510400000003</v>
      </c>
    </row>
    <row r="50" spans="1:2" x14ac:dyDescent="0.3">
      <c r="A50" s="31" t="s">
        <v>755</v>
      </c>
      <c r="B50" s="7">
        <v>10936.992</v>
      </c>
    </row>
    <row r="51" spans="1:2" x14ac:dyDescent="0.3">
      <c r="A51" s="31" t="s">
        <v>1148</v>
      </c>
      <c r="B51" s="7">
        <v>10893.6232</v>
      </c>
    </row>
    <row r="52" spans="1:2" x14ac:dyDescent="0.3">
      <c r="A52" s="31" t="s">
        <v>1354</v>
      </c>
      <c r="B52" s="7">
        <v>10693.88488</v>
      </c>
    </row>
    <row r="53" spans="1:2" x14ac:dyDescent="0.3">
      <c r="A53" s="31" t="s">
        <v>803</v>
      </c>
      <c r="B53" s="7">
        <v>10647.727199999999</v>
      </c>
    </row>
    <row r="54" spans="1:2" x14ac:dyDescent="0.3">
      <c r="A54" s="31" t="s">
        <v>918</v>
      </c>
      <c r="B54" s="7">
        <v>10388.429999999998</v>
      </c>
    </row>
    <row r="55" spans="1:2" x14ac:dyDescent="0.3">
      <c r="A55" s="31" t="s">
        <v>891</v>
      </c>
      <c r="B55" s="7">
        <v>10382.65884</v>
      </c>
    </row>
    <row r="56" spans="1:2" x14ac:dyDescent="0.3">
      <c r="A56" s="31" t="s">
        <v>1058</v>
      </c>
      <c r="B56" s="7">
        <v>9829.0483199999999</v>
      </c>
    </row>
    <row r="57" spans="1:2" x14ac:dyDescent="0.3">
      <c r="A57" s="31" t="s">
        <v>1321</v>
      </c>
      <c r="B57" s="7">
        <v>9022.35</v>
      </c>
    </row>
    <row r="58" spans="1:2" x14ac:dyDescent="0.3">
      <c r="A58" s="31" t="s">
        <v>1230</v>
      </c>
      <c r="B58" s="7">
        <v>8644.6696000000011</v>
      </c>
    </row>
    <row r="59" spans="1:2" x14ac:dyDescent="0.3">
      <c r="A59" s="31" t="s">
        <v>758</v>
      </c>
      <c r="B59" s="7">
        <v>8596.2905599999995</v>
      </c>
    </row>
    <row r="60" spans="1:2" x14ac:dyDescent="0.3">
      <c r="A60" s="31" t="s">
        <v>1325</v>
      </c>
      <c r="B60" s="7">
        <v>8366.02</v>
      </c>
    </row>
    <row r="61" spans="1:2" x14ac:dyDescent="0.3">
      <c r="A61" s="31" t="s">
        <v>1149</v>
      </c>
      <c r="B61" s="7">
        <v>7969.4615000000003</v>
      </c>
    </row>
    <row r="62" spans="1:2" x14ac:dyDescent="0.3">
      <c r="A62" s="31" t="s">
        <v>947</v>
      </c>
      <c r="B62" s="7">
        <v>7854.6693599999999</v>
      </c>
    </row>
    <row r="63" spans="1:2" x14ac:dyDescent="0.3">
      <c r="A63" s="31" t="s">
        <v>915</v>
      </c>
      <c r="B63" s="7">
        <v>7689.4560000000001</v>
      </c>
    </row>
    <row r="64" spans="1:2" x14ac:dyDescent="0.3">
      <c r="A64" s="31" t="s">
        <v>747</v>
      </c>
      <c r="B64" s="7">
        <v>7578.84</v>
      </c>
    </row>
    <row r="65" spans="1:2" x14ac:dyDescent="0.3">
      <c r="A65" s="31" t="s">
        <v>992</v>
      </c>
      <c r="B65" s="7">
        <v>7568.9632000000001</v>
      </c>
    </row>
    <row r="66" spans="1:2" x14ac:dyDescent="0.3">
      <c r="A66" s="31" t="s">
        <v>1224</v>
      </c>
      <c r="B66" s="7">
        <v>7507.4514899999995</v>
      </c>
    </row>
    <row r="67" spans="1:2" x14ac:dyDescent="0.3">
      <c r="A67" s="31" t="s">
        <v>1026</v>
      </c>
      <c r="B67" s="7">
        <v>7382.1450000000004</v>
      </c>
    </row>
    <row r="68" spans="1:2" x14ac:dyDescent="0.3">
      <c r="A68" s="31" t="s">
        <v>1003</v>
      </c>
      <c r="B68" s="7">
        <v>7235.2134999999998</v>
      </c>
    </row>
    <row r="69" spans="1:2" x14ac:dyDescent="0.3">
      <c r="A69" s="31" t="s">
        <v>1065</v>
      </c>
      <c r="B69" s="7">
        <v>7105.3528000000006</v>
      </c>
    </row>
    <row r="70" spans="1:2" x14ac:dyDescent="0.3">
      <c r="A70" s="31" t="s">
        <v>1309</v>
      </c>
      <c r="B70" s="7">
        <v>6732.4334000000008</v>
      </c>
    </row>
    <row r="71" spans="1:2" x14ac:dyDescent="0.3">
      <c r="A71" s="31" t="s">
        <v>1010</v>
      </c>
      <c r="B71" s="7">
        <v>6066.54648</v>
      </c>
    </row>
    <row r="72" spans="1:2" x14ac:dyDescent="0.3">
      <c r="A72" s="31" t="s">
        <v>836</v>
      </c>
      <c r="B72" s="7">
        <v>5960.3340000000007</v>
      </c>
    </row>
    <row r="73" spans="1:2" x14ac:dyDescent="0.3">
      <c r="A73" s="31" t="s">
        <v>1066</v>
      </c>
      <c r="B73" s="7">
        <v>5610.0923999999995</v>
      </c>
    </row>
    <row r="74" spans="1:2" x14ac:dyDescent="0.3">
      <c r="A74" s="31" t="s">
        <v>960</v>
      </c>
      <c r="B74" s="7">
        <v>5533.6230000000005</v>
      </c>
    </row>
    <row r="75" spans="1:2" x14ac:dyDescent="0.3">
      <c r="A75" s="31" t="s">
        <v>790</v>
      </c>
      <c r="B75" s="7">
        <v>4790.1068000000005</v>
      </c>
    </row>
    <row r="76" spans="1:2" x14ac:dyDescent="0.3">
      <c r="A76" s="31" t="s">
        <v>1274</v>
      </c>
      <c r="B76" s="7">
        <v>4737.2198399999997</v>
      </c>
    </row>
    <row r="77" spans="1:2" x14ac:dyDescent="0.3">
      <c r="A77" s="31" t="s">
        <v>1302</v>
      </c>
      <c r="B77" s="7">
        <v>4577.1480000000001</v>
      </c>
    </row>
    <row r="78" spans="1:2" x14ac:dyDescent="0.3">
      <c r="A78" s="31" t="s">
        <v>792</v>
      </c>
      <c r="B78" s="7">
        <v>4569.8508000000002</v>
      </c>
    </row>
    <row r="79" spans="1:2" x14ac:dyDescent="0.3">
      <c r="A79" s="31" t="s">
        <v>864</v>
      </c>
      <c r="B79" s="7">
        <v>4417.8334199999999</v>
      </c>
    </row>
    <row r="80" spans="1:2" x14ac:dyDescent="0.3">
      <c r="A80" s="31" t="s">
        <v>1091</v>
      </c>
      <c r="B80" s="7">
        <v>4071.8</v>
      </c>
    </row>
    <row r="81" spans="1:2" x14ac:dyDescent="0.3">
      <c r="A81" s="31" t="s">
        <v>1071</v>
      </c>
      <c r="B81" s="7">
        <v>3021.5016000000001</v>
      </c>
    </row>
    <row r="82" spans="1:2" x14ac:dyDescent="0.3">
      <c r="A82" s="31" t="s">
        <v>1198</v>
      </c>
      <c r="B82" s="7">
        <v>2719.8567000000003</v>
      </c>
    </row>
    <row r="83" spans="1:2" x14ac:dyDescent="0.3">
      <c r="A83" s="31" t="s">
        <v>846</v>
      </c>
      <c r="B83" s="7">
        <v>2117.4834999999998</v>
      </c>
    </row>
    <row r="84" spans="1:2" x14ac:dyDescent="0.3">
      <c r="A84" s="31" t="s">
        <v>1222</v>
      </c>
      <c r="B84" s="7">
        <v>1547.3500000000001</v>
      </c>
    </row>
    <row r="85" spans="1:2" x14ac:dyDescent="0.3">
      <c r="A85" s="31" t="s">
        <v>872</v>
      </c>
      <c r="B85" s="7">
        <v>1446.9507000000001</v>
      </c>
    </row>
    <row r="86" spans="1:2" x14ac:dyDescent="0.3">
      <c r="A86" s="31" t="s">
        <v>1351</v>
      </c>
      <c r="B86" s="7">
        <v>1030.7574</v>
      </c>
    </row>
    <row r="87" spans="1:2" x14ac:dyDescent="0.3">
      <c r="A87" s="31" t="s">
        <v>1249</v>
      </c>
      <c r="B87" s="7">
        <v>1010.3759200000001</v>
      </c>
    </row>
    <row r="88" spans="1:2" x14ac:dyDescent="0.3">
      <c r="A88" s="31" t="s">
        <v>1193</v>
      </c>
      <c r="B88" s="7">
        <v>930.17574000000002</v>
      </c>
    </row>
    <row r="89" spans="1:2" x14ac:dyDescent="0.3">
      <c r="A89" s="31" t="s">
        <v>954</v>
      </c>
      <c r="B89" s="7">
        <v>908.03700000000003</v>
      </c>
    </row>
    <row r="90" spans="1:2" x14ac:dyDescent="0.3">
      <c r="A90" s="31" t="s">
        <v>842</v>
      </c>
      <c r="B90" s="7">
        <v>549.80010000000004</v>
      </c>
    </row>
    <row r="91" spans="1:2" x14ac:dyDescent="0.3">
      <c r="A91" s="31" t="s">
        <v>791</v>
      </c>
      <c r="B91" s="7">
        <v>272.98599999999999</v>
      </c>
    </row>
    <row r="92" spans="1:2" x14ac:dyDescent="0.3">
      <c r="A92" s="31" t="s">
        <v>913</v>
      </c>
      <c r="B92" s="7">
        <v>18.659839999999999</v>
      </c>
    </row>
    <row r="93" spans="1:2" x14ac:dyDescent="0.3">
      <c r="A93" s="30" t="s">
        <v>726</v>
      </c>
      <c r="B93" s="7">
        <v>1545646.997579999</v>
      </c>
    </row>
    <row r="94" spans="1:2" x14ac:dyDescent="0.3">
      <c r="A94" s="31" t="s">
        <v>970</v>
      </c>
      <c r="B94" s="7">
        <v>139277.83032000001</v>
      </c>
    </row>
    <row r="95" spans="1:2" x14ac:dyDescent="0.3">
      <c r="A95" s="31" t="s">
        <v>1197</v>
      </c>
      <c r="B95" s="7">
        <v>84136.119600000005</v>
      </c>
    </row>
    <row r="96" spans="1:2" x14ac:dyDescent="0.3">
      <c r="A96" s="31" t="s">
        <v>859</v>
      </c>
      <c r="B96" s="7">
        <v>65111.38614000001</v>
      </c>
    </row>
    <row r="97" spans="1:2" x14ac:dyDescent="0.3">
      <c r="A97" s="31" t="s">
        <v>742</v>
      </c>
      <c r="B97" s="7">
        <v>60928.502359999999</v>
      </c>
    </row>
    <row r="98" spans="1:2" x14ac:dyDescent="0.3">
      <c r="A98" s="31" t="s">
        <v>1244</v>
      </c>
      <c r="B98" s="7">
        <v>50296.415399999998</v>
      </c>
    </row>
    <row r="99" spans="1:2" x14ac:dyDescent="0.3">
      <c r="A99" s="31" t="s">
        <v>1124</v>
      </c>
      <c r="B99" s="7">
        <v>48097.911050000002</v>
      </c>
    </row>
    <row r="100" spans="1:2" x14ac:dyDescent="0.3">
      <c r="A100" s="31" t="s">
        <v>1350</v>
      </c>
      <c r="B100" s="7">
        <v>41419.524249999995</v>
      </c>
    </row>
    <row r="101" spans="1:2" x14ac:dyDescent="0.3">
      <c r="A101" s="31" t="s">
        <v>1360</v>
      </c>
      <c r="B101" s="7">
        <v>40476.013200000001</v>
      </c>
    </row>
    <row r="102" spans="1:2" x14ac:dyDescent="0.3">
      <c r="A102" s="31" t="s">
        <v>793</v>
      </c>
      <c r="B102" s="7">
        <v>33687.501800000005</v>
      </c>
    </row>
    <row r="103" spans="1:2" x14ac:dyDescent="0.3">
      <c r="A103" s="31" t="s">
        <v>1246</v>
      </c>
      <c r="B103" s="7">
        <v>33308.550000000003</v>
      </c>
    </row>
    <row r="104" spans="1:2" x14ac:dyDescent="0.3">
      <c r="A104" s="31" t="s">
        <v>1237</v>
      </c>
      <c r="B104" s="7">
        <v>32335.21802</v>
      </c>
    </row>
    <row r="105" spans="1:2" x14ac:dyDescent="0.3">
      <c r="A105" s="31" t="s">
        <v>794</v>
      </c>
      <c r="B105" s="7">
        <v>27701.570400000001</v>
      </c>
    </row>
    <row r="106" spans="1:2" x14ac:dyDescent="0.3">
      <c r="A106" s="31" t="s">
        <v>843</v>
      </c>
      <c r="B106" s="7">
        <v>27676.35</v>
      </c>
    </row>
    <row r="107" spans="1:2" x14ac:dyDescent="0.3">
      <c r="A107" s="31" t="s">
        <v>767</v>
      </c>
      <c r="B107" s="7">
        <v>27331.829999999998</v>
      </c>
    </row>
    <row r="108" spans="1:2" x14ac:dyDescent="0.3">
      <c r="A108" s="31" t="s">
        <v>1081</v>
      </c>
      <c r="B108" s="7">
        <v>27158.894079999998</v>
      </c>
    </row>
    <row r="109" spans="1:2" x14ac:dyDescent="0.3">
      <c r="A109" s="31" t="s">
        <v>1057</v>
      </c>
      <c r="B109" s="7">
        <v>26015.449459999996</v>
      </c>
    </row>
    <row r="110" spans="1:2" x14ac:dyDescent="0.3">
      <c r="A110" s="31" t="s">
        <v>1033</v>
      </c>
      <c r="B110" s="7">
        <v>25577.274079999999</v>
      </c>
    </row>
    <row r="111" spans="1:2" x14ac:dyDescent="0.3">
      <c r="A111" s="31" t="s">
        <v>1200</v>
      </c>
      <c r="B111" s="7">
        <v>25269.09</v>
      </c>
    </row>
    <row r="112" spans="1:2" x14ac:dyDescent="0.3">
      <c r="A112" s="31" t="s">
        <v>1318</v>
      </c>
      <c r="B112" s="7">
        <v>25131.155999999999</v>
      </c>
    </row>
    <row r="113" spans="1:2" x14ac:dyDescent="0.3">
      <c r="A113" s="31" t="s">
        <v>757</v>
      </c>
      <c r="B113" s="7">
        <v>24894.430559999997</v>
      </c>
    </row>
    <row r="114" spans="1:2" x14ac:dyDescent="0.3">
      <c r="A114" s="31" t="s">
        <v>1191</v>
      </c>
      <c r="B114" s="7">
        <v>24321.57</v>
      </c>
    </row>
    <row r="115" spans="1:2" x14ac:dyDescent="0.3">
      <c r="A115" s="31" t="s">
        <v>890</v>
      </c>
      <c r="B115" s="7">
        <v>24147.922500000001</v>
      </c>
    </row>
    <row r="116" spans="1:2" x14ac:dyDescent="0.3">
      <c r="A116" s="31" t="s">
        <v>1184</v>
      </c>
      <c r="B116" s="7">
        <v>23694.405119999999</v>
      </c>
    </row>
    <row r="117" spans="1:2" x14ac:dyDescent="0.3">
      <c r="A117" s="31" t="s">
        <v>993</v>
      </c>
      <c r="B117" s="7">
        <v>22882.675440000003</v>
      </c>
    </row>
    <row r="118" spans="1:2" x14ac:dyDescent="0.3">
      <c r="A118" s="31" t="s">
        <v>811</v>
      </c>
      <c r="B118" s="7">
        <v>21787.936199999996</v>
      </c>
    </row>
    <row r="119" spans="1:2" x14ac:dyDescent="0.3">
      <c r="A119" s="31" t="s">
        <v>1098</v>
      </c>
      <c r="B119" s="7">
        <v>21584.693520000001</v>
      </c>
    </row>
    <row r="120" spans="1:2" x14ac:dyDescent="0.3">
      <c r="A120" s="31" t="s">
        <v>1126</v>
      </c>
      <c r="B120" s="7">
        <v>19800.88896</v>
      </c>
    </row>
    <row r="121" spans="1:2" x14ac:dyDescent="0.3">
      <c r="A121" s="31" t="s">
        <v>989</v>
      </c>
      <c r="B121" s="7">
        <v>19073.059649999999</v>
      </c>
    </row>
    <row r="122" spans="1:2" x14ac:dyDescent="0.3">
      <c r="A122" s="31" t="s">
        <v>769</v>
      </c>
      <c r="B122" s="7">
        <v>18957.37689</v>
      </c>
    </row>
    <row r="123" spans="1:2" x14ac:dyDescent="0.3">
      <c r="A123" s="31" t="s">
        <v>1100</v>
      </c>
      <c r="B123" s="7">
        <v>18554.370299999999</v>
      </c>
    </row>
    <row r="124" spans="1:2" x14ac:dyDescent="0.3">
      <c r="A124" s="31" t="s">
        <v>943</v>
      </c>
      <c r="B124" s="7">
        <v>18061.204320000004</v>
      </c>
    </row>
    <row r="125" spans="1:2" x14ac:dyDescent="0.3">
      <c r="A125" s="31" t="s">
        <v>777</v>
      </c>
      <c r="B125" s="7">
        <v>17930.494560000003</v>
      </c>
    </row>
    <row r="126" spans="1:2" x14ac:dyDescent="0.3">
      <c r="A126" s="31" t="s">
        <v>1000</v>
      </c>
      <c r="B126" s="7">
        <v>17594.028880000002</v>
      </c>
    </row>
    <row r="127" spans="1:2" x14ac:dyDescent="0.3">
      <c r="A127" s="31" t="s">
        <v>1297</v>
      </c>
      <c r="B127" s="7">
        <v>17540.201120000002</v>
      </c>
    </row>
    <row r="128" spans="1:2" x14ac:dyDescent="0.3">
      <c r="A128" s="31" t="s">
        <v>1134</v>
      </c>
      <c r="B128" s="7">
        <v>16946.091840000001</v>
      </c>
    </row>
    <row r="129" spans="1:2" x14ac:dyDescent="0.3">
      <c r="A129" s="31" t="s">
        <v>1204</v>
      </c>
      <c r="B129" s="7">
        <v>15374.563199999999</v>
      </c>
    </row>
    <row r="130" spans="1:2" x14ac:dyDescent="0.3">
      <c r="A130" s="31" t="s">
        <v>1110</v>
      </c>
      <c r="B130" s="7">
        <v>15348.702599999999</v>
      </c>
    </row>
    <row r="131" spans="1:2" x14ac:dyDescent="0.3">
      <c r="A131" s="31" t="s">
        <v>967</v>
      </c>
      <c r="B131" s="7">
        <v>14269.848599999999</v>
      </c>
    </row>
    <row r="132" spans="1:2" x14ac:dyDescent="0.3">
      <c r="A132" s="31" t="s">
        <v>819</v>
      </c>
      <c r="B132" s="7">
        <v>14197.064400000001</v>
      </c>
    </row>
    <row r="133" spans="1:2" x14ac:dyDescent="0.3">
      <c r="A133" s="31" t="s">
        <v>1357</v>
      </c>
      <c r="B133" s="7">
        <v>13983.752729999998</v>
      </c>
    </row>
    <row r="134" spans="1:2" x14ac:dyDescent="0.3">
      <c r="A134" s="31" t="s">
        <v>953</v>
      </c>
      <c r="B134" s="7">
        <v>13519.529099999998</v>
      </c>
    </row>
    <row r="135" spans="1:2" x14ac:dyDescent="0.3">
      <c r="A135" s="31" t="s">
        <v>1130</v>
      </c>
      <c r="B135" s="7">
        <v>13185.543</v>
      </c>
    </row>
    <row r="136" spans="1:2" x14ac:dyDescent="0.3">
      <c r="A136" s="31" t="s">
        <v>818</v>
      </c>
      <c r="B136" s="7">
        <v>13146.470699999998</v>
      </c>
    </row>
    <row r="137" spans="1:2" x14ac:dyDescent="0.3">
      <c r="A137" s="31" t="s">
        <v>983</v>
      </c>
      <c r="B137" s="7">
        <v>12186.368600000002</v>
      </c>
    </row>
    <row r="138" spans="1:2" x14ac:dyDescent="0.3">
      <c r="A138" s="31" t="s">
        <v>838</v>
      </c>
      <c r="B138" s="7">
        <v>12080.215199999999</v>
      </c>
    </row>
    <row r="139" spans="1:2" x14ac:dyDescent="0.3">
      <c r="A139" s="31" t="s">
        <v>770</v>
      </c>
      <c r="B139" s="7">
        <v>11995.153920000001</v>
      </c>
    </row>
    <row r="140" spans="1:2" x14ac:dyDescent="0.3">
      <c r="A140" s="31" t="s">
        <v>1322</v>
      </c>
      <c r="B140" s="7">
        <v>11742.8703</v>
      </c>
    </row>
    <row r="141" spans="1:2" x14ac:dyDescent="0.3">
      <c r="A141" s="31" t="s">
        <v>1022</v>
      </c>
      <c r="B141" s="7">
        <v>10456.416880000001</v>
      </c>
    </row>
    <row r="142" spans="1:2" x14ac:dyDescent="0.3">
      <c r="A142" s="31" t="s">
        <v>763</v>
      </c>
      <c r="B142" s="7">
        <v>9805.8573800000013</v>
      </c>
    </row>
    <row r="143" spans="1:2" x14ac:dyDescent="0.3">
      <c r="A143" s="31" t="s">
        <v>869</v>
      </c>
      <c r="B143" s="7">
        <v>9698.1638399999993</v>
      </c>
    </row>
    <row r="144" spans="1:2" x14ac:dyDescent="0.3">
      <c r="A144" s="31" t="s">
        <v>802</v>
      </c>
      <c r="B144" s="7">
        <v>8930.7124999999996</v>
      </c>
    </row>
    <row r="145" spans="1:2" x14ac:dyDescent="0.3">
      <c r="A145" s="31" t="s">
        <v>904</v>
      </c>
      <c r="B145" s="7">
        <v>8928.9795999999988</v>
      </c>
    </row>
    <row r="146" spans="1:2" x14ac:dyDescent="0.3">
      <c r="A146" s="31" t="s">
        <v>858</v>
      </c>
      <c r="B146" s="7">
        <v>8909.8587200000002</v>
      </c>
    </row>
    <row r="147" spans="1:2" x14ac:dyDescent="0.3">
      <c r="A147" s="31" t="s">
        <v>1027</v>
      </c>
      <c r="B147" s="7">
        <v>8903.4839999999986</v>
      </c>
    </row>
    <row r="148" spans="1:2" x14ac:dyDescent="0.3">
      <c r="A148" s="31" t="s">
        <v>1048</v>
      </c>
      <c r="B148" s="7">
        <v>8780.5809000000008</v>
      </c>
    </row>
    <row r="149" spans="1:2" x14ac:dyDescent="0.3">
      <c r="A149" s="31" t="s">
        <v>1327</v>
      </c>
      <c r="B149" s="7">
        <v>8128.5187499999993</v>
      </c>
    </row>
    <row r="150" spans="1:2" x14ac:dyDescent="0.3">
      <c r="A150" s="31" t="s">
        <v>1136</v>
      </c>
      <c r="B150" s="7">
        <v>7832.0010999999995</v>
      </c>
    </row>
    <row r="151" spans="1:2" x14ac:dyDescent="0.3">
      <c r="A151" s="31" t="s">
        <v>1252</v>
      </c>
      <c r="B151" s="7">
        <v>7399.4832000000006</v>
      </c>
    </row>
    <row r="152" spans="1:2" x14ac:dyDescent="0.3">
      <c r="A152" s="31" t="s">
        <v>1169</v>
      </c>
      <c r="B152" s="7">
        <v>7340.3891399999993</v>
      </c>
    </row>
    <row r="153" spans="1:2" x14ac:dyDescent="0.3">
      <c r="A153" s="31" t="s">
        <v>808</v>
      </c>
      <c r="B153" s="7">
        <v>6874.4828600000001</v>
      </c>
    </row>
    <row r="154" spans="1:2" x14ac:dyDescent="0.3">
      <c r="A154" s="31" t="s">
        <v>1292</v>
      </c>
      <c r="B154" s="7">
        <v>6766.9829999999993</v>
      </c>
    </row>
    <row r="155" spans="1:2" x14ac:dyDescent="0.3">
      <c r="A155" s="31" t="s">
        <v>939</v>
      </c>
      <c r="B155" s="7">
        <v>6702.3501999999999</v>
      </c>
    </row>
    <row r="156" spans="1:2" x14ac:dyDescent="0.3">
      <c r="A156" s="31" t="s">
        <v>1223</v>
      </c>
      <c r="B156" s="7">
        <v>6664.0999999999995</v>
      </c>
    </row>
    <row r="157" spans="1:2" x14ac:dyDescent="0.3">
      <c r="A157" s="31" t="s">
        <v>1256</v>
      </c>
      <c r="B157" s="7">
        <v>6435.2555999999995</v>
      </c>
    </row>
    <row r="158" spans="1:2" x14ac:dyDescent="0.3">
      <c r="A158" s="31" t="s">
        <v>834</v>
      </c>
      <c r="B158" s="7">
        <v>6324.5775999999996</v>
      </c>
    </row>
    <row r="159" spans="1:2" x14ac:dyDescent="0.3">
      <c r="A159" s="31" t="s">
        <v>1312</v>
      </c>
      <c r="B159" s="7">
        <v>6137.8019999999988</v>
      </c>
    </row>
    <row r="160" spans="1:2" x14ac:dyDescent="0.3">
      <c r="A160" s="31" t="s">
        <v>1217</v>
      </c>
      <c r="B160" s="7">
        <v>6063.2517199999993</v>
      </c>
    </row>
    <row r="161" spans="1:2" x14ac:dyDescent="0.3">
      <c r="A161" s="31" t="s">
        <v>894</v>
      </c>
      <c r="B161" s="7">
        <v>5650.1744000000008</v>
      </c>
    </row>
    <row r="162" spans="1:2" x14ac:dyDescent="0.3">
      <c r="A162" s="31" t="s">
        <v>815</v>
      </c>
      <c r="B162" s="7">
        <v>5331.6696000000002</v>
      </c>
    </row>
    <row r="163" spans="1:2" x14ac:dyDescent="0.3">
      <c r="A163" s="31" t="s">
        <v>745</v>
      </c>
      <c r="B163" s="7">
        <v>4968.5039999999999</v>
      </c>
    </row>
    <row r="164" spans="1:2" x14ac:dyDescent="0.3">
      <c r="A164" s="31" t="s">
        <v>733</v>
      </c>
      <c r="B164" s="7">
        <v>4866.3287999999993</v>
      </c>
    </row>
    <row r="165" spans="1:2" x14ac:dyDescent="0.3">
      <c r="A165" s="31" t="s">
        <v>955</v>
      </c>
      <c r="B165" s="7">
        <v>4503.4363999999996</v>
      </c>
    </row>
    <row r="166" spans="1:2" x14ac:dyDescent="0.3">
      <c r="A166" s="31" t="s">
        <v>807</v>
      </c>
      <c r="B166" s="7">
        <v>4427.9172000000008</v>
      </c>
    </row>
    <row r="167" spans="1:2" x14ac:dyDescent="0.3">
      <c r="A167" s="31" t="s">
        <v>1209</v>
      </c>
      <c r="B167" s="7">
        <v>4212.3745999999992</v>
      </c>
    </row>
    <row r="168" spans="1:2" x14ac:dyDescent="0.3">
      <c r="A168" s="31" t="s">
        <v>1243</v>
      </c>
      <c r="B168" s="7">
        <v>3525.5505600000001</v>
      </c>
    </row>
    <row r="169" spans="1:2" x14ac:dyDescent="0.3">
      <c r="A169" s="31" t="s">
        <v>1301</v>
      </c>
      <c r="B169" s="7">
        <v>3378.1478400000001</v>
      </c>
    </row>
    <row r="170" spans="1:2" x14ac:dyDescent="0.3">
      <c r="A170" s="31" t="s">
        <v>1059</v>
      </c>
      <c r="B170" s="7">
        <v>2373.9623200000001</v>
      </c>
    </row>
    <row r="171" spans="1:2" x14ac:dyDescent="0.3">
      <c r="A171" s="31" t="s">
        <v>902</v>
      </c>
      <c r="B171" s="7">
        <v>2316.2621999999997</v>
      </c>
    </row>
    <row r="172" spans="1:2" x14ac:dyDescent="0.3">
      <c r="A172" s="31" t="s">
        <v>1340</v>
      </c>
      <c r="B172" s="7">
        <v>2077.46</v>
      </c>
    </row>
    <row r="173" spans="1:2" x14ac:dyDescent="0.3">
      <c r="A173" s="31" t="s">
        <v>857</v>
      </c>
      <c r="B173" s="7">
        <v>2072.9258400000003</v>
      </c>
    </row>
    <row r="174" spans="1:2" x14ac:dyDescent="0.3">
      <c r="A174" s="31" t="s">
        <v>1196</v>
      </c>
      <c r="B174" s="7">
        <v>1808.04592</v>
      </c>
    </row>
    <row r="175" spans="1:2" x14ac:dyDescent="0.3">
      <c r="A175" s="31" t="s">
        <v>1192</v>
      </c>
      <c r="B175" s="7">
        <v>1662.6945600000001</v>
      </c>
    </row>
    <row r="176" spans="1:2" x14ac:dyDescent="0.3">
      <c r="A176" s="31" t="s">
        <v>820</v>
      </c>
      <c r="B176" s="7">
        <v>1654.8966000000003</v>
      </c>
    </row>
    <row r="177" spans="1:2" x14ac:dyDescent="0.3">
      <c r="A177" s="31" t="s">
        <v>1251</v>
      </c>
      <c r="B177" s="7">
        <v>855.72881999999993</v>
      </c>
    </row>
    <row r="178" spans="1:2" x14ac:dyDescent="0.3">
      <c r="A178" s="31" t="s">
        <v>860</v>
      </c>
      <c r="B178" s="7">
        <v>853.32276999999988</v>
      </c>
    </row>
    <row r="179" spans="1:2" x14ac:dyDescent="0.3">
      <c r="A179" s="31" t="s">
        <v>1056</v>
      </c>
      <c r="B179" s="7">
        <v>703.2428000000001</v>
      </c>
    </row>
    <row r="180" spans="1:2" x14ac:dyDescent="0.3">
      <c r="A180" s="31" t="s">
        <v>963</v>
      </c>
      <c r="B180" s="7">
        <v>667.15008</v>
      </c>
    </row>
    <row r="181" spans="1:2" x14ac:dyDescent="0.3">
      <c r="A181" s="31" t="s">
        <v>1306</v>
      </c>
      <c r="B181" s="7">
        <v>496.98660000000001</v>
      </c>
    </row>
    <row r="182" spans="1:2" x14ac:dyDescent="0.3">
      <c r="A182" s="31" t="s">
        <v>910</v>
      </c>
      <c r="B182" s="7">
        <v>321.93290999999999</v>
      </c>
    </row>
    <row r="183" spans="1:2" x14ac:dyDescent="0.3">
      <c r="A183" s="31" t="s">
        <v>905</v>
      </c>
      <c r="B183" s="7">
        <v>97.0154</v>
      </c>
    </row>
    <row r="184" spans="1:2" x14ac:dyDescent="0.3">
      <c r="A184" s="30" t="s">
        <v>730</v>
      </c>
      <c r="B184" s="7">
        <v>1711094.3776</v>
      </c>
    </row>
    <row r="185" spans="1:2" x14ac:dyDescent="0.3">
      <c r="A185" s="31" t="s">
        <v>1154</v>
      </c>
      <c r="B185" s="7">
        <v>102122.94203999999</v>
      </c>
    </row>
    <row r="186" spans="1:2" x14ac:dyDescent="0.3">
      <c r="A186" s="31" t="s">
        <v>1095</v>
      </c>
      <c r="B186" s="7">
        <v>82514.711519999997</v>
      </c>
    </row>
    <row r="187" spans="1:2" x14ac:dyDescent="0.3">
      <c r="A187" s="31" t="s">
        <v>850</v>
      </c>
      <c r="B187" s="7">
        <v>65119.329599999997</v>
      </c>
    </row>
    <row r="188" spans="1:2" x14ac:dyDescent="0.3">
      <c r="A188" s="31" t="s">
        <v>1120</v>
      </c>
      <c r="B188" s="7">
        <v>65066.934229999999</v>
      </c>
    </row>
    <row r="189" spans="1:2" x14ac:dyDescent="0.3">
      <c r="A189" s="31" t="s">
        <v>1253</v>
      </c>
      <c r="B189" s="7">
        <v>64192.976999999999</v>
      </c>
    </row>
    <row r="190" spans="1:2" x14ac:dyDescent="0.3">
      <c r="A190" s="31" t="s">
        <v>1260</v>
      </c>
      <c r="B190" s="7">
        <v>58526.83122</v>
      </c>
    </row>
    <row r="191" spans="1:2" x14ac:dyDescent="0.3">
      <c r="A191" s="31" t="s">
        <v>1163</v>
      </c>
      <c r="B191" s="7">
        <v>58057.65</v>
      </c>
    </row>
    <row r="192" spans="1:2" x14ac:dyDescent="0.3">
      <c r="A192" s="31" t="s">
        <v>1298</v>
      </c>
      <c r="B192" s="7">
        <v>44173.627960000005</v>
      </c>
    </row>
    <row r="193" spans="1:2" x14ac:dyDescent="0.3">
      <c r="A193" s="31" t="s">
        <v>1266</v>
      </c>
      <c r="B193" s="7">
        <v>42433.254400000005</v>
      </c>
    </row>
    <row r="194" spans="1:2" x14ac:dyDescent="0.3">
      <c r="A194" s="31" t="s">
        <v>1210</v>
      </c>
      <c r="B194" s="7">
        <v>41914.215840000004</v>
      </c>
    </row>
    <row r="195" spans="1:2" x14ac:dyDescent="0.3">
      <c r="A195" s="31" t="s">
        <v>1314</v>
      </c>
      <c r="B195" s="7">
        <v>40563.321749999996</v>
      </c>
    </row>
    <row r="196" spans="1:2" x14ac:dyDescent="0.3">
      <c r="A196" s="31" t="s">
        <v>997</v>
      </c>
      <c r="B196" s="7">
        <v>40139.874619999995</v>
      </c>
    </row>
    <row r="197" spans="1:2" x14ac:dyDescent="0.3">
      <c r="A197" s="31" t="s">
        <v>752</v>
      </c>
      <c r="B197" s="7">
        <v>39263.702919999996</v>
      </c>
    </row>
    <row r="198" spans="1:2" x14ac:dyDescent="0.3">
      <c r="A198" s="31" t="s">
        <v>1214</v>
      </c>
      <c r="B198" s="7">
        <v>36161.097000000002</v>
      </c>
    </row>
    <row r="199" spans="1:2" x14ac:dyDescent="0.3">
      <c r="A199" s="31" t="s">
        <v>975</v>
      </c>
      <c r="B199" s="7">
        <v>34082.864639999993</v>
      </c>
    </row>
    <row r="200" spans="1:2" x14ac:dyDescent="0.3">
      <c r="A200" s="31" t="s">
        <v>1331</v>
      </c>
      <c r="B200" s="7">
        <v>33938.142760000002</v>
      </c>
    </row>
    <row r="201" spans="1:2" x14ac:dyDescent="0.3">
      <c r="A201" s="31" t="s">
        <v>906</v>
      </c>
      <c r="B201" s="7">
        <v>31556.187599999997</v>
      </c>
    </row>
    <row r="202" spans="1:2" x14ac:dyDescent="0.3">
      <c r="A202" s="31" t="s">
        <v>1158</v>
      </c>
      <c r="B202" s="7">
        <v>30435.614999999998</v>
      </c>
    </row>
    <row r="203" spans="1:2" x14ac:dyDescent="0.3">
      <c r="A203" s="31" t="s">
        <v>844</v>
      </c>
      <c r="B203" s="7">
        <v>30151.675319999998</v>
      </c>
    </row>
    <row r="204" spans="1:2" x14ac:dyDescent="0.3">
      <c r="A204" s="31" t="s">
        <v>789</v>
      </c>
      <c r="B204" s="7">
        <v>29659.68995</v>
      </c>
    </row>
    <row r="205" spans="1:2" x14ac:dyDescent="0.3">
      <c r="A205" s="31" t="s">
        <v>1062</v>
      </c>
      <c r="B205" s="7">
        <v>27756.432000000001</v>
      </c>
    </row>
    <row r="206" spans="1:2" x14ac:dyDescent="0.3">
      <c r="A206" s="31" t="s">
        <v>797</v>
      </c>
      <c r="B206" s="7">
        <v>26304.275999999998</v>
      </c>
    </row>
    <row r="207" spans="1:2" x14ac:dyDescent="0.3">
      <c r="A207" s="31" t="s">
        <v>832</v>
      </c>
      <c r="B207" s="7">
        <v>25502.910479999999</v>
      </c>
    </row>
    <row r="208" spans="1:2" x14ac:dyDescent="0.3">
      <c r="A208" s="31" t="s">
        <v>925</v>
      </c>
      <c r="B208" s="7">
        <v>24374.594880000001</v>
      </c>
    </row>
    <row r="209" spans="1:2" x14ac:dyDescent="0.3">
      <c r="A209" s="31" t="s">
        <v>988</v>
      </c>
      <c r="B209" s="7">
        <v>24161.205600000001</v>
      </c>
    </row>
    <row r="210" spans="1:2" x14ac:dyDescent="0.3">
      <c r="A210" s="31" t="s">
        <v>753</v>
      </c>
      <c r="B210" s="7">
        <v>23782.310720000001</v>
      </c>
    </row>
    <row r="211" spans="1:2" x14ac:dyDescent="0.3">
      <c r="A211" s="31" t="s">
        <v>1117</v>
      </c>
      <c r="B211" s="7">
        <v>22064.910300000003</v>
      </c>
    </row>
    <row r="212" spans="1:2" x14ac:dyDescent="0.3">
      <c r="A212" s="31" t="s">
        <v>884</v>
      </c>
      <c r="B212" s="7">
        <v>21572.590500000002</v>
      </c>
    </row>
    <row r="213" spans="1:2" x14ac:dyDescent="0.3">
      <c r="A213" s="31" t="s">
        <v>1028</v>
      </c>
      <c r="B213" s="7">
        <v>20455.985130000001</v>
      </c>
    </row>
    <row r="214" spans="1:2" x14ac:dyDescent="0.3">
      <c r="A214" s="31" t="s">
        <v>756</v>
      </c>
      <c r="B214" s="7">
        <v>20225.2248</v>
      </c>
    </row>
    <row r="215" spans="1:2" x14ac:dyDescent="0.3">
      <c r="A215" s="31" t="s">
        <v>805</v>
      </c>
      <c r="B215" s="7">
        <v>20171.63305</v>
      </c>
    </row>
    <row r="216" spans="1:2" x14ac:dyDescent="0.3">
      <c r="A216" s="31" t="s">
        <v>1119</v>
      </c>
      <c r="B216" s="7">
        <v>19773.362699999998</v>
      </c>
    </row>
    <row r="217" spans="1:2" x14ac:dyDescent="0.3">
      <c r="A217" s="31" t="s">
        <v>1272</v>
      </c>
      <c r="B217" s="7">
        <v>19581.87</v>
      </c>
    </row>
    <row r="218" spans="1:2" x14ac:dyDescent="0.3">
      <c r="A218" s="31" t="s">
        <v>923</v>
      </c>
      <c r="B218" s="7">
        <v>19542.975350000001</v>
      </c>
    </row>
    <row r="219" spans="1:2" x14ac:dyDescent="0.3">
      <c r="A219" s="31" t="s">
        <v>1304</v>
      </c>
      <c r="B219" s="7">
        <v>19139.594240000002</v>
      </c>
    </row>
    <row r="220" spans="1:2" x14ac:dyDescent="0.3">
      <c r="A220" s="31" t="s">
        <v>1129</v>
      </c>
      <c r="B220" s="7">
        <v>18641.222160000001</v>
      </c>
    </row>
    <row r="221" spans="1:2" x14ac:dyDescent="0.3">
      <c r="A221" s="31" t="s">
        <v>984</v>
      </c>
      <c r="B221" s="7">
        <v>17453.3436</v>
      </c>
    </row>
    <row r="222" spans="1:2" x14ac:dyDescent="0.3">
      <c r="A222" s="31" t="s">
        <v>1017</v>
      </c>
      <c r="B222" s="7">
        <v>15505.479600000001</v>
      </c>
    </row>
    <row r="223" spans="1:2" x14ac:dyDescent="0.3">
      <c r="A223" s="31" t="s">
        <v>957</v>
      </c>
      <c r="B223" s="7">
        <v>15490.527</v>
      </c>
    </row>
    <row r="224" spans="1:2" x14ac:dyDescent="0.3">
      <c r="A224" s="31" t="s">
        <v>1157</v>
      </c>
      <c r="B224" s="7">
        <v>15366.983199999999</v>
      </c>
    </row>
    <row r="225" spans="1:2" x14ac:dyDescent="0.3">
      <c r="A225" s="31" t="s">
        <v>1267</v>
      </c>
      <c r="B225" s="7">
        <v>15155.326800000001</v>
      </c>
    </row>
    <row r="226" spans="1:2" x14ac:dyDescent="0.3">
      <c r="A226" s="31" t="s">
        <v>1326</v>
      </c>
      <c r="B226" s="7">
        <v>14910.609600000002</v>
      </c>
    </row>
    <row r="227" spans="1:2" x14ac:dyDescent="0.3">
      <c r="A227" s="31" t="s">
        <v>899</v>
      </c>
      <c r="B227" s="7">
        <v>14448.298699999998</v>
      </c>
    </row>
    <row r="228" spans="1:2" x14ac:dyDescent="0.3">
      <c r="A228" s="31" t="s">
        <v>1275</v>
      </c>
      <c r="B228" s="7">
        <v>14114.068500000001</v>
      </c>
    </row>
    <row r="229" spans="1:2" x14ac:dyDescent="0.3">
      <c r="A229" s="31" t="s">
        <v>1101</v>
      </c>
      <c r="B229" s="7">
        <v>13784.586000000001</v>
      </c>
    </row>
    <row r="230" spans="1:2" x14ac:dyDescent="0.3">
      <c r="A230" s="31" t="s">
        <v>835</v>
      </c>
      <c r="B230" s="7">
        <v>13669.81</v>
      </c>
    </row>
    <row r="231" spans="1:2" x14ac:dyDescent="0.3">
      <c r="A231" s="31" t="s">
        <v>1078</v>
      </c>
      <c r="B231" s="7">
        <v>13637.287999999999</v>
      </c>
    </row>
    <row r="232" spans="1:2" x14ac:dyDescent="0.3">
      <c r="A232" s="31" t="s">
        <v>766</v>
      </c>
      <c r="B232" s="7">
        <v>13218.5</v>
      </c>
    </row>
    <row r="233" spans="1:2" x14ac:dyDescent="0.3">
      <c r="A233" s="31" t="s">
        <v>878</v>
      </c>
      <c r="B233" s="7">
        <v>12954.358080000002</v>
      </c>
    </row>
    <row r="234" spans="1:2" x14ac:dyDescent="0.3">
      <c r="A234" s="31" t="s">
        <v>837</v>
      </c>
      <c r="B234" s="7">
        <v>12335.654849999999</v>
      </c>
    </row>
    <row r="235" spans="1:2" x14ac:dyDescent="0.3">
      <c r="A235" s="31" t="s">
        <v>1082</v>
      </c>
      <c r="B235" s="7">
        <v>12236.874600000001</v>
      </c>
    </row>
    <row r="236" spans="1:2" x14ac:dyDescent="0.3">
      <c r="A236" s="31" t="s">
        <v>1016</v>
      </c>
      <c r="B236" s="7">
        <v>11696.156879999999</v>
      </c>
    </row>
    <row r="237" spans="1:2" x14ac:dyDescent="0.3">
      <c r="A237" s="31" t="s">
        <v>1247</v>
      </c>
      <c r="B237" s="7">
        <v>10859.64</v>
      </c>
    </row>
    <row r="238" spans="1:2" x14ac:dyDescent="0.3">
      <c r="A238" s="31" t="s">
        <v>1042</v>
      </c>
      <c r="B238" s="7">
        <v>9847.2358600000007</v>
      </c>
    </row>
    <row r="239" spans="1:2" x14ac:dyDescent="0.3">
      <c r="A239" s="31" t="s">
        <v>979</v>
      </c>
      <c r="B239" s="7">
        <v>9774.3888000000006</v>
      </c>
    </row>
    <row r="240" spans="1:2" x14ac:dyDescent="0.3">
      <c r="A240" s="31" t="s">
        <v>1178</v>
      </c>
      <c r="B240" s="7">
        <v>9771.4483199999995</v>
      </c>
    </row>
    <row r="241" spans="1:2" x14ac:dyDescent="0.3">
      <c r="A241" s="31" t="s">
        <v>1012</v>
      </c>
      <c r="B241" s="7">
        <v>8907.6924999999992</v>
      </c>
    </row>
    <row r="242" spans="1:2" x14ac:dyDescent="0.3">
      <c r="A242" s="31" t="s">
        <v>1008</v>
      </c>
      <c r="B242" s="7">
        <v>8567.3924999999999</v>
      </c>
    </row>
    <row r="243" spans="1:2" x14ac:dyDescent="0.3">
      <c r="A243" s="31" t="s">
        <v>865</v>
      </c>
      <c r="B243" s="7">
        <v>8336.8896000000004</v>
      </c>
    </row>
    <row r="244" spans="1:2" x14ac:dyDescent="0.3">
      <c r="A244" s="31" t="s">
        <v>1241</v>
      </c>
      <c r="B244" s="7">
        <v>8297.4286000000011</v>
      </c>
    </row>
    <row r="245" spans="1:2" x14ac:dyDescent="0.3">
      <c r="A245" s="31" t="s">
        <v>1190</v>
      </c>
      <c r="B245" s="7">
        <v>7643.2649999999994</v>
      </c>
    </row>
    <row r="246" spans="1:2" x14ac:dyDescent="0.3">
      <c r="A246" s="31" t="s">
        <v>748</v>
      </c>
      <c r="B246" s="7">
        <v>7090.5672000000004</v>
      </c>
    </row>
    <row r="247" spans="1:2" x14ac:dyDescent="0.3">
      <c r="A247" s="31" t="s">
        <v>1336</v>
      </c>
      <c r="B247" s="7">
        <v>7071.6331400000008</v>
      </c>
    </row>
    <row r="248" spans="1:2" x14ac:dyDescent="0.3">
      <c r="A248" s="31" t="s">
        <v>804</v>
      </c>
      <c r="B248" s="7">
        <v>6393.0952799999995</v>
      </c>
    </row>
    <row r="249" spans="1:2" x14ac:dyDescent="0.3">
      <c r="A249" s="31" t="s">
        <v>1037</v>
      </c>
      <c r="B249" s="7">
        <v>5932.7856000000002</v>
      </c>
    </row>
    <row r="250" spans="1:2" x14ac:dyDescent="0.3">
      <c r="A250" s="31" t="s">
        <v>785</v>
      </c>
      <c r="B250" s="7">
        <v>5785.8</v>
      </c>
    </row>
    <row r="251" spans="1:2" x14ac:dyDescent="0.3">
      <c r="A251" s="31" t="s">
        <v>1142</v>
      </c>
      <c r="B251" s="7">
        <v>5323.9903199999999</v>
      </c>
    </row>
    <row r="252" spans="1:2" x14ac:dyDescent="0.3">
      <c r="A252" s="31" t="s">
        <v>1135</v>
      </c>
      <c r="B252" s="7">
        <v>5250.4239000000007</v>
      </c>
    </row>
    <row r="253" spans="1:2" x14ac:dyDescent="0.3">
      <c r="A253" s="31" t="s">
        <v>1140</v>
      </c>
      <c r="B253" s="7">
        <v>4679.7141600000004</v>
      </c>
    </row>
    <row r="254" spans="1:2" x14ac:dyDescent="0.3">
      <c r="A254" s="31" t="s">
        <v>1296</v>
      </c>
      <c r="B254" s="7">
        <v>4229.4321199999995</v>
      </c>
    </row>
    <row r="255" spans="1:2" x14ac:dyDescent="0.3">
      <c r="A255" s="31" t="s">
        <v>738</v>
      </c>
      <c r="B255" s="7">
        <v>4141.7599999999993</v>
      </c>
    </row>
    <row r="256" spans="1:2" x14ac:dyDescent="0.3">
      <c r="A256" s="31" t="s">
        <v>1103</v>
      </c>
      <c r="B256" s="7">
        <v>4133.25108</v>
      </c>
    </row>
    <row r="257" spans="1:2" x14ac:dyDescent="0.3">
      <c r="A257" s="31" t="s">
        <v>1240</v>
      </c>
      <c r="B257" s="7">
        <v>3921.1744000000008</v>
      </c>
    </row>
    <row r="258" spans="1:2" x14ac:dyDescent="0.3">
      <c r="A258" s="31" t="s">
        <v>1315</v>
      </c>
      <c r="B258" s="7">
        <v>3823.6151599999998</v>
      </c>
    </row>
    <row r="259" spans="1:2" x14ac:dyDescent="0.3">
      <c r="A259" s="31" t="s">
        <v>972</v>
      </c>
      <c r="B259" s="7">
        <v>3823.5108</v>
      </c>
    </row>
    <row r="260" spans="1:2" x14ac:dyDescent="0.3">
      <c r="A260" s="31" t="s">
        <v>879</v>
      </c>
      <c r="B260" s="7">
        <v>3562.9028999999996</v>
      </c>
    </row>
    <row r="261" spans="1:2" x14ac:dyDescent="0.3">
      <c r="A261" s="31" t="s">
        <v>786</v>
      </c>
      <c r="B261" s="7">
        <v>2518.8755800000004</v>
      </c>
    </row>
    <row r="262" spans="1:2" x14ac:dyDescent="0.3">
      <c r="A262" s="31" t="s">
        <v>1208</v>
      </c>
      <c r="B262" s="7">
        <v>1009.2969000000002</v>
      </c>
    </row>
    <row r="263" spans="1:2" x14ac:dyDescent="0.3">
      <c r="A263" s="31" t="s">
        <v>852</v>
      </c>
      <c r="B263" s="7">
        <v>592.92849000000001</v>
      </c>
    </row>
    <row r="264" spans="1:2" x14ac:dyDescent="0.3">
      <c r="A264" s="31" t="s">
        <v>1121</v>
      </c>
      <c r="B264" s="7">
        <v>434.45248000000004</v>
      </c>
    </row>
    <row r="265" spans="1:2" x14ac:dyDescent="0.3">
      <c r="A265" s="31" t="s">
        <v>1362</v>
      </c>
      <c r="B265" s="7">
        <v>266.17821999999995</v>
      </c>
    </row>
    <row r="266" spans="1:2" x14ac:dyDescent="0.3">
      <c r="A266" s="30" t="s">
        <v>731</v>
      </c>
      <c r="B266" s="7">
        <v>1551152.7018699993</v>
      </c>
    </row>
    <row r="267" spans="1:2" x14ac:dyDescent="0.3">
      <c r="A267" s="31" t="s">
        <v>908</v>
      </c>
      <c r="B267" s="7">
        <v>92715.25</v>
      </c>
    </row>
    <row r="268" spans="1:2" x14ac:dyDescent="0.3">
      <c r="A268" s="31" t="s">
        <v>873</v>
      </c>
      <c r="B268" s="7">
        <v>87404.929919999995</v>
      </c>
    </row>
    <row r="269" spans="1:2" x14ac:dyDescent="0.3">
      <c r="A269" s="31" t="s">
        <v>898</v>
      </c>
      <c r="B269" s="7">
        <v>85637.740319999997</v>
      </c>
    </row>
    <row r="270" spans="1:2" x14ac:dyDescent="0.3">
      <c r="A270" s="31" t="s">
        <v>796</v>
      </c>
      <c r="B270" s="7">
        <v>72665.817450000002</v>
      </c>
    </row>
    <row r="271" spans="1:2" x14ac:dyDescent="0.3">
      <c r="A271" s="31" t="s">
        <v>1128</v>
      </c>
      <c r="B271" s="7">
        <v>56176.777799999996</v>
      </c>
    </row>
    <row r="272" spans="1:2" x14ac:dyDescent="0.3">
      <c r="A272" s="31" t="s">
        <v>1180</v>
      </c>
      <c r="B272" s="7">
        <v>45547.183360000003</v>
      </c>
    </row>
    <row r="273" spans="1:2" x14ac:dyDescent="0.3">
      <c r="A273" s="31" t="s">
        <v>773</v>
      </c>
      <c r="B273" s="7">
        <v>41106.800970000004</v>
      </c>
    </row>
    <row r="274" spans="1:2" x14ac:dyDescent="0.3">
      <c r="A274" s="31" t="s">
        <v>999</v>
      </c>
      <c r="B274" s="7">
        <v>38818.760160000005</v>
      </c>
    </row>
    <row r="275" spans="1:2" x14ac:dyDescent="0.3">
      <c r="A275" s="31" t="s">
        <v>1005</v>
      </c>
      <c r="B275" s="7">
        <v>34632.106319999999</v>
      </c>
    </row>
    <row r="276" spans="1:2" x14ac:dyDescent="0.3">
      <c r="A276" s="31" t="s">
        <v>1105</v>
      </c>
      <c r="B276" s="7">
        <v>32280.32474</v>
      </c>
    </row>
    <row r="277" spans="1:2" x14ac:dyDescent="0.3">
      <c r="A277" s="31" t="s">
        <v>788</v>
      </c>
      <c r="B277" s="7">
        <v>31680.795320000001</v>
      </c>
    </row>
    <row r="278" spans="1:2" x14ac:dyDescent="0.3">
      <c r="A278" s="31" t="s">
        <v>928</v>
      </c>
      <c r="B278" s="7">
        <v>31191.64716</v>
      </c>
    </row>
    <row r="279" spans="1:2" x14ac:dyDescent="0.3">
      <c r="A279" s="31" t="s">
        <v>1043</v>
      </c>
      <c r="B279" s="7">
        <v>30799.273800000003</v>
      </c>
    </row>
    <row r="280" spans="1:2" x14ac:dyDescent="0.3">
      <c r="A280" s="31" t="s">
        <v>1273</v>
      </c>
      <c r="B280" s="7">
        <v>30652.403519999996</v>
      </c>
    </row>
    <row r="281" spans="1:2" x14ac:dyDescent="0.3">
      <c r="A281" s="31" t="s">
        <v>1006</v>
      </c>
      <c r="B281" s="7">
        <v>29536.716</v>
      </c>
    </row>
    <row r="282" spans="1:2" x14ac:dyDescent="0.3">
      <c r="A282" s="31" t="s">
        <v>921</v>
      </c>
      <c r="B282" s="7">
        <v>28072.190160000002</v>
      </c>
    </row>
    <row r="283" spans="1:2" x14ac:dyDescent="0.3">
      <c r="A283" s="31" t="s">
        <v>868</v>
      </c>
      <c r="B283" s="7">
        <v>27370.540859999997</v>
      </c>
    </row>
    <row r="284" spans="1:2" x14ac:dyDescent="0.3">
      <c r="A284" s="31" t="s">
        <v>917</v>
      </c>
      <c r="B284" s="7">
        <v>26408.63841</v>
      </c>
    </row>
    <row r="285" spans="1:2" x14ac:dyDescent="0.3">
      <c r="A285" s="31" t="s">
        <v>938</v>
      </c>
      <c r="B285" s="7">
        <v>26131.70736</v>
      </c>
    </row>
    <row r="286" spans="1:2" x14ac:dyDescent="0.3">
      <c r="A286" s="31" t="s">
        <v>1072</v>
      </c>
      <c r="B286" s="7">
        <v>26106.613960000002</v>
      </c>
    </row>
    <row r="287" spans="1:2" x14ac:dyDescent="0.3">
      <c r="A287" s="31" t="s">
        <v>937</v>
      </c>
      <c r="B287" s="7">
        <v>25553.782800000001</v>
      </c>
    </row>
    <row r="288" spans="1:2" x14ac:dyDescent="0.3">
      <c r="A288" s="31" t="s">
        <v>1299</v>
      </c>
      <c r="B288" s="7">
        <v>25079.480689999997</v>
      </c>
    </row>
    <row r="289" spans="1:2" x14ac:dyDescent="0.3">
      <c r="A289" s="31" t="s">
        <v>848</v>
      </c>
      <c r="B289" s="7">
        <v>24523.006720000001</v>
      </c>
    </row>
    <row r="290" spans="1:2" x14ac:dyDescent="0.3">
      <c r="A290" s="31" t="s">
        <v>1186</v>
      </c>
      <c r="B290" s="7">
        <v>23132.398349999996</v>
      </c>
    </row>
    <row r="291" spans="1:2" x14ac:dyDescent="0.3">
      <c r="A291" s="31" t="s">
        <v>854</v>
      </c>
      <c r="B291" s="7">
        <v>22983.34563</v>
      </c>
    </row>
    <row r="292" spans="1:2" x14ac:dyDescent="0.3">
      <c r="A292" s="31" t="s">
        <v>893</v>
      </c>
      <c r="B292" s="7">
        <v>22044.871499999997</v>
      </c>
    </row>
    <row r="293" spans="1:2" x14ac:dyDescent="0.3">
      <c r="A293" s="31" t="s">
        <v>1232</v>
      </c>
      <c r="B293" s="7">
        <v>20332.775539999999</v>
      </c>
    </row>
    <row r="294" spans="1:2" x14ac:dyDescent="0.3">
      <c r="A294" s="31" t="s">
        <v>985</v>
      </c>
      <c r="B294" s="7">
        <v>17689.623</v>
      </c>
    </row>
    <row r="295" spans="1:2" x14ac:dyDescent="0.3">
      <c r="A295" s="31" t="s">
        <v>1013</v>
      </c>
      <c r="B295" s="7">
        <v>17441.021520000002</v>
      </c>
    </row>
    <row r="296" spans="1:2" x14ac:dyDescent="0.3">
      <c r="A296" s="31" t="s">
        <v>1231</v>
      </c>
      <c r="B296" s="7">
        <v>16574.544740000001</v>
      </c>
    </row>
    <row r="297" spans="1:2" x14ac:dyDescent="0.3">
      <c r="A297" s="31" t="s">
        <v>1084</v>
      </c>
      <c r="B297" s="7">
        <v>16487.22781</v>
      </c>
    </row>
    <row r="298" spans="1:2" x14ac:dyDescent="0.3">
      <c r="A298" s="31" t="s">
        <v>1122</v>
      </c>
      <c r="B298" s="7">
        <v>16142.527829999999</v>
      </c>
    </row>
    <row r="299" spans="1:2" x14ac:dyDescent="0.3">
      <c r="A299" s="31" t="s">
        <v>1255</v>
      </c>
      <c r="B299" s="7">
        <v>16121.273400000002</v>
      </c>
    </row>
    <row r="300" spans="1:2" x14ac:dyDescent="0.3">
      <c r="A300" s="31" t="s">
        <v>1116</v>
      </c>
      <c r="B300" s="7">
        <v>15257.51748</v>
      </c>
    </row>
    <row r="301" spans="1:2" x14ac:dyDescent="0.3">
      <c r="A301" s="31" t="s">
        <v>741</v>
      </c>
      <c r="B301" s="7">
        <v>14714.12934</v>
      </c>
    </row>
    <row r="302" spans="1:2" x14ac:dyDescent="0.3">
      <c r="A302" s="31" t="s">
        <v>1305</v>
      </c>
      <c r="B302" s="7">
        <v>14466.95104</v>
      </c>
    </row>
    <row r="303" spans="1:2" x14ac:dyDescent="0.3">
      <c r="A303" s="31" t="s">
        <v>800</v>
      </c>
      <c r="B303" s="7">
        <v>14287.896349999999</v>
      </c>
    </row>
    <row r="304" spans="1:2" x14ac:dyDescent="0.3">
      <c r="A304" s="31" t="s">
        <v>1160</v>
      </c>
      <c r="B304" s="7">
        <v>13450.74</v>
      </c>
    </row>
    <row r="305" spans="1:2" x14ac:dyDescent="0.3">
      <c r="A305" s="31" t="s">
        <v>1137</v>
      </c>
      <c r="B305" s="7">
        <v>13437.300239999999</v>
      </c>
    </row>
    <row r="306" spans="1:2" x14ac:dyDescent="0.3">
      <c r="A306" s="31" t="s">
        <v>1131</v>
      </c>
      <c r="B306" s="7">
        <v>12972.00222</v>
      </c>
    </row>
    <row r="307" spans="1:2" x14ac:dyDescent="0.3">
      <c r="A307" s="31" t="s">
        <v>1165</v>
      </c>
      <c r="B307" s="7">
        <v>12967.958640000001</v>
      </c>
    </row>
    <row r="308" spans="1:2" x14ac:dyDescent="0.3">
      <c r="A308" s="31" t="s">
        <v>900</v>
      </c>
      <c r="B308" s="7">
        <v>12413.98458</v>
      </c>
    </row>
    <row r="309" spans="1:2" x14ac:dyDescent="0.3">
      <c r="A309" s="31" t="s">
        <v>896</v>
      </c>
      <c r="B309" s="7">
        <v>12194.714</v>
      </c>
    </row>
    <row r="310" spans="1:2" x14ac:dyDescent="0.3">
      <c r="A310" s="31" t="s">
        <v>821</v>
      </c>
      <c r="B310" s="7">
        <v>11842.8464</v>
      </c>
    </row>
    <row r="311" spans="1:2" x14ac:dyDescent="0.3">
      <c r="A311" s="31" t="s">
        <v>982</v>
      </c>
      <c r="B311" s="7">
        <v>11813.604160000001</v>
      </c>
    </row>
    <row r="312" spans="1:2" x14ac:dyDescent="0.3">
      <c r="A312" s="31" t="s">
        <v>1280</v>
      </c>
      <c r="B312" s="7">
        <v>10937.519999999999</v>
      </c>
    </row>
    <row r="313" spans="1:2" x14ac:dyDescent="0.3">
      <c r="A313" s="31" t="s">
        <v>1289</v>
      </c>
      <c r="B313" s="7">
        <v>10519.776450000001</v>
      </c>
    </row>
    <row r="314" spans="1:2" x14ac:dyDescent="0.3">
      <c r="A314" s="31" t="s">
        <v>1151</v>
      </c>
      <c r="B314" s="7">
        <v>9509.2865999999995</v>
      </c>
    </row>
    <row r="315" spans="1:2" x14ac:dyDescent="0.3">
      <c r="A315" s="31" t="s">
        <v>1343</v>
      </c>
      <c r="B315" s="7">
        <v>9256.14</v>
      </c>
    </row>
    <row r="316" spans="1:2" x14ac:dyDescent="0.3">
      <c r="A316" s="31" t="s">
        <v>1242</v>
      </c>
      <c r="B316" s="7">
        <v>9232.2830599999998</v>
      </c>
    </row>
    <row r="317" spans="1:2" x14ac:dyDescent="0.3">
      <c r="A317" s="31" t="s">
        <v>924</v>
      </c>
      <c r="B317" s="7">
        <v>8763.2849999999999</v>
      </c>
    </row>
    <row r="318" spans="1:2" x14ac:dyDescent="0.3">
      <c r="A318" s="31" t="s">
        <v>916</v>
      </c>
      <c r="B318" s="7">
        <v>8698.8768300000011</v>
      </c>
    </row>
    <row r="319" spans="1:2" x14ac:dyDescent="0.3">
      <c r="A319" s="31" t="s">
        <v>801</v>
      </c>
      <c r="B319" s="7">
        <v>8671.7354400000004</v>
      </c>
    </row>
    <row r="320" spans="1:2" x14ac:dyDescent="0.3">
      <c r="A320" s="31" t="s">
        <v>922</v>
      </c>
      <c r="B320" s="7">
        <v>8590.7094000000016</v>
      </c>
    </row>
    <row r="321" spans="1:2" x14ac:dyDescent="0.3">
      <c r="A321" s="31" t="s">
        <v>1294</v>
      </c>
      <c r="B321" s="7">
        <v>8520.2954399999999</v>
      </c>
    </row>
    <row r="322" spans="1:2" x14ac:dyDescent="0.3">
      <c r="A322" s="31" t="s">
        <v>1205</v>
      </c>
      <c r="B322" s="7">
        <v>8330.2513199999994</v>
      </c>
    </row>
    <row r="323" spans="1:2" x14ac:dyDescent="0.3">
      <c r="A323" s="31" t="s">
        <v>1189</v>
      </c>
      <c r="B323" s="7">
        <v>7854.6931199999999</v>
      </c>
    </row>
    <row r="324" spans="1:2" x14ac:dyDescent="0.3">
      <c r="A324" s="31" t="s">
        <v>949</v>
      </c>
      <c r="B324" s="7">
        <v>7738.9596900000006</v>
      </c>
    </row>
    <row r="325" spans="1:2" x14ac:dyDescent="0.3">
      <c r="A325" s="31" t="s">
        <v>863</v>
      </c>
      <c r="B325" s="7">
        <v>7703.8640800000003</v>
      </c>
    </row>
    <row r="326" spans="1:2" x14ac:dyDescent="0.3">
      <c r="A326" s="31" t="s">
        <v>1096</v>
      </c>
      <c r="B326" s="7">
        <v>7327.9533600000004</v>
      </c>
    </row>
    <row r="327" spans="1:2" x14ac:dyDescent="0.3">
      <c r="A327" s="31" t="s">
        <v>1004</v>
      </c>
      <c r="B327" s="7">
        <v>7120.6486400000003</v>
      </c>
    </row>
    <row r="328" spans="1:2" x14ac:dyDescent="0.3">
      <c r="A328" s="31" t="s">
        <v>911</v>
      </c>
      <c r="B328" s="7">
        <v>7098.5495999999994</v>
      </c>
    </row>
    <row r="329" spans="1:2" x14ac:dyDescent="0.3">
      <c r="A329" s="31" t="s">
        <v>901</v>
      </c>
      <c r="B329" s="7">
        <v>6824.2884000000004</v>
      </c>
    </row>
    <row r="330" spans="1:2" x14ac:dyDescent="0.3">
      <c r="A330" s="31" t="s">
        <v>987</v>
      </c>
      <c r="B330" s="7">
        <v>6468.2751599999992</v>
      </c>
    </row>
    <row r="331" spans="1:2" x14ac:dyDescent="0.3">
      <c r="A331" s="31" t="s">
        <v>1061</v>
      </c>
      <c r="B331" s="7">
        <v>6229.7423999999992</v>
      </c>
    </row>
    <row r="332" spans="1:2" x14ac:dyDescent="0.3">
      <c r="A332" s="31" t="s">
        <v>1330</v>
      </c>
      <c r="B332" s="7">
        <v>5962.1422499999999</v>
      </c>
    </row>
    <row r="333" spans="1:2" x14ac:dyDescent="0.3">
      <c r="A333" s="31" t="s">
        <v>851</v>
      </c>
      <c r="B333" s="7">
        <v>5769.2758000000003</v>
      </c>
    </row>
    <row r="334" spans="1:2" x14ac:dyDescent="0.3">
      <c r="A334" s="31" t="s">
        <v>1324</v>
      </c>
      <c r="B334" s="7">
        <v>5725.6496000000006</v>
      </c>
    </row>
    <row r="335" spans="1:2" x14ac:dyDescent="0.3">
      <c r="A335" s="31" t="s">
        <v>1179</v>
      </c>
      <c r="B335" s="7">
        <v>5565.3272500000003</v>
      </c>
    </row>
    <row r="336" spans="1:2" x14ac:dyDescent="0.3">
      <c r="A336" s="31" t="s">
        <v>966</v>
      </c>
      <c r="B336" s="7">
        <v>5280.8577599999999</v>
      </c>
    </row>
    <row r="337" spans="1:2" x14ac:dyDescent="0.3">
      <c r="A337" s="31" t="s">
        <v>1358</v>
      </c>
      <c r="B337" s="7">
        <v>5096.4790800000001</v>
      </c>
    </row>
    <row r="338" spans="1:2" x14ac:dyDescent="0.3">
      <c r="A338" s="31" t="s">
        <v>1047</v>
      </c>
      <c r="B338" s="7">
        <v>5032.4433599999993</v>
      </c>
    </row>
    <row r="339" spans="1:2" x14ac:dyDescent="0.3">
      <c r="A339" s="31" t="s">
        <v>812</v>
      </c>
      <c r="B339" s="7">
        <v>4877.1379800000004</v>
      </c>
    </row>
    <row r="340" spans="1:2" x14ac:dyDescent="0.3">
      <c r="A340" s="31" t="s">
        <v>919</v>
      </c>
      <c r="B340" s="7">
        <v>4831.9464600000001</v>
      </c>
    </row>
    <row r="341" spans="1:2" x14ac:dyDescent="0.3">
      <c r="A341" s="31" t="s">
        <v>1277</v>
      </c>
      <c r="B341" s="7">
        <v>4826.5396199999996</v>
      </c>
    </row>
    <row r="342" spans="1:2" x14ac:dyDescent="0.3">
      <c r="A342" s="31" t="s">
        <v>1227</v>
      </c>
      <c r="B342" s="7">
        <v>4682.9519799999998</v>
      </c>
    </row>
    <row r="343" spans="1:2" x14ac:dyDescent="0.3">
      <c r="A343" s="31" t="s">
        <v>991</v>
      </c>
      <c r="B343" s="7">
        <v>4375.3620000000001</v>
      </c>
    </row>
    <row r="344" spans="1:2" x14ac:dyDescent="0.3">
      <c r="A344" s="31" t="s">
        <v>1030</v>
      </c>
      <c r="B344" s="7">
        <v>3190.8713200000002</v>
      </c>
    </row>
    <row r="345" spans="1:2" x14ac:dyDescent="0.3">
      <c r="A345" s="31" t="s">
        <v>1051</v>
      </c>
      <c r="B345" s="7">
        <v>2915.4540999999999</v>
      </c>
    </row>
    <row r="346" spans="1:2" x14ac:dyDescent="0.3">
      <c r="A346" s="31" t="s">
        <v>739</v>
      </c>
      <c r="B346" s="7">
        <v>2886.4496399999998</v>
      </c>
    </row>
    <row r="347" spans="1:2" x14ac:dyDescent="0.3">
      <c r="A347" s="31" t="s">
        <v>1164</v>
      </c>
      <c r="B347" s="7">
        <v>2627.6239999999998</v>
      </c>
    </row>
    <row r="348" spans="1:2" x14ac:dyDescent="0.3">
      <c r="A348" s="31" t="s">
        <v>950</v>
      </c>
      <c r="B348" s="7">
        <v>2231.6467200000002</v>
      </c>
    </row>
    <row r="349" spans="1:2" x14ac:dyDescent="0.3">
      <c r="A349" s="31" t="s">
        <v>1282</v>
      </c>
      <c r="B349" s="7">
        <v>1846.8040799999999</v>
      </c>
    </row>
    <row r="350" spans="1:2" x14ac:dyDescent="0.3">
      <c r="A350" s="31" t="s">
        <v>1313</v>
      </c>
      <c r="B350" s="7">
        <v>1801.4076000000002</v>
      </c>
    </row>
    <row r="351" spans="1:2" x14ac:dyDescent="0.3">
      <c r="A351" s="31" t="s">
        <v>944</v>
      </c>
      <c r="B351" s="7">
        <v>1774.8072</v>
      </c>
    </row>
    <row r="352" spans="1:2" x14ac:dyDescent="0.3">
      <c r="A352" s="31" t="s">
        <v>1038</v>
      </c>
      <c r="B352" s="7">
        <v>1641.7107199999998</v>
      </c>
    </row>
    <row r="353" spans="1:2" x14ac:dyDescent="0.3">
      <c r="A353" s="31" t="s">
        <v>1348</v>
      </c>
      <c r="B353" s="7">
        <v>846.34703999999988</v>
      </c>
    </row>
    <row r="354" spans="1:2" x14ac:dyDescent="0.3">
      <c r="A354" s="31" t="s">
        <v>822</v>
      </c>
      <c r="B354" s="7">
        <v>624.43503999999996</v>
      </c>
    </row>
    <row r="355" spans="1:2" x14ac:dyDescent="0.3">
      <c r="A355" s="31" t="s">
        <v>980</v>
      </c>
      <c r="B355" s="7">
        <v>607.30668000000003</v>
      </c>
    </row>
    <row r="356" spans="1:2" x14ac:dyDescent="0.3">
      <c r="A356" s="31" t="s">
        <v>784</v>
      </c>
      <c r="B356" s="7">
        <v>599.53200000000004</v>
      </c>
    </row>
    <row r="357" spans="1:2" x14ac:dyDescent="0.3">
      <c r="A357" s="31" t="s">
        <v>1264</v>
      </c>
      <c r="B357" s="7">
        <v>534.57695999999999</v>
      </c>
    </row>
    <row r="358" spans="1:2" x14ac:dyDescent="0.3">
      <c r="A358" s="31" t="s">
        <v>816</v>
      </c>
      <c r="B358" s="7">
        <v>524.81174999999996</v>
      </c>
    </row>
    <row r="359" spans="1:2" x14ac:dyDescent="0.3">
      <c r="A359" s="31" t="s">
        <v>829</v>
      </c>
      <c r="B359" s="7">
        <v>147.00756000000001</v>
      </c>
    </row>
    <row r="360" spans="1:2" x14ac:dyDescent="0.3">
      <c r="A360" s="31" t="s">
        <v>1031</v>
      </c>
      <c r="B360" s="7">
        <v>66.920760000000001</v>
      </c>
    </row>
    <row r="361" spans="1:2" x14ac:dyDescent="0.3">
      <c r="A361" s="30" t="s">
        <v>728</v>
      </c>
      <c r="B361" s="7">
        <v>1774358.6154200004</v>
      </c>
    </row>
    <row r="362" spans="1:2" x14ac:dyDescent="0.3">
      <c r="A362" s="31" t="s">
        <v>780</v>
      </c>
      <c r="B362" s="7">
        <v>109244</v>
      </c>
    </row>
    <row r="363" spans="1:2" x14ac:dyDescent="0.3">
      <c r="A363" s="31" t="s">
        <v>1344</v>
      </c>
      <c r="B363" s="7">
        <v>82141.339799999987</v>
      </c>
    </row>
    <row r="364" spans="1:2" x14ac:dyDescent="0.3">
      <c r="A364" s="31" t="s">
        <v>1009</v>
      </c>
      <c r="B364" s="7">
        <v>79548.755999999994</v>
      </c>
    </row>
    <row r="365" spans="1:2" x14ac:dyDescent="0.3">
      <c r="A365" s="31" t="s">
        <v>956</v>
      </c>
      <c r="B365" s="7">
        <v>66988.771199999988</v>
      </c>
    </row>
    <row r="366" spans="1:2" x14ac:dyDescent="0.3">
      <c r="A366" s="31" t="s">
        <v>813</v>
      </c>
      <c r="B366" s="7">
        <v>60292.805299999993</v>
      </c>
    </row>
    <row r="367" spans="1:2" x14ac:dyDescent="0.3">
      <c r="A367" s="31" t="s">
        <v>1323</v>
      </c>
      <c r="B367" s="7">
        <v>51768.181920000003</v>
      </c>
    </row>
    <row r="368" spans="1:2" x14ac:dyDescent="0.3">
      <c r="A368" s="31" t="s">
        <v>1355</v>
      </c>
      <c r="B368" s="7">
        <v>50090.397499999999</v>
      </c>
    </row>
    <row r="369" spans="1:2" x14ac:dyDescent="0.3">
      <c r="A369" s="31" t="s">
        <v>1090</v>
      </c>
      <c r="B369" s="7">
        <v>49336.511399999996</v>
      </c>
    </row>
    <row r="370" spans="1:2" x14ac:dyDescent="0.3">
      <c r="A370" s="31" t="s">
        <v>936</v>
      </c>
      <c r="B370" s="7">
        <v>47962.717579999997</v>
      </c>
    </row>
    <row r="371" spans="1:2" x14ac:dyDescent="0.3">
      <c r="A371" s="31" t="s">
        <v>1115</v>
      </c>
      <c r="B371" s="7">
        <v>47693.373</v>
      </c>
    </row>
    <row r="372" spans="1:2" x14ac:dyDescent="0.3">
      <c r="A372" s="31" t="s">
        <v>1109</v>
      </c>
      <c r="B372" s="7">
        <v>43553.493060000001</v>
      </c>
    </row>
    <row r="373" spans="1:2" x14ac:dyDescent="0.3">
      <c r="A373" s="31" t="s">
        <v>1212</v>
      </c>
      <c r="B373" s="7">
        <v>40488.792960000006</v>
      </c>
    </row>
    <row r="374" spans="1:2" x14ac:dyDescent="0.3">
      <c r="A374" s="31" t="s">
        <v>1035</v>
      </c>
      <c r="B374" s="7">
        <v>39686.4182</v>
      </c>
    </row>
    <row r="375" spans="1:2" x14ac:dyDescent="0.3">
      <c r="A375" s="31" t="s">
        <v>1055</v>
      </c>
      <c r="B375" s="7">
        <v>39546.774539999999</v>
      </c>
    </row>
    <row r="376" spans="1:2" x14ac:dyDescent="0.3">
      <c r="A376" s="31" t="s">
        <v>853</v>
      </c>
      <c r="B376" s="7">
        <v>39516.804389999998</v>
      </c>
    </row>
    <row r="377" spans="1:2" x14ac:dyDescent="0.3">
      <c r="A377" s="31" t="s">
        <v>781</v>
      </c>
      <c r="B377" s="7">
        <v>35621.302319999995</v>
      </c>
    </row>
    <row r="378" spans="1:2" x14ac:dyDescent="0.3">
      <c r="A378" s="31" t="s">
        <v>1086</v>
      </c>
      <c r="B378" s="7">
        <v>34816.968000000001</v>
      </c>
    </row>
    <row r="379" spans="1:2" x14ac:dyDescent="0.3">
      <c r="A379" s="31" t="s">
        <v>1300</v>
      </c>
      <c r="B379" s="7">
        <v>34307.159999999996</v>
      </c>
    </row>
    <row r="380" spans="1:2" x14ac:dyDescent="0.3">
      <c r="A380" s="31" t="s">
        <v>1112</v>
      </c>
      <c r="B380" s="7">
        <v>33200.038079999998</v>
      </c>
    </row>
    <row r="381" spans="1:2" x14ac:dyDescent="0.3">
      <c r="A381" s="31" t="s">
        <v>1356</v>
      </c>
      <c r="B381" s="7">
        <v>32704.386400000003</v>
      </c>
    </row>
    <row r="382" spans="1:2" x14ac:dyDescent="0.3">
      <c r="A382" s="31" t="s">
        <v>778</v>
      </c>
      <c r="B382" s="7">
        <v>32506.559399999998</v>
      </c>
    </row>
    <row r="383" spans="1:2" x14ac:dyDescent="0.3">
      <c r="A383" s="31" t="s">
        <v>1146</v>
      </c>
      <c r="B383" s="7">
        <v>31513.423040000001</v>
      </c>
    </row>
    <row r="384" spans="1:2" x14ac:dyDescent="0.3">
      <c r="A384" s="31" t="s">
        <v>1228</v>
      </c>
      <c r="B384" s="7">
        <v>30692.47896</v>
      </c>
    </row>
    <row r="385" spans="1:2" x14ac:dyDescent="0.3">
      <c r="A385" s="31" t="s">
        <v>959</v>
      </c>
      <c r="B385" s="7">
        <v>30479.418970000002</v>
      </c>
    </row>
    <row r="386" spans="1:2" x14ac:dyDescent="0.3">
      <c r="A386" s="31" t="s">
        <v>1353</v>
      </c>
      <c r="B386" s="7">
        <v>30229.994880000002</v>
      </c>
    </row>
    <row r="387" spans="1:2" x14ac:dyDescent="0.3">
      <c r="A387" s="31" t="s">
        <v>1281</v>
      </c>
      <c r="B387" s="7">
        <v>29673.454499999993</v>
      </c>
    </row>
    <row r="388" spans="1:2" x14ac:dyDescent="0.3">
      <c r="A388" s="31" t="s">
        <v>877</v>
      </c>
      <c r="B388" s="7">
        <v>25672.127039999999</v>
      </c>
    </row>
    <row r="389" spans="1:2" x14ac:dyDescent="0.3">
      <c r="A389" s="31" t="s">
        <v>1229</v>
      </c>
      <c r="B389" s="7">
        <v>25249.613219999999</v>
      </c>
    </row>
    <row r="390" spans="1:2" x14ac:dyDescent="0.3">
      <c r="A390" s="31" t="s">
        <v>1216</v>
      </c>
      <c r="B390" s="7">
        <v>21908.731650000002</v>
      </c>
    </row>
    <row r="391" spans="1:2" x14ac:dyDescent="0.3">
      <c r="A391" s="31" t="s">
        <v>817</v>
      </c>
      <c r="B391" s="7">
        <v>21062.61248</v>
      </c>
    </row>
    <row r="392" spans="1:2" x14ac:dyDescent="0.3">
      <c r="A392" s="31" t="s">
        <v>762</v>
      </c>
      <c r="B392" s="7">
        <v>20084.133720000002</v>
      </c>
    </row>
    <row r="393" spans="1:2" x14ac:dyDescent="0.3">
      <c r="A393" s="31" t="s">
        <v>1020</v>
      </c>
      <c r="B393" s="7">
        <v>20028.787380000002</v>
      </c>
    </row>
    <row r="394" spans="1:2" x14ac:dyDescent="0.3">
      <c r="A394" s="31" t="s">
        <v>754</v>
      </c>
      <c r="B394" s="7">
        <v>19903.585040000002</v>
      </c>
    </row>
    <row r="395" spans="1:2" x14ac:dyDescent="0.3">
      <c r="A395" s="31" t="s">
        <v>1283</v>
      </c>
      <c r="B395" s="7">
        <v>18830.12472</v>
      </c>
    </row>
    <row r="396" spans="1:2" x14ac:dyDescent="0.3">
      <c r="A396" s="31" t="s">
        <v>1345</v>
      </c>
      <c r="B396" s="7">
        <v>18500.693520000001</v>
      </c>
    </row>
    <row r="397" spans="1:2" x14ac:dyDescent="0.3">
      <c r="A397" s="31" t="s">
        <v>1132</v>
      </c>
      <c r="B397" s="7">
        <v>17731.623</v>
      </c>
    </row>
    <row r="398" spans="1:2" x14ac:dyDescent="0.3">
      <c r="A398" s="31" t="s">
        <v>1050</v>
      </c>
      <c r="B398" s="7">
        <v>16306.59375</v>
      </c>
    </row>
    <row r="399" spans="1:2" x14ac:dyDescent="0.3">
      <c r="A399" s="31" t="s">
        <v>862</v>
      </c>
      <c r="B399" s="7">
        <v>16071.44868</v>
      </c>
    </row>
    <row r="400" spans="1:2" x14ac:dyDescent="0.3">
      <c r="A400" s="31" t="s">
        <v>1239</v>
      </c>
      <c r="B400" s="7">
        <v>15323.926799999999</v>
      </c>
    </row>
    <row r="401" spans="1:2" x14ac:dyDescent="0.3">
      <c r="A401" s="31" t="s">
        <v>948</v>
      </c>
      <c r="B401" s="7">
        <v>15253.069799999999</v>
      </c>
    </row>
    <row r="402" spans="1:2" x14ac:dyDescent="0.3">
      <c r="A402" s="31" t="s">
        <v>1199</v>
      </c>
      <c r="B402" s="7">
        <v>14261.92439</v>
      </c>
    </row>
    <row r="403" spans="1:2" x14ac:dyDescent="0.3">
      <c r="A403" s="31" t="s">
        <v>1308</v>
      </c>
      <c r="B403" s="7">
        <v>13882.6016</v>
      </c>
    </row>
    <row r="404" spans="1:2" x14ac:dyDescent="0.3">
      <c r="A404" s="31" t="s">
        <v>1014</v>
      </c>
      <c r="B404" s="7">
        <v>13035.970220000001</v>
      </c>
    </row>
    <row r="405" spans="1:2" x14ac:dyDescent="0.3">
      <c r="A405" s="31" t="s">
        <v>1113</v>
      </c>
      <c r="B405" s="7">
        <v>12881.097599999999</v>
      </c>
    </row>
    <row r="406" spans="1:2" x14ac:dyDescent="0.3">
      <c r="A406" s="31" t="s">
        <v>1307</v>
      </c>
      <c r="B406" s="7">
        <v>12091.190399999999</v>
      </c>
    </row>
    <row r="407" spans="1:2" x14ac:dyDescent="0.3">
      <c r="A407" s="31" t="s">
        <v>856</v>
      </c>
      <c r="B407" s="7">
        <v>10817.3416</v>
      </c>
    </row>
    <row r="408" spans="1:2" x14ac:dyDescent="0.3">
      <c r="A408" s="31" t="s">
        <v>1276</v>
      </c>
      <c r="B408" s="7">
        <v>10792.637119999999</v>
      </c>
    </row>
    <row r="409" spans="1:2" x14ac:dyDescent="0.3">
      <c r="A409" s="31" t="s">
        <v>1347</v>
      </c>
      <c r="B409" s="7">
        <v>10786.32144</v>
      </c>
    </row>
    <row r="410" spans="1:2" x14ac:dyDescent="0.3">
      <c r="A410" s="31" t="s">
        <v>774</v>
      </c>
      <c r="B410" s="7">
        <v>10558.74</v>
      </c>
    </row>
    <row r="411" spans="1:2" x14ac:dyDescent="0.3">
      <c r="A411" s="31" t="s">
        <v>1236</v>
      </c>
      <c r="B411" s="7">
        <v>10189.8891</v>
      </c>
    </row>
    <row r="412" spans="1:2" x14ac:dyDescent="0.3">
      <c r="A412" s="31" t="s">
        <v>1295</v>
      </c>
      <c r="B412" s="7">
        <v>10166.535600000001</v>
      </c>
    </row>
    <row r="413" spans="1:2" x14ac:dyDescent="0.3">
      <c r="A413" s="31" t="s">
        <v>1250</v>
      </c>
      <c r="B413" s="7">
        <v>9807.7842799999999</v>
      </c>
    </row>
    <row r="414" spans="1:2" x14ac:dyDescent="0.3">
      <c r="A414" s="31" t="s">
        <v>765</v>
      </c>
      <c r="B414" s="7">
        <v>9647.3852800000004</v>
      </c>
    </row>
    <row r="415" spans="1:2" x14ac:dyDescent="0.3">
      <c r="A415" s="31" t="s">
        <v>806</v>
      </c>
      <c r="B415" s="7">
        <v>9373.460219999999</v>
      </c>
    </row>
    <row r="416" spans="1:2" x14ac:dyDescent="0.3">
      <c r="A416" s="31" t="s">
        <v>1262</v>
      </c>
      <c r="B416" s="7">
        <v>9262.0686600000008</v>
      </c>
    </row>
    <row r="417" spans="1:2" x14ac:dyDescent="0.3">
      <c r="A417" s="31" t="s">
        <v>888</v>
      </c>
      <c r="B417" s="7">
        <v>8909.6646800000017</v>
      </c>
    </row>
    <row r="418" spans="1:2" x14ac:dyDescent="0.3">
      <c r="A418" s="31" t="s">
        <v>1064</v>
      </c>
      <c r="B418" s="7">
        <v>8764.4065599999994</v>
      </c>
    </row>
    <row r="419" spans="1:2" x14ac:dyDescent="0.3">
      <c r="A419" s="31" t="s">
        <v>1235</v>
      </c>
      <c r="B419" s="7">
        <v>8637.1874499999994</v>
      </c>
    </row>
    <row r="420" spans="1:2" x14ac:dyDescent="0.3">
      <c r="A420" s="31" t="s">
        <v>931</v>
      </c>
      <c r="B420" s="7">
        <v>8349.2224200000001</v>
      </c>
    </row>
    <row r="421" spans="1:2" x14ac:dyDescent="0.3">
      <c r="A421" s="31" t="s">
        <v>823</v>
      </c>
      <c r="B421" s="7">
        <v>8324.8326000000015</v>
      </c>
    </row>
    <row r="422" spans="1:2" x14ac:dyDescent="0.3">
      <c r="A422" s="31" t="s">
        <v>995</v>
      </c>
      <c r="B422" s="7">
        <v>8186.057600000001</v>
      </c>
    </row>
    <row r="423" spans="1:2" x14ac:dyDescent="0.3">
      <c r="A423" s="31" t="s">
        <v>1268</v>
      </c>
      <c r="B423" s="7">
        <v>7823.4472399999995</v>
      </c>
    </row>
    <row r="424" spans="1:2" x14ac:dyDescent="0.3">
      <c r="A424" s="31" t="s">
        <v>1054</v>
      </c>
      <c r="B424" s="7">
        <v>7493.1076000000012</v>
      </c>
    </row>
    <row r="425" spans="1:2" x14ac:dyDescent="0.3">
      <c r="A425" s="31" t="s">
        <v>889</v>
      </c>
      <c r="B425" s="7">
        <v>7203.8047000000006</v>
      </c>
    </row>
    <row r="426" spans="1:2" x14ac:dyDescent="0.3">
      <c r="A426" s="31" t="s">
        <v>1111</v>
      </c>
      <c r="B426" s="7">
        <v>6576.298960000001</v>
      </c>
    </row>
    <row r="427" spans="1:2" x14ac:dyDescent="0.3">
      <c r="A427" s="31" t="s">
        <v>1168</v>
      </c>
      <c r="B427" s="7">
        <v>5546.4642200000008</v>
      </c>
    </row>
    <row r="428" spans="1:2" x14ac:dyDescent="0.3">
      <c r="A428" s="31" t="s">
        <v>831</v>
      </c>
      <c r="B428" s="7">
        <v>5328.4890400000004</v>
      </c>
    </row>
    <row r="429" spans="1:2" x14ac:dyDescent="0.3">
      <c r="A429" s="31" t="s">
        <v>1310</v>
      </c>
      <c r="B429" s="7">
        <v>4280.6786400000001</v>
      </c>
    </row>
    <row r="430" spans="1:2" x14ac:dyDescent="0.3">
      <c r="A430" s="31" t="s">
        <v>927</v>
      </c>
      <c r="B430" s="7">
        <v>3928.3797600000003</v>
      </c>
    </row>
    <row r="431" spans="1:2" x14ac:dyDescent="0.3">
      <c r="A431" s="31" t="s">
        <v>1040</v>
      </c>
      <c r="B431" s="7">
        <v>3644.3212800000006</v>
      </c>
    </row>
    <row r="432" spans="1:2" x14ac:dyDescent="0.3">
      <c r="A432" s="31" t="s">
        <v>981</v>
      </c>
      <c r="B432" s="7">
        <v>3592.04</v>
      </c>
    </row>
    <row r="433" spans="1:2" x14ac:dyDescent="0.3">
      <c r="A433" s="31" t="s">
        <v>1271</v>
      </c>
      <c r="B433" s="7">
        <v>3340.6370000000002</v>
      </c>
    </row>
    <row r="434" spans="1:2" x14ac:dyDescent="0.3">
      <c r="A434" s="31" t="s">
        <v>1077</v>
      </c>
      <c r="B434" s="7">
        <v>3175.1547799999998</v>
      </c>
    </row>
    <row r="435" spans="1:2" x14ac:dyDescent="0.3">
      <c r="A435" s="31" t="s">
        <v>1171</v>
      </c>
      <c r="B435" s="7">
        <v>2795.6384399999997</v>
      </c>
    </row>
    <row r="436" spans="1:2" x14ac:dyDescent="0.3">
      <c r="A436" s="31" t="s">
        <v>990</v>
      </c>
      <c r="B436" s="7">
        <v>2394.1605599999998</v>
      </c>
    </row>
    <row r="437" spans="1:2" x14ac:dyDescent="0.3">
      <c r="A437" s="31" t="s">
        <v>1352</v>
      </c>
      <c r="B437" s="7">
        <v>2355.2113199999999</v>
      </c>
    </row>
    <row r="438" spans="1:2" x14ac:dyDescent="0.3">
      <c r="A438" s="31" t="s">
        <v>1166</v>
      </c>
      <c r="B438" s="7">
        <v>1950.0031200000001</v>
      </c>
    </row>
    <row r="439" spans="1:2" x14ac:dyDescent="0.3">
      <c r="A439" s="31" t="s">
        <v>1195</v>
      </c>
      <c r="B439" s="7">
        <v>1886.9915999999998</v>
      </c>
    </row>
    <row r="440" spans="1:2" x14ac:dyDescent="0.3">
      <c r="A440" s="31" t="s">
        <v>841</v>
      </c>
      <c r="B440" s="7">
        <v>1660.3999999999999</v>
      </c>
    </row>
    <row r="441" spans="1:2" x14ac:dyDescent="0.3">
      <c r="A441" s="31" t="s">
        <v>847</v>
      </c>
      <c r="B441" s="7">
        <v>1499.22</v>
      </c>
    </row>
    <row r="442" spans="1:2" x14ac:dyDescent="0.3">
      <c r="A442" s="31" t="s">
        <v>1074</v>
      </c>
      <c r="B442" s="7">
        <v>1115.1975999999997</v>
      </c>
    </row>
    <row r="443" spans="1:2" x14ac:dyDescent="0.3">
      <c r="A443" s="31" t="s">
        <v>1333</v>
      </c>
      <c r="B443" s="7">
        <v>1062.5902000000001</v>
      </c>
    </row>
    <row r="444" spans="1:2" x14ac:dyDescent="0.3">
      <c r="A444" s="31" t="s">
        <v>1044</v>
      </c>
      <c r="B444" s="7">
        <v>879.05840000000001</v>
      </c>
    </row>
    <row r="445" spans="1:2" x14ac:dyDescent="0.3">
      <c r="A445" s="31" t="s">
        <v>735</v>
      </c>
      <c r="B445" s="7">
        <v>319.72248000000002</v>
      </c>
    </row>
    <row r="446" spans="1:2" x14ac:dyDescent="0.3">
      <c r="A446" s="31" t="s">
        <v>787</v>
      </c>
      <c r="B446" s="7">
        <v>215.19839999999996</v>
      </c>
    </row>
    <row r="447" spans="1:2" x14ac:dyDescent="0.3">
      <c r="A447" s="31" t="s">
        <v>845</v>
      </c>
      <c r="B447" s="7">
        <v>34.689059999999998</v>
      </c>
    </row>
    <row r="448" spans="1:2" x14ac:dyDescent="0.3">
      <c r="A448" s="30" t="s">
        <v>729</v>
      </c>
      <c r="B448" s="7">
        <v>1398841.4532999997</v>
      </c>
    </row>
    <row r="449" spans="1:2" x14ac:dyDescent="0.3">
      <c r="A449" s="31" t="s">
        <v>1319</v>
      </c>
      <c r="B449" s="7">
        <v>68665.574250000005</v>
      </c>
    </row>
    <row r="450" spans="1:2" x14ac:dyDescent="0.3">
      <c r="A450" s="31" t="s">
        <v>833</v>
      </c>
      <c r="B450" s="7">
        <v>52780.07</v>
      </c>
    </row>
    <row r="451" spans="1:2" x14ac:dyDescent="0.3">
      <c r="A451" s="31" t="s">
        <v>882</v>
      </c>
      <c r="B451" s="7">
        <v>42495.805439999996</v>
      </c>
    </row>
    <row r="452" spans="1:2" x14ac:dyDescent="0.3">
      <c r="A452" s="31" t="s">
        <v>914</v>
      </c>
      <c r="B452" s="7">
        <v>41352.246200000009</v>
      </c>
    </row>
    <row r="453" spans="1:2" x14ac:dyDescent="0.3">
      <c r="A453" s="31" t="s">
        <v>1161</v>
      </c>
      <c r="B453" s="7">
        <v>41138.261999999995</v>
      </c>
    </row>
    <row r="454" spans="1:2" x14ac:dyDescent="0.3">
      <c r="A454" s="31" t="s">
        <v>1108</v>
      </c>
      <c r="B454" s="7">
        <v>38422.022320000004</v>
      </c>
    </row>
    <row r="455" spans="1:2" x14ac:dyDescent="0.3">
      <c r="A455" s="31" t="s">
        <v>969</v>
      </c>
      <c r="B455" s="7">
        <v>37038.581760000001</v>
      </c>
    </row>
    <row r="456" spans="1:2" x14ac:dyDescent="0.3">
      <c r="A456" s="31" t="s">
        <v>750</v>
      </c>
      <c r="B456" s="7">
        <v>35367.211040000002</v>
      </c>
    </row>
    <row r="457" spans="1:2" x14ac:dyDescent="0.3">
      <c r="A457" s="31" t="s">
        <v>1011</v>
      </c>
      <c r="B457" s="7">
        <v>34840.344000000005</v>
      </c>
    </row>
    <row r="458" spans="1:2" x14ac:dyDescent="0.3">
      <c r="A458" s="31" t="s">
        <v>1238</v>
      </c>
      <c r="B458" s="7">
        <v>34800.431400000001</v>
      </c>
    </row>
    <row r="459" spans="1:2" x14ac:dyDescent="0.3">
      <c r="A459" s="31" t="s">
        <v>1286</v>
      </c>
      <c r="B459" s="7">
        <v>33551.927499999998</v>
      </c>
    </row>
    <row r="460" spans="1:2" x14ac:dyDescent="0.3">
      <c r="A460" s="31" t="s">
        <v>1293</v>
      </c>
      <c r="B460" s="7">
        <v>33071.3145</v>
      </c>
    </row>
    <row r="461" spans="1:2" x14ac:dyDescent="0.3">
      <c r="A461" s="31" t="s">
        <v>1359</v>
      </c>
      <c r="B461" s="7">
        <v>33017.42</v>
      </c>
    </row>
    <row r="462" spans="1:2" x14ac:dyDescent="0.3">
      <c r="A462" s="31" t="s">
        <v>1107</v>
      </c>
      <c r="B462" s="7">
        <v>31005.24768</v>
      </c>
    </row>
    <row r="463" spans="1:2" x14ac:dyDescent="0.3">
      <c r="A463" s="31" t="s">
        <v>1155</v>
      </c>
      <c r="B463" s="7">
        <v>29627.320319999999</v>
      </c>
    </row>
    <row r="464" spans="1:2" x14ac:dyDescent="0.3">
      <c r="A464" s="31" t="s">
        <v>892</v>
      </c>
      <c r="B464" s="7">
        <v>29263.754519999995</v>
      </c>
    </row>
    <row r="465" spans="1:2" x14ac:dyDescent="0.3">
      <c r="A465" s="31" t="s">
        <v>1338</v>
      </c>
      <c r="B465" s="7">
        <v>29175.036029999999</v>
      </c>
    </row>
    <row r="466" spans="1:2" x14ac:dyDescent="0.3">
      <c r="A466" s="31" t="s">
        <v>1069</v>
      </c>
      <c r="B466" s="7">
        <v>28247.74656</v>
      </c>
    </row>
    <row r="467" spans="1:2" x14ac:dyDescent="0.3">
      <c r="A467" s="31" t="s">
        <v>1167</v>
      </c>
      <c r="B467" s="7">
        <v>27249</v>
      </c>
    </row>
    <row r="468" spans="1:2" x14ac:dyDescent="0.3">
      <c r="A468" s="31" t="s">
        <v>764</v>
      </c>
      <c r="B468" s="7">
        <v>26150.364320000001</v>
      </c>
    </row>
    <row r="469" spans="1:2" x14ac:dyDescent="0.3">
      <c r="A469" s="31" t="s">
        <v>935</v>
      </c>
      <c r="B469" s="7">
        <v>25299.040000000001</v>
      </c>
    </row>
    <row r="470" spans="1:2" x14ac:dyDescent="0.3">
      <c r="A470" s="31" t="s">
        <v>946</v>
      </c>
      <c r="B470" s="7">
        <v>24223.05</v>
      </c>
    </row>
    <row r="471" spans="1:2" x14ac:dyDescent="0.3">
      <c r="A471" s="31" t="s">
        <v>840</v>
      </c>
      <c r="B471" s="7">
        <v>23687.524440000001</v>
      </c>
    </row>
    <row r="472" spans="1:2" x14ac:dyDescent="0.3">
      <c r="A472" s="31" t="s">
        <v>1316</v>
      </c>
      <c r="B472" s="7">
        <v>22676.312610000001</v>
      </c>
    </row>
    <row r="473" spans="1:2" x14ac:dyDescent="0.3">
      <c r="A473" s="31" t="s">
        <v>1053</v>
      </c>
      <c r="B473" s="7">
        <v>22380.204000000002</v>
      </c>
    </row>
    <row r="474" spans="1:2" x14ac:dyDescent="0.3">
      <c r="A474" s="31" t="s">
        <v>929</v>
      </c>
      <c r="B474" s="7">
        <v>21679.749799999998</v>
      </c>
    </row>
    <row r="475" spans="1:2" x14ac:dyDescent="0.3">
      <c r="A475" s="31" t="s">
        <v>958</v>
      </c>
      <c r="B475" s="7">
        <v>21573.6495</v>
      </c>
    </row>
    <row r="476" spans="1:2" x14ac:dyDescent="0.3">
      <c r="A476" s="31" t="s">
        <v>1139</v>
      </c>
      <c r="B476" s="7">
        <v>21541.017959999997</v>
      </c>
    </row>
    <row r="477" spans="1:2" x14ac:dyDescent="0.3">
      <c r="A477" s="31" t="s">
        <v>1188</v>
      </c>
      <c r="B477" s="7">
        <v>20797.98</v>
      </c>
    </row>
    <row r="478" spans="1:2" x14ac:dyDescent="0.3">
      <c r="A478" s="31" t="s">
        <v>1159</v>
      </c>
      <c r="B478" s="7">
        <v>19637.76528</v>
      </c>
    </row>
    <row r="479" spans="1:2" x14ac:dyDescent="0.3">
      <c r="A479" s="31" t="s">
        <v>1099</v>
      </c>
      <c r="B479" s="7">
        <v>19547.329920000004</v>
      </c>
    </row>
    <row r="480" spans="1:2" x14ac:dyDescent="0.3">
      <c r="A480" s="31" t="s">
        <v>824</v>
      </c>
      <c r="B480" s="7">
        <v>19510.808000000001</v>
      </c>
    </row>
    <row r="481" spans="1:2" x14ac:dyDescent="0.3">
      <c r="A481" s="31" t="s">
        <v>1206</v>
      </c>
      <c r="B481" s="7">
        <v>19233.355499999998</v>
      </c>
    </row>
    <row r="482" spans="1:2" x14ac:dyDescent="0.3">
      <c r="A482" s="31" t="s">
        <v>1104</v>
      </c>
      <c r="B482" s="7">
        <v>16873.45</v>
      </c>
    </row>
    <row r="483" spans="1:2" x14ac:dyDescent="0.3">
      <c r="A483" s="31" t="s">
        <v>1145</v>
      </c>
      <c r="B483" s="7">
        <v>16134.22069</v>
      </c>
    </row>
    <row r="484" spans="1:2" x14ac:dyDescent="0.3">
      <c r="A484" s="31" t="s">
        <v>855</v>
      </c>
      <c r="B484" s="7">
        <v>16061.972879999999</v>
      </c>
    </row>
    <row r="485" spans="1:2" x14ac:dyDescent="0.3">
      <c r="A485" s="31" t="s">
        <v>933</v>
      </c>
      <c r="B485" s="7">
        <v>14963.769179999999</v>
      </c>
    </row>
    <row r="486" spans="1:2" x14ac:dyDescent="0.3">
      <c r="A486" s="31" t="s">
        <v>1152</v>
      </c>
      <c r="B486" s="7">
        <v>14527.748400000002</v>
      </c>
    </row>
    <row r="487" spans="1:2" x14ac:dyDescent="0.3">
      <c r="A487" s="31" t="s">
        <v>1361</v>
      </c>
      <c r="B487" s="7">
        <v>12769.38768</v>
      </c>
    </row>
    <row r="488" spans="1:2" x14ac:dyDescent="0.3">
      <c r="A488" s="31" t="s">
        <v>1173</v>
      </c>
      <c r="B488" s="7">
        <v>12668.50728</v>
      </c>
    </row>
    <row r="489" spans="1:2" x14ac:dyDescent="0.3">
      <c r="A489" s="31" t="s">
        <v>1181</v>
      </c>
      <c r="B489" s="7">
        <v>12289.2</v>
      </c>
    </row>
    <row r="490" spans="1:2" x14ac:dyDescent="0.3">
      <c r="A490" s="31" t="s">
        <v>977</v>
      </c>
      <c r="B490" s="7">
        <v>12248.675999999999</v>
      </c>
    </row>
    <row r="491" spans="1:2" x14ac:dyDescent="0.3">
      <c r="A491" s="31" t="s">
        <v>798</v>
      </c>
      <c r="B491" s="7">
        <v>12153.267360000002</v>
      </c>
    </row>
    <row r="492" spans="1:2" x14ac:dyDescent="0.3">
      <c r="A492" s="31" t="s">
        <v>1185</v>
      </c>
      <c r="B492" s="7">
        <v>11984.891250000001</v>
      </c>
    </row>
    <row r="493" spans="1:2" x14ac:dyDescent="0.3">
      <c r="A493" s="31" t="s">
        <v>1265</v>
      </c>
      <c r="B493" s="7">
        <v>11924.0978</v>
      </c>
    </row>
    <row r="494" spans="1:2" x14ac:dyDescent="0.3">
      <c r="A494" s="31" t="s">
        <v>930</v>
      </c>
      <c r="B494" s="7">
        <v>11326.846439999999</v>
      </c>
    </row>
    <row r="495" spans="1:2" x14ac:dyDescent="0.3">
      <c r="A495" s="31" t="s">
        <v>1125</v>
      </c>
      <c r="B495" s="7">
        <v>11285.764020000001</v>
      </c>
    </row>
    <row r="496" spans="1:2" x14ac:dyDescent="0.3">
      <c r="A496" s="31" t="s">
        <v>795</v>
      </c>
      <c r="B496" s="7">
        <v>10947.904</v>
      </c>
    </row>
    <row r="497" spans="1:2" x14ac:dyDescent="0.3">
      <c r="A497" s="31" t="s">
        <v>744</v>
      </c>
      <c r="B497" s="7">
        <v>10370.549999999999</v>
      </c>
    </row>
    <row r="498" spans="1:2" x14ac:dyDescent="0.3">
      <c r="A498" s="31" t="s">
        <v>1153</v>
      </c>
      <c r="B498" s="7">
        <v>9984.7160999999978</v>
      </c>
    </row>
    <row r="499" spans="1:2" x14ac:dyDescent="0.3">
      <c r="A499" s="31" t="s">
        <v>974</v>
      </c>
      <c r="B499" s="7">
        <v>9684.8756000000012</v>
      </c>
    </row>
    <row r="500" spans="1:2" x14ac:dyDescent="0.3">
      <c r="A500" s="31" t="s">
        <v>1221</v>
      </c>
      <c r="B500" s="7">
        <v>9614.4403999999995</v>
      </c>
    </row>
    <row r="501" spans="1:2" x14ac:dyDescent="0.3">
      <c r="A501" s="31" t="s">
        <v>1049</v>
      </c>
      <c r="B501" s="7">
        <v>9062.34692</v>
      </c>
    </row>
    <row r="502" spans="1:2" x14ac:dyDescent="0.3">
      <c r="A502" s="31" t="s">
        <v>1076</v>
      </c>
      <c r="B502" s="7">
        <v>8938.8996600000009</v>
      </c>
    </row>
    <row r="503" spans="1:2" x14ac:dyDescent="0.3">
      <c r="A503" s="31" t="s">
        <v>874</v>
      </c>
      <c r="B503" s="7">
        <v>8211.6342000000004</v>
      </c>
    </row>
    <row r="504" spans="1:2" x14ac:dyDescent="0.3">
      <c r="A504" s="31" t="s">
        <v>895</v>
      </c>
      <c r="B504" s="7">
        <v>8154.5511600000009</v>
      </c>
    </row>
    <row r="505" spans="1:2" x14ac:dyDescent="0.3">
      <c r="A505" s="31" t="s">
        <v>1036</v>
      </c>
      <c r="B505" s="7">
        <v>8093.4784</v>
      </c>
    </row>
    <row r="506" spans="1:2" x14ac:dyDescent="0.3">
      <c r="A506" s="31" t="s">
        <v>1233</v>
      </c>
      <c r="B506" s="7">
        <v>7428.1108999999988</v>
      </c>
    </row>
    <row r="507" spans="1:2" x14ac:dyDescent="0.3">
      <c r="A507" s="31" t="s">
        <v>1311</v>
      </c>
      <c r="B507" s="7">
        <v>7173.3342799999991</v>
      </c>
    </row>
    <row r="508" spans="1:2" x14ac:dyDescent="0.3">
      <c r="A508" s="31" t="s">
        <v>1001</v>
      </c>
      <c r="B508" s="7">
        <v>6946.8</v>
      </c>
    </row>
    <row r="509" spans="1:2" x14ac:dyDescent="0.3">
      <c r="A509" s="31" t="s">
        <v>971</v>
      </c>
      <c r="B509" s="7">
        <v>6684.1875</v>
      </c>
    </row>
    <row r="510" spans="1:2" x14ac:dyDescent="0.3">
      <c r="A510" s="31" t="s">
        <v>964</v>
      </c>
      <c r="B510" s="7">
        <v>5814.6927299999998</v>
      </c>
    </row>
    <row r="511" spans="1:2" x14ac:dyDescent="0.3">
      <c r="A511" s="31" t="s">
        <v>827</v>
      </c>
      <c r="B511" s="7">
        <v>5487.6023999999998</v>
      </c>
    </row>
    <row r="512" spans="1:2" x14ac:dyDescent="0.3">
      <c r="A512" s="31" t="s">
        <v>736</v>
      </c>
      <c r="B512" s="7">
        <v>5225.2710400000005</v>
      </c>
    </row>
    <row r="513" spans="1:2" x14ac:dyDescent="0.3">
      <c r="A513" s="31" t="s">
        <v>1245</v>
      </c>
      <c r="B513" s="7">
        <v>5189.8836000000001</v>
      </c>
    </row>
    <row r="514" spans="1:2" x14ac:dyDescent="0.3">
      <c r="A514" s="31" t="s">
        <v>1218</v>
      </c>
      <c r="B514" s="7">
        <v>5159.7893599999998</v>
      </c>
    </row>
    <row r="515" spans="1:2" x14ac:dyDescent="0.3">
      <c r="A515" s="31" t="s">
        <v>1215</v>
      </c>
      <c r="B515" s="7">
        <v>5127.0390600000001</v>
      </c>
    </row>
    <row r="516" spans="1:2" x14ac:dyDescent="0.3">
      <c r="A516" s="31" t="s">
        <v>1067</v>
      </c>
      <c r="B516" s="7">
        <v>4856.35725</v>
      </c>
    </row>
    <row r="517" spans="1:2" x14ac:dyDescent="0.3">
      <c r="A517" s="31" t="s">
        <v>1094</v>
      </c>
      <c r="B517" s="7">
        <v>4804.4682400000002</v>
      </c>
    </row>
    <row r="518" spans="1:2" x14ac:dyDescent="0.3">
      <c r="A518" s="31" t="s">
        <v>870</v>
      </c>
      <c r="B518" s="7">
        <v>4336.2427499999994</v>
      </c>
    </row>
    <row r="519" spans="1:2" x14ac:dyDescent="0.3">
      <c r="A519" s="31" t="s">
        <v>760</v>
      </c>
      <c r="B519" s="7">
        <v>3980.7075</v>
      </c>
    </row>
    <row r="520" spans="1:2" x14ac:dyDescent="0.3">
      <c r="A520" s="31" t="s">
        <v>1018</v>
      </c>
      <c r="B520" s="7">
        <v>3978.6474000000003</v>
      </c>
    </row>
    <row r="521" spans="1:2" x14ac:dyDescent="0.3">
      <c r="A521" s="31" t="s">
        <v>761</v>
      </c>
      <c r="B521" s="7">
        <v>3913.2000000000003</v>
      </c>
    </row>
    <row r="522" spans="1:2" x14ac:dyDescent="0.3">
      <c r="A522" s="31" t="s">
        <v>1060</v>
      </c>
      <c r="B522" s="7">
        <v>3799.8031499999997</v>
      </c>
    </row>
    <row r="523" spans="1:2" x14ac:dyDescent="0.3">
      <c r="A523" s="31" t="s">
        <v>866</v>
      </c>
      <c r="B523" s="7">
        <v>3494.4040799999998</v>
      </c>
    </row>
    <row r="524" spans="1:2" x14ac:dyDescent="0.3">
      <c r="A524" s="31" t="s">
        <v>978</v>
      </c>
      <c r="B524" s="7">
        <v>2909.8689199999999</v>
      </c>
    </row>
    <row r="525" spans="1:2" x14ac:dyDescent="0.3">
      <c r="A525" s="31" t="s">
        <v>861</v>
      </c>
      <c r="B525" s="7">
        <v>2642.1686999999997</v>
      </c>
    </row>
    <row r="526" spans="1:2" x14ac:dyDescent="0.3">
      <c r="A526" s="31" t="s">
        <v>1063</v>
      </c>
      <c r="B526" s="7">
        <v>2537.2908000000002</v>
      </c>
    </row>
    <row r="527" spans="1:2" x14ac:dyDescent="0.3">
      <c r="A527" s="31" t="s">
        <v>1080</v>
      </c>
      <c r="B527" s="7">
        <v>2206.8000000000002</v>
      </c>
    </row>
    <row r="528" spans="1:2" x14ac:dyDescent="0.3">
      <c r="A528" s="31" t="s">
        <v>1144</v>
      </c>
      <c r="B528" s="7">
        <v>2059.0056</v>
      </c>
    </row>
    <row r="529" spans="1:2" x14ac:dyDescent="0.3">
      <c r="A529" s="31" t="s">
        <v>1303</v>
      </c>
      <c r="B529" s="7">
        <v>841.00536</v>
      </c>
    </row>
    <row r="530" spans="1:2" x14ac:dyDescent="0.3">
      <c r="A530" s="31" t="s">
        <v>1015</v>
      </c>
      <c r="B530" s="7">
        <v>667.74</v>
      </c>
    </row>
    <row r="531" spans="1:2" x14ac:dyDescent="0.3">
      <c r="A531" s="31" t="s">
        <v>1263</v>
      </c>
      <c r="B531" s="7">
        <v>618.19979999999987</v>
      </c>
    </row>
    <row r="532" spans="1:2" x14ac:dyDescent="0.3">
      <c r="A532" s="31" t="s">
        <v>996</v>
      </c>
      <c r="B532" s="7">
        <v>560.36831999999993</v>
      </c>
    </row>
    <row r="533" spans="1:2" x14ac:dyDescent="0.3">
      <c r="A533" s="31" t="s">
        <v>839</v>
      </c>
      <c r="B533" s="7">
        <v>518.65436999999997</v>
      </c>
    </row>
    <row r="534" spans="1:2" x14ac:dyDescent="0.3">
      <c r="A534" s="31" t="s">
        <v>1317</v>
      </c>
      <c r="B534" s="7">
        <v>370.86</v>
      </c>
    </row>
    <row r="535" spans="1:2" x14ac:dyDescent="0.3">
      <c r="A535" s="31" t="s">
        <v>1225</v>
      </c>
      <c r="B535" s="7">
        <v>110.14919999999999</v>
      </c>
    </row>
    <row r="536" spans="1:2" x14ac:dyDescent="0.3">
      <c r="A536" s="31" t="s">
        <v>1019</v>
      </c>
      <c r="B536" s="7">
        <v>76.138720000000006</v>
      </c>
    </row>
    <row r="537" spans="1:2" x14ac:dyDescent="0.3">
      <c r="A537" s="30" t="s">
        <v>727</v>
      </c>
      <c r="B537" s="7">
        <v>1616102.6546599993</v>
      </c>
    </row>
    <row r="538" spans="1:2" x14ac:dyDescent="0.3">
      <c r="A538" s="31" t="s">
        <v>1270</v>
      </c>
      <c r="B538" s="7">
        <v>66260.314239999992</v>
      </c>
    </row>
    <row r="539" spans="1:2" x14ac:dyDescent="0.3">
      <c r="A539" s="31" t="s">
        <v>1156</v>
      </c>
      <c r="B539" s="7">
        <v>58091.634960000003</v>
      </c>
    </row>
    <row r="540" spans="1:2" x14ac:dyDescent="0.3">
      <c r="A540" s="31" t="s">
        <v>932</v>
      </c>
      <c r="B540" s="7">
        <v>55880.483749999999</v>
      </c>
    </row>
    <row r="541" spans="1:2" x14ac:dyDescent="0.3">
      <c r="A541" s="31" t="s">
        <v>1288</v>
      </c>
      <c r="B541" s="7">
        <v>50545.319219999998</v>
      </c>
    </row>
    <row r="542" spans="1:2" x14ac:dyDescent="0.3">
      <c r="A542" s="31" t="s">
        <v>1089</v>
      </c>
      <c r="B542" s="7">
        <v>43907.94</v>
      </c>
    </row>
    <row r="543" spans="1:2" x14ac:dyDescent="0.3">
      <c r="A543" s="31" t="s">
        <v>828</v>
      </c>
      <c r="B543" s="7">
        <v>43209.006119999991</v>
      </c>
    </row>
    <row r="544" spans="1:2" x14ac:dyDescent="0.3">
      <c r="A544" s="31" t="s">
        <v>1046</v>
      </c>
      <c r="B544" s="7">
        <v>40325.31</v>
      </c>
    </row>
    <row r="545" spans="1:2" x14ac:dyDescent="0.3">
      <c r="A545" s="31" t="s">
        <v>1334</v>
      </c>
      <c r="B545" s="7">
        <v>39810.328000000001</v>
      </c>
    </row>
    <row r="546" spans="1:2" x14ac:dyDescent="0.3">
      <c r="A546" s="31" t="s">
        <v>1070</v>
      </c>
      <c r="B546" s="7">
        <v>38535.955099999999</v>
      </c>
    </row>
    <row r="547" spans="1:2" x14ac:dyDescent="0.3">
      <c r="A547" s="31" t="s">
        <v>1114</v>
      </c>
      <c r="B547" s="7">
        <v>37562.28</v>
      </c>
    </row>
    <row r="548" spans="1:2" x14ac:dyDescent="0.3">
      <c r="A548" s="31" t="s">
        <v>1203</v>
      </c>
      <c r="B548" s="7">
        <v>36549.429260000004</v>
      </c>
    </row>
    <row r="549" spans="1:2" x14ac:dyDescent="0.3">
      <c r="A549" s="31" t="s">
        <v>871</v>
      </c>
      <c r="B549" s="7">
        <v>35567.737920000007</v>
      </c>
    </row>
    <row r="550" spans="1:2" x14ac:dyDescent="0.3">
      <c r="A550" s="31" t="s">
        <v>782</v>
      </c>
      <c r="B550" s="7">
        <v>34444.462359999998</v>
      </c>
    </row>
    <row r="551" spans="1:2" x14ac:dyDescent="0.3">
      <c r="A551" s="31" t="s">
        <v>1261</v>
      </c>
      <c r="B551" s="7">
        <v>33421.1</v>
      </c>
    </row>
    <row r="552" spans="1:2" x14ac:dyDescent="0.3">
      <c r="A552" s="31" t="s">
        <v>1279</v>
      </c>
      <c r="B552" s="7">
        <v>31822.023930000003</v>
      </c>
    </row>
    <row r="553" spans="1:2" x14ac:dyDescent="0.3">
      <c r="A553" s="31" t="s">
        <v>775</v>
      </c>
      <c r="B553" s="7">
        <v>30596.565999999999</v>
      </c>
    </row>
    <row r="554" spans="1:2" x14ac:dyDescent="0.3">
      <c r="A554" s="31" t="s">
        <v>886</v>
      </c>
      <c r="B554" s="7">
        <v>29654.83008</v>
      </c>
    </row>
    <row r="555" spans="1:2" x14ac:dyDescent="0.3">
      <c r="A555" s="31" t="s">
        <v>1219</v>
      </c>
      <c r="B555" s="7">
        <v>28856.475000000002</v>
      </c>
    </row>
    <row r="556" spans="1:2" x14ac:dyDescent="0.3">
      <c r="A556" s="31" t="s">
        <v>952</v>
      </c>
      <c r="B556" s="7">
        <v>28211.92124</v>
      </c>
    </row>
    <row r="557" spans="1:2" x14ac:dyDescent="0.3">
      <c r="A557" s="31" t="s">
        <v>1207</v>
      </c>
      <c r="B557" s="7">
        <v>27194.152039999997</v>
      </c>
    </row>
    <row r="558" spans="1:2" x14ac:dyDescent="0.3">
      <c r="A558" s="31" t="s">
        <v>749</v>
      </c>
      <c r="B558" s="7">
        <v>25948.414799999995</v>
      </c>
    </row>
    <row r="559" spans="1:2" x14ac:dyDescent="0.3">
      <c r="A559" s="31" t="s">
        <v>986</v>
      </c>
      <c r="B559" s="7">
        <v>25483.91488</v>
      </c>
    </row>
    <row r="560" spans="1:2" x14ac:dyDescent="0.3">
      <c r="A560" s="31" t="s">
        <v>1349</v>
      </c>
      <c r="B560" s="7">
        <v>25174.028880000002</v>
      </c>
    </row>
    <row r="561" spans="1:2" x14ac:dyDescent="0.3">
      <c r="A561" s="31" t="s">
        <v>1138</v>
      </c>
      <c r="B561" s="7">
        <v>22457.143800000002</v>
      </c>
    </row>
    <row r="562" spans="1:2" x14ac:dyDescent="0.3">
      <c r="A562" s="31" t="s">
        <v>1248</v>
      </c>
      <c r="B562" s="7">
        <v>22201.762229999997</v>
      </c>
    </row>
    <row r="563" spans="1:2" x14ac:dyDescent="0.3">
      <c r="A563" s="31" t="s">
        <v>1176</v>
      </c>
      <c r="B563" s="7">
        <v>21664.440000000002</v>
      </c>
    </row>
    <row r="564" spans="1:2" x14ac:dyDescent="0.3">
      <c r="A564" s="31" t="s">
        <v>746</v>
      </c>
      <c r="B564" s="7">
        <v>21585.15</v>
      </c>
    </row>
    <row r="565" spans="1:2" x14ac:dyDescent="0.3">
      <c r="A565" s="31" t="s">
        <v>1172</v>
      </c>
      <c r="B565" s="7">
        <v>20672.289000000001</v>
      </c>
    </row>
    <row r="566" spans="1:2" x14ac:dyDescent="0.3">
      <c r="A566" s="31" t="s">
        <v>1075</v>
      </c>
      <c r="B566" s="7">
        <v>20053.439999999999</v>
      </c>
    </row>
    <row r="567" spans="1:2" x14ac:dyDescent="0.3">
      <c r="A567" s="31" t="s">
        <v>1147</v>
      </c>
      <c r="B567" s="7">
        <v>18411.4084</v>
      </c>
    </row>
    <row r="568" spans="1:2" x14ac:dyDescent="0.3">
      <c r="A568" s="31" t="s">
        <v>814</v>
      </c>
      <c r="B568" s="7">
        <v>18258.868320000001</v>
      </c>
    </row>
    <row r="569" spans="1:2" x14ac:dyDescent="0.3">
      <c r="A569" s="31" t="s">
        <v>1342</v>
      </c>
      <c r="B569" s="7">
        <v>18003.847679999999</v>
      </c>
    </row>
    <row r="570" spans="1:2" x14ac:dyDescent="0.3">
      <c r="A570" s="31" t="s">
        <v>734</v>
      </c>
      <c r="B570" s="7">
        <v>17960.432489999999</v>
      </c>
    </row>
    <row r="571" spans="1:2" x14ac:dyDescent="0.3">
      <c r="A571" s="31" t="s">
        <v>1133</v>
      </c>
      <c r="B571" s="7">
        <v>17427.164800000002</v>
      </c>
    </row>
    <row r="572" spans="1:2" x14ac:dyDescent="0.3">
      <c r="A572" s="31" t="s">
        <v>968</v>
      </c>
      <c r="B572" s="7">
        <v>17359.804799999998</v>
      </c>
    </row>
    <row r="573" spans="1:2" x14ac:dyDescent="0.3">
      <c r="A573" s="31" t="s">
        <v>961</v>
      </c>
      <c r="B573" s="7">
        <v>16609.090809999998</v>
      </c>
    </row>
    <row r="574" spans="1:2" x14ac:dyDescent="0.3">
      <c r="A574" s="31" t="s">
        <v>1201</v>
      </c>
      <c r="B574" s="7">
        <v>16252.219979999998</v>
      </c>
    </row>
    <row r="575" spans="1:2" x14ac:dyDescent="0.3">
      <c r="A575" s="31" t="s">
        <v>1068</v>
      </c>
      <c r="B575" s="7">
        <v>16219.34496</v>
      </c>
    </row>
    <row r="576" spans="1:2" x14ac:dyDescent="0.3">
      <c r="A576" s="31" t="s">
        <v>941</v>
      </c>
      <c r="B576" s="7">
        <v>15825.399369999997</v>
      </c>
    </row>
    <row r="577" spans="1:2" x14ac:dyDescent="0.3">
      <c r="A577" s="31" t="s">
        <v>909</v>
      </c>
      <c r="B577" s="7">
        <v>15656.47056</v>
      </c>
    </row>
    <row r="578" spans="1:2" x14ac:dyDescent="0.3">
      <c r="A578" s="31" t="s">
        <v>771</v>
      </c>
      <c r="B578" s="7">
        <v>14968.239</v>
      </c>
    </row>
    <row r="579" spans="1:2" x14ac:dyDescent="0.3">
      <c r="A579" s="31" t="s">
        <v>881</v>
      </c>
      <c r="B579" s="7">
        <v>14877.464000000002</v>
      </c>
    </row>
    <row r="580" spans="1:2" x14ac:dyDescent="0.3">
      <c r="A580" s="31" t="s">
        <v>1092</v>
      </c>
      <c r="B580" s="7">
        <v>14813.731920000002</v>
      </c>
    </row>
    <row r="581" spans="1:2" x14ac:dyDescent="0.3">
      <c r="A581" s="31" t="s">
        <v>1291</v>
      </c>
      <c r="B581" s="7">
        <v>13251.48</v>
      </c>
    </row>
    <row r="582" spans="1:2" x14ac:dyDescent="0.3">
      <c r="A582" s="31" t="s">
        <v>1162</v>
      </c>
      <c r="B582" s="7">
        <v>12955.824749999998</v>
      </c>
    </row>
    <row r="583" spans="1:2" x14ac:dyDescent="0.3">
      <c r="A583" s="31" t="s">
        <v>1097</v>
      </c>
      <c r="B583" s="7">
        <v>12717.311040000001</v>
      </c>
    </row>
    <row r="584" spans="1:2" x14ac:dyDescent="0.3">
      <c r="A584" s="31" t="s">
        <v>998</v>
      </c>
      <c r="B584" s="7">
        <v>12597.52224</v>
      </c>
    </row>
    <row r="585" spans="1:2" x14ac:dyDescent="0.3">
      <c r="A585" s="31" t="s">
        <v>1182</v>
      </c>
      <c r="B585" s="7">
        <v>12462.65055</v>
      </c>
    </row>
    <row r="586" spans="1:2" x14ac:dyDescent="0.3">
      <c r="A586" s="31" t="s">
        <v>867</v>
      </c>
      <c r="B586" s="7">
        <v>12031.491680000001</v>
      </c>
    </row>
    <row r="587" spans="1:2" x14ac:dyDescent="0.3">
      <c r="A587" s="31" t="s">
        <v>897</v>
      </c>
      <c r="B587" s="7">
        <v>11851.806399999999</v>
      </c>
    </row>
    <row r="588" spans="1:2" x14ac:dyDescent="0.3">
      <c r="A588" s="31" t="s">
        <v>1007</v>
      </c>
      <c r="B588" s="7">
        <v>11417.429099999999</v>
      </c>
    </row>
    <row r="589" spans="1:2" x14ac:dyDescent="0.3">
      <c r="A589" s="31" t="s">
        <v>1259</v>
      </c>
      <c r="B589" s="7">
        <v>11406.96</v>
      </c>
    </row>
    <row r="590" spans="1:2" x14ac:dyDescent="0.3">
      <c r="A590" s="31" t="s">
        <v>737</v>
      </c>
      <c r="B590" s="7">
        <v>10957.9797</v>
      </c>
    </row>
    <row r="591" spans="1:2" x14ac:dyDescent="0.3">
      <c r="A591" s="31" t="s">
        <v>1234</v>
      </c>
      <c r="B591" s="7">
        <v>10869.182940000001</v>
      </c>
    </row>
    <row r="592" spans="1:2" x14ac:dyDescent="0.3">
      <c r="A592" s="31" t="s">
        <v>776</v>
      </c>
      <c r="B592" s="7">
        <v>10666.229420000001</v>
      </c>
    </row>
    <row r="593" spans="1:2" x14ac:dyDescent="0.3">
      <c r="A593" s="31" t="s">
        <v>1346</v>
      </c>
      <c r="B593" s="7">
        <v>10464.138360000001</v>
      </c>
    </row>
    <row r="594" spans="1:2" x14ac:dyDescent="0.3">
      <c r="A594" s="31" t="s">
        <v>1202</v>
      </c>
      <c r="B594" s="7">
        <v>10428.057360000001</v>
      </c>
    </row>
    <row r="595" spans="1:2" x14ac:dyDescent="0.3">
      <c r="A595" s="31" t="s">
        <v>1341</v>
      </c>
      <c r="B595" s="7">
        <v>10260.060159999999</v>
      </c>
    </row>
    <row r="596" spans="1:2" x14ac:dyDescent="0.3">
      <c r="A596" s="31" t="s">
        <v>825</v>
      </c>
      <c r="B596" s="7">
        <v>10161.46624</v>
      </c>
    </row>
    <row r="597" spans="1:2" x14ac:dyDescent="0.3">
      <c r="A597" s="31" t="s">
        <v>876</v>
      </c>
      <c r="B597" s="7">
        <v>9969.4201499999999</v>
      </c>
    </row>
    <row r="598" spans="1:2" x14ac:dyDescent="0.3">
      <c r="A598" s="31" t="s">
        <v>1034</v>
      </c>
      <c r="B598" s="7">
        <v>9866.3104799999983</v>
      </c>
    </row>
    <row r="599" spans="1:2" x14ac:dyDescent="0.3">
      <c r="A599" s="31" t="s">
        <v>1118</v>
      </c>
      <c r="B599" s="7">
        <v>9586.8057599999993</v>
      </c>
    </row>
    <row r="600" spans="1:2" x14ac:dyDescent="0.3">
      <c r="A600" s="31" t="s">
        <v>1257</v>
      </c>
      <c r="B600" s="7">
        <v>8326.6852500000005</v>
      </c>
    </row>
    <row r="601" spans="1:2" x14ac:dyDescent="0.3">
      <c r="A601" s="31" t="s">
        <v>883</v>
      </c>
      <c r="B601" s="7">
        <v>7901.5041599999995</v>
      </c>
    </row>
    <row r="602" spans="1:2" x14ac:dyDescent="0.3">
      <c r="A602" s="31" t="s">
        <v>1002</v>
      </c>
      <c r="B602" s="7">
        <v>7678.2113999999992</v>
      </c>
    </row>
    <row r="603" spans="1:2" x14ac:dyDescent="0.3">
      <c r="A603" s="31" t="s">
        <v>1332</v>
      </c>
      <c r="B603" s="7">
        <v>7466.3063999999986</v>
      </c>
    </row>
    <row r="604" spans="1:2" x14ac:dyDescent="0.3">
      <c r="A604" s="31" t="s">
        <v>962</v>
      </c>
      <c r="B604" s="7">
        <v>7446.5209000000004</v>
      </c>
    </row>
    <row r="605" spans="1:2" x14ac:dyDescent="0.3">
      <c r="A605" s="31" t="s">
        <v>779</v>
      </c>
      <c r="B605" s="7">
        <v>7135.57</v>
      </c>
    </row>
    <row r="606" spans="1:2" x14ac:dyDescent="0.3">
      <c r="A606" s="31" t="s">
        <v>945</v>
      </c>
      <c r="B606" s="7">
        <v>6984.8246399999998</v>
      </c>
    </row>
    <row r="607" spans="1:2" x14ac:dyDescent="0.3">
      <c r="A607" s="31" t="s">
        <v>1143</v>
      </c>
      <c r="B607" s="7">
        <v>6899.8804600000003</v>
      </c>
    </row>
    <row r="608" spans="1:2" x14ac:dyDescent="0.3">
      <c r="A608" s="31" t="s">
        <v>768</v>
      </c>
      <c r="B608" s="7">
        <v>6631.6443100000006</v>
      </c>
    </row>
    <row r="609" spans="1:2" x14ac:dyDescent="0.3">
      <c r="A609" s="31" t="s">
        <v>951</v>
      </c>
      <c r="B609" s="7">
        <v>6535.6324800000002</v>
      </c>
    </row>
    <row r="610" spans="1:2" x14ac:dyDescent="0.3">
      <c r="A610" s="31" t="s">
        <v>1175</v>
      </c>
      <c r="B610" s="7">
        <v>5960.04288</v>
      </c>
    </row>
    <row r="611" spans="1:2" x14ac:dyDescent="0.3">
      <c r="A611" s="31" t="s">
        <v>1335</v>
      </c>
      <c r="B611" s="7">
        <v>5457.4317000000001</v>
      </c>
    </row>
    <row r="612" spans="1:2" x14ac:dyDescent="0.3">
      <c r="A612" s="31" t="s">
        <v>1041</v>
      </c>
      <c r="B612" s="7">
        <v>5334.9141999999993</v>
      </c>
    </row>
    <row r="613" spans="1:2" x14ac:dyDescent="0.3">
      <c r="A613" s="31" t="s">
        <v>1213</v>
      </c>
      <c r="B613" s="7">
        <v>4738.5261</v>
      </c>
    </row>
    <row r="614" spans="1:2" x14ac:dyDescent="0.3">
      <c r="A614" s="31" t="s">
        <v>934</v>
      </c>
      <c r="B614" s="7">
        <v>4637.7968000000001</v>
      </c>
    </row>
    <row r="615" spans="1:2" x14ac:dyDescent="0.3">
      <c r="A615" s="31" t="s">
        <v>1102</v>
      </c>
      <c r="B615" s="7">
        <v>4569.5735999999997</v>
      </c>
    </row>
    <row r="616" spans="1:2" x14ac:dyDescent="0.3">
      <c r="A616" s="31" t="s">
        <v>973</v>
      </c>
      <c r="B616" s="7">
        <v>4436.6291200000005</v>
      </c>
    </row>
    <row r="617" spans="1:2" x14ac:dyDescent="0.3">
      <c r="A617" s="31" t="s">
        <v>912</v>
      </c>
      <c r="B617" s="7">
        <v>4420.5961799999995</v>
      </c>
    </row>
    <row r="618" spans="1:2" x14ac:dyDescent="0.3">
      <c r="A618" s="31" t="s">
        <v>1329</v>
      </c>
      <c r="B618" s="7">
        <v>4409.5168800000001</v>
      </c>
    </row>
    <row r="619" spans="1:2" x14ac:dyDescent="0.3">
      <c r="A619" s="31" t="s">
        <v>926</v>
      </c>
      <c r="B619" s="7">
        <v>4402.1164799999997</v>
      </c>
    </row>
    <row r="620" spans="1:2" x14ac:dyDescent="0.3">
      <c r="A620" s="31" t="s">
        <v>1029</v>
      </c>
      <c r="B620" s="7">
        <v>4241.88105</v>
      </c>
    </row>
    <row r="621" spans="1:2" x14ac:dyDescent="0.3">
      <c r="A621" s="31" t="s">
        <v>885</v>
      </c>
      <c r="B621" s="7">
        <v>4139.8127999999997</v>
      </c>
    </row>
    <row r="622" spans="1:2" x14ac:dyDescent="0.3">
      <c r="A622" s="31" t="s">
        <v>1083</v>
      </c>
      <c r="B622" s="7">
        <v>4132.0325200000007</v>
      </c>
    </row>
    <row r="623" spans="1:2" x14ac:dyDescent="0.3">
      <c r="A623" s="31" t="s">
        <v>1106</v>
      </c>
      <c r="B623" s="7">
        <v>4117.4880599999997</v>
      </c>
    </row>
    <row r="624" spans="1:2" x14ac:dyDescent="0.3">
      <c r="A624" s="31" t="s">
        <v>1194</v>
      </c>
      <c r="B624" s="7">
        <v>4055.5175999999997</v>
      </c>
    </row>
    <row r="625" spans="1:2" x14ac:dyDescent="0.3">
      <c r="A625" s="31" t="s">
        <v>1220</v>
      </c>
      <c r="B625" s="7">
        <v>4025.8565599999993</v>
      </c>
    </row>
    <row r="626" spans="1:2" x14ac:dyDescent="0.3">
      <c r="A626" s="31" t="s">
        <v>772</v>
      </c>
      <c r="B626" s="7">
        <v>3562.1983800000003</v>
      </c>
    </row>
    <row r="627" spans="1:2" x14ac:dyDescent="0.3">
      <c r="A627" s="31" t="s">
        <v>1328</v>
      </c>
      <c r="B627" s="7">
        <v>3116.21</v>
      </c>
    </row>
    <row r="628" spans="1:2" x14ac:dyDescent="0.3">
      <c r="A628" s="31" t="s">
        <v>965</v>
      </c>
      <c r="B628" s="7">
        <v>2879.9836</v>
      </c>
    </row>
    <row r="629" spans="1:2" x14ac:dyDescent="0.3">
      <c r="A629" s="31" t="s">
        <v>1339</v>
      </c>
      <c r="B629" s="7">
        <v>2736.27018</v>
      </c>
    </row>
    <row r="630" spans="1:2" x14ac:dyDescent="0.3">
      <c r="A630" s="31" t="s">
        <v>1123</v>
      </c>
      <c r="B630" s="7">
        <v>2525.0635000000002</v>
      </c>
    </row>
    <row r="631" spans="1:2" x14ac:dyDescent="0.3">
      <c r="A631" s="31" t="s">
        <v>1258</v>
      </c>
      <c r="B631" s="7">
        <v>2146.5580500000001</v>
      </c>
    </row>
    <row r="632" spans="1:2" x14ac:dyDescent="0.3">
      <c r="A632" s="31" t="s">
        <v>907</v>
      </c>
      <c r="B632" s="7">
        <v>1952.6356799999999</v>
      </c>
    </row>
    <row r="633" spans="1:2" x14ac:dyDescent="0.3">
      <c r="A633" s="31" t="s">
        <v>1177</v>
      </c>
      <c r="B633" s="7">
        <v>1925.29872</v>
      </c>
    </row>
    <row r="634" spans="1:2" x14ac:dyDescent="0.3">
      <c r="A634" s="31" t="s">
        <v>759</v>
      </c>
      <c r="B634" s="7">
        <v>1756.6999999999998</v>
      </c>
    </row>
    <row r="635" spans="1:2" x14ac:dyDescent="0.3">
      <c r="A635" s="31" t="s">
        <v>1087</v>
      </c>
      <c r="B635" s="7">
        <v>1122.0896000000002</v>
      </c>
    </row>
    <row r="636" spans="1:2" x14ac:dyDescent="0.3">
      <c r="A636" s="31" t="s">
        <v>1024</v>
      </c>
      <c r="B636" s="7">
        <v>1098.9470800000001</v>
      </c>
    </row>
    <row r="637" spans="1:2" x14ac:dyDescent="0.3">
      <c r="A637" s="31" t="s">
        <v>849</v>
      </c>
      <c r="B637" s="7">
        <v>765.99195000000009</v>
      </c>
    </row>
    <row r="638" spans="1:2" x14ac:dyDescent="0.3">
      <c r="A638" s="31" t="s">
        <v>976</v>
      </c>
      <c r="B638" s="7">
        <v>748.22303999999997</v>
      </c>
    </row>
    <row r="639" spans="1:2" x14ac:dyDescent="0.3">
      <c r="A639" s="31" t="s">
        <v>1150</v>
      </c>
      <c r="B639" s="7">
        <v>741.43835999999999</v>
      </c>
    </row>
    <row r="640" spans="1:2" x14ac:dyDescent="0.3">
      <c r="A640" s="31" t="s">
        <v>740</v>
      </c>
      <c r="B640" s="7">
        <v>685.06776000000002</v>
      </c>
    </row>
    <row r="641" spans="1:2" x14ac:dyDescent="0.3">
      <c r="A641" s="30" t="s">
        <v>1434</v>
      </c>
      <c r="B641" s="7">
        <v>10928845.716499999</v>
      </c>
    </row>
  </sheetData>
  <conditionalFormatting pivot="1" sqref="B5:B92">
    <cfRule type="top10" dxfId="46" priority="36" percent="1" rank="80"/>
  </conditionalFormatting>
  <conditionalFormatting sqref="B1:B3 B642:B1048576">
    <cfRule type="top10" dxfId="45" priority="34" percent="1" bottom="1" rank="5"/>
    <cfRule type="top10" dxfId="44" priority="35" percent="1" bottom="1" rank="15"/>
  </conditionalFormatting>
  <conditionalFormatting pivot="1" sqref="B94:B183">
    <cfRule type="top10" dxfId="43" priority="33" percent="1" rank="80"/>
  </conditionalFormatting>
  <conditionalFormatting pivot="1" sqref="B94:B183">
    <cfRule type="top10" dxfId="42" priority="32" percent="1" bottom="1" rank="50"/>
  </conditionalFormatting>
  <conditionalFormatting pivot="1" sqref="B94:B183">
    <cfRule type="top10" dxfId="41" priority="31" percent="1" bottom="1" rank="5"/>
  </conditionalFormatting>
  <conditionalFormatting pivot="1" sqref="B185:B265">
    <cfRule type="top10" dxfId="40" priority="30" percent="1" rank="80"/>
  </conditionalFormatting>
  <conditionalFormatting pivot="1" sqref="B185:B265">
    <cfRule type="top10" dxfId="39" priority="29" percent="1" bottom="1" rank="15"/>
  </conditionalFormatting>
  <conditionalFormatting pivot="1" sqref="B185:B265">
    <cfRule type="top10" dxfId="38" priority="28" percent="1" bottom="1" rank="5"/>
  </conditionalFormatting>
  <conditionalFormatting pivot="1" sqref="B185:B265">
    <cfRule type="top10" dxfId="37" priority="27" percent="1" bottom="1" rank="15"/>
  </conditionalFormatting>
  <conditionalFormatting pivot="1" sqref="B185:B265">
    <cfRule type="top10" dxfId="36" priority="26" percent="1" bottom="1" rank="5"/>
  </conditionalFormatting>
  <conditionalFormatting pivot="1" sqref="B267:B360">
    <cfRule type="top10" dxfId="35" priority="25" percent="1" rank="80"/>
  </conditionalFormatting>
  <conditionalFormatting pivot="1" sqref="B267:B360">
    <cfRule type="top10" dxfId="34" priority="24" percent="1" bottom="1" rank="15"/>
  </conditionalFormatting>
  <conditionalFormatting pivot="1" sqref="B267:B360">
    <cfRule type="top10" dxfId="33" priority="23" percent="1" bottom="1" rank="5"/>
  </conditionalFormatting>
  <conditionalFormatting pivot="1" sqref="B267:B360">
    <cfRule type="top10" dxfId="32" priority="22" percent="1" bottom="1" rank="5"/>
  </conditionalFormatting>
  <conditionalFormatting pivot="1" sqref="B267:B360">
    <cfRule type="top10" dxfId="31" priority="21" percent="1" rank="80"/>
  </conditionalFormatting>
  <conditionalFormatting pivot="1" sqref="B5:B92">
    <cfRule type="top10" dxfId="30" priority="20" rank="70"/>
  </conditionalFormatting>
  <conditionalFormatting pivot="1" sqref="B5:B92">
    <cfRule type="top10" dxfId="29" priority="19" bottom="1" rank="28"/>
  </conditionalFormatting>
  <conditionalFormatting pivot="1" sqref="B5:B92">
    <cfRule type="top10" dxfId="28" priority="18" percent="1" bottom="1" rank="4"/>
  </conditionalFormatting>
  <conditionalFormatting pivot="1" sqref="B185:B265">
    <cfRule type="top10" dxfId="27" priority="17" rank="70"/>
  </conditionalFormatting>
  <conditionalFormatting pivot="1" sqref="B185:B265">
    <cfRule type="top10" dxfId="26" priority="16" bottom="1" rank="28"/>
  </conditionalFormatting>
  <conditionalFormatting pivot="1" sqref="B185:B265">
    <cfRule type="top10" dxfId="25" priority="15" percent="1" bottom="1" rank="5"/>
  </conditionalFormatting>
  <conditionalFormatting pivot="1" sqref="B267:B360">
    <cfRule type="top10" dxfId="24" priority="14" rank="70"/>
  </conditionalFormatting>
  <conditionalFormatting pivot="1" sqref="B267:B360">
    <cfRule type="top10" dxfId="23" priority="13" percent="1" bottom="1" rank="28"/>
  </conditionalFormatting>
  <conditionalFormatting pivot="1" sqref="B267:B360">
    <cfRule type="top10" dxfId="22" priority="12" percent="1" bottom="1" rank="5"/>
  </conditionalFormatting>
  <conditionalFormatting pivot="1" sqref="B362:B447">
    <cfRule type="top10" dxfId="21" priority="11" rank="70"/>
  </conditionalFormatting>
  <conditionalFormatting pivot="1" sqref="B362:B447">
    <cfRule type="top10" dxfId="20" priority="10" bottom="1" rank="28"/>
  </conditionalFormatting>
  <conditionalFormatting pivot="1" sqref="B362:B447">
    <cfRule type="top10" dxfId="19" priority="9" percent="1" bottom="1" rank="5"/>
  </conditionalFormatting>
  <conditionalFormatting pivot="1" sqref="B449:B536">
    <cfRule type="top10" dxfId="18" priority="8" rank="70"/>
  </conditionalFormatting>
  <conditionalFormatting pivot="1" sqref="B449:B536">
    <cfRule type="top10" dxfId="17" priority="7" percent="1" bottom="1" rank="15"/>
  </conditionalFormatting>
  <conditionalFormatting pivot="1" sqref="B449:B536">
    <cfRule type="top10" dxfId="16" priority="6" bottom="1" rank="28"/>
  </conditionalFormatting>
  <conditionalFormatting pivot="1" sqref="B449:B536">
    <cfRule type="top10" dxfId="15" priority="5" bottom="1" rank="5"/>
  </conditionalFormatting>
  <conditionalFormatting pivot="1" sqref="B538:B640">
    <cfRule type="top10" dxfId="14" priority="4" rank="70"/>
  </conditionalFormatting>
  <conditionalFormatting pivot="1" sqref="B538:B640">
    <cfRule type="top10" dxfId="13" priority="3" percent="1" bottom="1" rank="15"/>
  </conditionalFormatting>
  <conditionalFormatting pivot="1" sqref="B538:B640">
    <cfRule type="top10" dxfId="12" priority="2" bottom="1" rank="28"/>
  </conditionalFormatting>
  <conditionalFormatting pivot="1" sqref="B538:B640">
    <cfRule type="top10" dxfId="11" priority="1" bottom="1" rank="5"/>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4864F-DF65-4F45-9F5B-BBDA5663E62A}">
  <dimension ref="A3:B634"/>
  <sheetViews>
    <sheetView topLeftCell="G1" workbookViewId="0">
      <selection activeCell="E13" sqref="E13"/>
    </sheetView>
  </sheetViews>
  <sheetFormatPr defaultRowHeight="14.4" x14ac:dyDescent="0.3"/>
  <cols>
    <col min="1" max="1" width="12.5546875" bestFit="1" customWidth="1"/>
    <col min="2" max="2" width="24.5546875" bestFit="1" customWidth="1"/>
  </cols>
  <sheetData>
    <row r="3" spans="1:2" x14ac:dyDescent="0.3">
      <c r="A3" s="29" t="s">
        <v>1433</v>
      </c>
      <c r="B3" t="s">
        <v>1476</v>
      </c>
    </row>
    <row r="4" spans="1:2" x14ac:dyDescent="0.3">
      <c r="A4" s="30" t="s">
        <v>970</v>
      </c>
      <c r="B4" s="7">
        <v>139277.83032000001</v>
      </c>
    </row>
    <row r="5" spans="1:2" x14ac:dyDescent="0.3">
      <c r="A5" s="30" t="s">
        <v>780</v>
      </c>
      <c r="B5" s="7">
        <v>109244</v>
      </c>
    </row>
    <row r="6" spans="1:2" x14ac:dyDescent="0.3">
      <c r="A6" s="30" t="s">
        <v>1154</v>
      </c>
      <c r="B6" s="7">
        <v>102122.94203999999</v>
      </c>
    </row>
    <row r="7" spans="1:2" x14ac:dyDescent="0.3">
      <c r="A7" s="30" t="s">
        <v>908</v>
      </c>
      <c r="B7" s="7">
        <v>92715.25</v>
      </c>
    </row>
    <row r="8" spans="1:2" x14ac:dyDescent="0.3">
      <c r="A8" s="30" t="s">
        <v>873</v>
      </c>
      <c r="B8" s="7">
        <v>87404.929919999995</v>
      </c>
    </row>
    <row r="9" spans="1:2" x14ac:dyDescent="0.3">
      <c r="A9" s="30" t="s">
        <v>898</v>
      </c>
      <c r="B9" s="7">
        <v>85637.740319999997</v>
      </c>
    </row>
    <row r="10" spans="1:2" x14ac:dyDescent="0.3">
      <c r="A10" s="30" t="s">
        <v>1197</v>
      </c>
      <c r="B10" s="7">
        <v>84136.119600000005</v>
      </c>
    </row>
    <row r="11" spans="1:2" x14ac:dyDescent="0.3">
      <c r="A11" s="30" t="s">
        <v>1095</v>
      </c>
      <c r="B11" s="7">
        <v>82514.711519999997</v>
      </c>
    </row>
    <row r="12" spans="1:2" x14ac:dyDescent="0.3">
      <c r="A12" s="30" t="s">
        <v>1344</v>
      </c>
      <c r="B12" s="7">
        <v>82141.339799999987</v>
      </c>
    </row>
    <row r="13" spans="1:2" x14ac:dyDescent="0.3">
      <c r="A13" s="30" t="s">
        <v>1009</v>
      </c>
      <c r="B13" s="7">
        <v>79548.755999999994</v>
      </c>
    </row>
    <row r="14" spans="1:2" x14ac:dyDescent="0.3">
      <c r="A14" s="30" t="s">
        <v>1079</v>
      </c>
      <c r="B14" s="7">
        <v>79082.507010000001</v>
      </c>
    </row>
    <row r="15" spans="1:2" x14ac:dyDescent="0.3">
      <c r="A15" s="30" t="s">
        <v>796</v>
      </c>
      <c r="B15" s="7">
        <v>72665.817450000002</v>
      </c>
    </row>
    <row r="16" spans="1:2" x14ac:dyDescent="0.3">
      <c r="A16" s="30" t="s">
        <v>1319</v>
      </c>
      <c r="B16" s="7">
        <v>68665.574250000005</v>
      </c>
    </row>
    <row r="17" spans="1:2" x14ac:dyDescent="0.3">
      <c r="A17" s="30" t="s">
        <v>956</v>
      </c>
      <c r="B17" s="7">
        <v>66988.771199999988</v>
      </c>
    </row>
    <row r="18" spans="1:2" x14ac:dyDescent="0.3">
      <c r="A18" s="30" t="s">
        <v>1270</v>
      </c>
      <c r="B18" s="7">
        <v>66260.314239999992</v>
      </c>
    </row>
    <row r="19" spans="1:2" x14ac:dyDescent="0.3">
      <c r="A19" s="30" t="s">
        <v>850</v>
      </c>
      <c r="B19" s="7">
        <v>65119.329599999997</v>
      </c>
    </row>
    <row r="20" spans="1:2" x14ac:dyDescent="0.3">
      <c r="A20" s="30" t="s">
        <v>859</v>
      </c>
      <c r="B20" s="7">
        <v>65111.38614000001</v>
      </c>
    </row>
    <row r="21" spans="1:2" x14ac:dyDescent="0.3">
      <c r="A21" s="30" t="s">
        <v>1120</v>
      </c>
      <c r="B21" s="7">
        <v>65066.934229999999</v>
      </c>
    </row>
    <row r="22" spans="1:2" x14ac:dyDescent="0.3">
      <c r="A22" s="30" t="s">
        <v>1253</v>
      </c>
      <c r="B22" s="7">
        <v>64192.976999999999</v>
      </c>
    </row>
    <row r="23" spans="1:2" x14ac:dyDescent="0.3">
      <c r="A23" s="30" t="s">
        <v>742</v>
      </c>
      <c r="B23" s="7">
        <v>60928.502359999999</v>
      </c>
    </row>
    <row r="24" spans="1:2" x14ac:dyDescent="0.3">
      <c r="A24" s="30" t="s">
        <v>813</v>
      </c>
      <c r="B24" s="7">
        <v>60292.805299999993</v>
      </c>
    </row>
    <row r="25" spans="1:2" x14ac:dyDescent="0.3">
      <c r="A25" s="30" t="s">
        <v>1260</v>
      </c>
      <c r="B25" s="7">
        <v>58526.83122</v>
      </c>
    </row>
    <row r="26" spans="1:2" x14ac:dyDescent="0.3">
      <c r="A26" s="30" t="s">
        <v>1156</v>
      </c>
      <c r="B26" s="7">
        <v>58091.634960000003</v>
      </c>
    </row>
    <row r="27" spans="1:2" x14ac:dyDescent="0.3">
      <c r="A27" s="30" t="s">
        <v>1163</v>
      </c>
      <c r="B27" s="7">
        <v>58057.65</v>
      </c>
    </row>
    <row r="28" spans="1:2" x14ac:dyDescent="0.3">
      <c r="A28" s="30" t="s">
        <v>1128</v>
      </c>
      <c r="B28" s="7">
        <v>56176.777799999996</v>
      </c>
    </row>
    <row r="29" spans="1:2" x14ac:dyDescent="0.3">
      <c r="A29" s="30" t="s">
        <v>932</v>
      </c>
      <c r="B29" s="7">
        <v>55880.483749999999</v>
      </c>
    </row>
    <row r="30" spans="1:2" x14ac:dyDescent="0.3">
      <c r="A30" s="30" t="s">
        <v>1052</v>
      </c>
      <c r="B30" s="7">
        <v>53034.364139999991</v>
      </c>
    </row>
    <row r="31" spans="1:2" x14ac:dyDescent="0.3">
      <c r="A31" s="30" t="s">
        <v>833</v>
      </c>
      <c r="B31" s="7">
        <v>52780.07</v>
      </c>
    </row>
    <row r="32" spans="1:2" x14ac:dyDescent="0.3">
      <c r="A32" s="30" t="s">
        <v>1323</v>
      </c>
      <c r="B32" s="7">
        <v>51768.181920000003</v>
      </c>
    </row>
    <row r="33" spans="1:2" x14ac:dyDescent="0.3">
      <c r="A33" s="30" t="s">
        <v>1288</v>
      </c>
      <c r="B33" s="7">
        <v>50545.319219999998</v>
      </c>
    </row>
    <row r="34" spans="1:2" x14ac:dyDescent="0.3">
      <c r="A34" s="30" t="s">
        <v>1244</v>
      </c>
      <c r="B34" s="7">
        <v>50296.415399999998</v>
      </c>
    </row>
    <row r="35" spans="1:2" x14ac:dyDescent="0.3">
      <c r="A35" s="30" t="s">
        <v>1355</v>
      </c>
      <c r="B35" s="7">
        <v>50090.397499999999</v>
      </c>
    </row>
    <row r="36" spans="1:2" x14ac:dyDescent="0.3">
      <c r="A36" s="30" t="s">
        <v>1090</v>
      </c>
      <c r="B36" s="7">
        <v>49336.511399999996</v>
      </c>
    </row>
    <row r="37" spans="1:2" x14ac:dyDescent="0.3">
      <c r="A37" s="30" t="s">
        <v>1124</v>
      </c>
      <c r="B37" s="7">
        <v>48097.911050000002</v>
      </c>
    </row>
    <row r="38" spans="1:2" x14ac:dyDescent="0.3">
      <c r="A38" s="30" t="s">
        <v>936</v>
      </c>
      <c r="B38" s="7">
        <v>47962.717579999997</v>
      </c>
    </row>
    <row r="39" spans="1:2" x14ac:dyDescent="0.3">
      <c r="A39" s="30" t="s">
        <v>1115</v>
      </c>
      <c r="B39" s="7">
        <v>47693.373</v>
      </c>
    </row>
    <row r="40" spans="1:2" x14ac:dyDescent="0.3">
      <c r="A40" s="30" t="s">
        <v>1287</v>
      </c>
      <c r="B40" s="7">
        <v>46450.26</v>
      </c>
    </row>
    <row r="41" spans="1:2" x14ac:dyDescent="0.3">
      <c r="A41" s="30" t="s">
        <v>1180</v>
      </c>
      <c r="B41" s="7">
        <v>45547.183360000003</v>
      </c>
    </row>
    <row r="42" spans="1:2" x14ac:dyDescent="0.3">
      <c r="A42" s="30" t="s">
        <v>1298</v>
      </c>
      <c r="B42" s="7">
        <v>44173.627960000005</v>
      </c>
    </row>
    <row r="43" spans="1:2" x14ac:dyDescent="0.3">
      <c r="A43" s="30" t="s">
        <v>1089</v>
      </c>
      <c r="B43" s="7">
        <v>43907.94</v>
      </c>
    </row>
    <row r="44" spans="1:2" x14ac:dyDescent="0.3">
      <c r="A44" s="30" t="s">
        <v>1109</v>
      </c>
      <c r="B44" s="7">
        <v>43553.493060000001</v>
      </c>
    </row>
    <row r="45" spans="1:2" x14ac:dyDescent="0.3">
      <c r="A45" s="30" t="s">
        <v>828</v>
      </c>
      <c r="B45" s="7">
        <v>43209.006119999991</v>
      </c>
    </row>
    <row r="46" spans="1:2" x14ac:dyDescent="0.3">
      <c r="A46" s="30" t="s">
        <v>1039</v>
      </c>
      <c r="B46" s="7">
        <v>43084.872000000003</v>
      </c>
    </row>
    <row r="47" spans="1:2" x14ac:dyDescent="0.3">
      <c r="A47" s="30" t="s">
        <v>882</v>
      </c>
      <c r="B47" s="7">
        <v>42495.805439999996</v>
      </c>
    </row>
    <row r="48" spans="1:2" x14ac:dyDescent="0.3">
      <c r="A48" s="30" t="s">
        <v>1266</v>
      </c>
      <c r="B48" s="7">
        <v>42433.254400000005</v>
      </c>
    </row>
    <row r="49" spans="1:2" x14ac:dyDescent="0.3">
      <c r="A49" s="30" t="s">
        <v>1210</v>
      </c>
      <c r="B49" s="7">
        <v>41914.215840000004</v>
      </c>
    </row>
    <row r="50" spans="1:2" x14ac:dyDescent="0.3">
      <c r="A50" s="30" t="s">
        <v>1350</v>
      </c>
      <c r="B50" s="7">
        <v>41419.524249999995</v>
      </c>
    </row>
    <row r="51" spans="1:2" x14ac:dyDescent="0.3">
      <c r="A51" s="30" t="s">
        <v>914</v>
      </c>
      <c r="B51" s="7">
        <v>41352.246200000009</v>
      </c>
    </row>
    <row r="52" spans="1:2" x14ac:dyDescent="0.3">
      <c r="A52" s="30" t="s">
        <v>1161</v>
      </c>
      <c r="B52" s="7">
        <v>41138.261999999995</v>
      </c>
    </row>
    <row r="53" spans="1:2" x14ac:dyDescent="0.3">
      <c r="A53" s="30" t="s">
        <v>773</v>
      </c>
      <c r="B53" s="7">
        <v>41106.800970000004</v>
      </c>
    </row>
    <row r="54" spans="1:2" x14ac:dyDescent="0.3">
      <c r="A54" s="30" t="s">
        <v>1314</v>
      </c>
      <c r="B54" s="7">
        <v>40563.321749999996</v>
      </c>
    </row>
    <row r="55" spans="1:2" x14ac:dyDescent="0.3">
      <c r="A55" s="30" t="s">
        <v>1212</v>
      </c>
      <c r="B55" s="7">
        <v>40488.792960000006</v>
      </c>
    </row>
    <row r="56" spans="1:2" x14ac:dyDescent="0.3">
      <c r="A56" s="30" t="s">
        <v>1360</v>
      </c>
      <c r="B56" s="7">
        <v>40476.013200000001</v>
      </c>
    </row>
    <row r="57" spans="1:2" x14ac:dyDescent="0.3">
      <c r="A57" s="30" t="s">
        <v>1046</v>
      </c>
      <c r="B57" s="7">
        <v>40325.31</v>
      </c>
    </row>
    <row r="58" spans="1:2" x14ac:dyDescent="0.3">
      <c r="A58" s="30" t="s">
        <v>997</v>
      </c>
      <c r="B58" s="7">
        <v>40139.874619999995</v>
      </c>
    </row>
    <row r="59" spans="1:2" x14ac:dyDescent="0.3">
      <c r="A59" s="30" t="s">
        <v>1334</v>
      </c>
      <c r="B59" s="7">
        <v>39810.328000000001</v>
      </c>
    </row>
    <row r="60" spans="1:2" x14ac:dyDescent="0.3">
      <c r="A60" s="30" t="s">
        <v>1035</v>
      </c>
      <c r="B60" s="7">
        <v>39686.4182</v>
      </c>
    </row>
    <row r="61" spans="1:2" x14ac:dyDescent="0.3">
      <c r="A61" s="30" t="s">
        <v>1055</v>
      </c>
      <c r="B61" s="7">
        <v>39546.774539999999</v>
      </c>
    </row>
    <row r="62" spans="1:2" x14ac:dyDescent="0.3">
      <c r="A62" s="30" t="s">
        <v>853</v>
      </c>
      <c r="B62" s="7">
        <v>39516.804389999998</v>
      </c>
    </row>
    <row r="63" spans="1:2" x14ac:dyDescent="0.3">
      <c r="A63" s="30" t="s">
        <v>752</v>
      </c>
      <c r="B63" s="7">
        <v>39263.702919999996</v>
      </c>
    </row>
    <row r="64" spans="1:2" x14ac:dyDescent="0.3">
      <c r="A64" s="30" t="s">
        <v>999</v>
      </c>
      <c r="B64" s="7">
        <v>38818.760160000005</v>
      </c>
    </row>
    <row r="65" spans="1:2" x14ac:dyDescent="0.3">
      <c r="A65" s="30" t="s">
        <v>1070</v>
      </c>
      <c r="B65" s="7">
        <v>38535.955099999999</v>
      </c>
    </row>
    <row r="66" spans="1:2" x14ac:dyDescent="0.3">
      <c r="A66" s="30" t="s">
        <v>1108</v>
      </c>
      <c r="B66" s="7">
        <v>38422.022320000004</v>
      </c>
    </row>
    <row r="67" spans="1:2" x14ac:dyDescent="0.3">
      <c r="A67" s="30" t="s">
        <v>751</v>
      </c>
      <c r="B67" s="7">
        <v>38096.18406</v>
      </c>
    </row>
    <row r="68" spans="1:2" x14ac:dyDescent="0.3">
      <c r="A68" s="30" t="s">
        <v>1114</v>
      </c>
      <c r="B68" s="7">
        <v>37562.28</v>
      </c>
    </row>
    <row r="69" spans="1:2" x14ac:dyDescent="0.3">
      <c r="A69" s="30" t="s">
        <v>969</v>
      </c>
      <c r="B69" s="7">
        <v>37038.581760000001</v>
      </c>
    </row>
    <row r="70" spans="1:2" x14ac:dyDescent="0.3">
      <c r="A70" s="30" t="s">
        <v>1203</v>
      </c>
      <c r="B70" s="7">
        <v>36549.429260000004</v>
      </c>
    </row>
    <row r="71" spans="1:2" x14ac:dyDescent="0.3">
      <c r="A71" s="30" t="s">
        <v>1214</v>
      </c>
      <c r="B71" s="7">
        <v>36161.097000000002</v>
      </c>
    </row>
    <row r="72" spans="1:2" x14ac:dyDescent="0.3">
      <c r="A72" s="30" t="s">
        <v>781</v>
      </c>
      <c r="B72" s="7">
        <v>35621.302319999995</v>
      </c>
    </row>
    <row r="73" spans="1:2" x14ac:dyDescent="0.3">
      <c r="A73" s="30" t="s">
        <v>871</v>
      </c>
      <c r="B73" s="7">
        <v>35567.737920000007</v>
      </c>
    </row>
    <row r="74" spans="1:2" x14ac:dyDescent="0.3">
      <c r="A74" s="30" t="s">
        <v>809</v>
      </c>
      <c r="B74" s="7">
        <v>35396.277799999996</v>
      </c>
    </row>
    <row r="75" spans="1:2" x14ac:dyDescent="0.3">
      <c r="A75" s="30" t="s">
        <v>750</v>
      </c>
      <c r="B75" s="7">
        <v>35367.211040000002</v>
      </c>
    </row>
    <row r="76" spans="1:2" x14ac:dyDescent="0.3">
      <c r="A76" s="30" t="s">
        <v>1093</v>
      </c>
      <c r="B76" s="7">
        <v>35167.7448</v>
      </c>
    </row>
    <row r="77" spans="1:2" x14ac:dyDescent="0.3">
      <c r="A77" s="30" t="s">
        <v>1011</v>
      </c>
      <c r="B77" s="7">
        <v>34840.344000000005</v>
      </c>
    </row>
    <row r="78" spans="1:2" x14ac:dyDescent="0.3">
      <c r="A78" s="30" t="s">
        <v>1086</v>
      </c>
      <c r="B78" s="7">
        <v>34816.968000000001</v>
      </c>
    </row>
    <row r="79" spans="1:2" x14ac:dyDescent="0.3">
      <c r="A79" s="30" t="s">
        <v>1238</v>
      </c>
      <c r="B79" s="7">
        <v>34800.431400000001</v>
      </c>
    </row>
    <row r="80" spans="1:2" x14ac:dyDescent="0.3">
      <c r="A80" s="30" t="s">
        <v>1005</v>
      </c>
      <c r="B80" s="7">
        <v>34632.106319999999</v>
      </c>
    </row>
    <row r="81" spans="1:2" x14ac:dyDescent="0.3">
      <c r="A81" s="30" t="s">
        <v>782</v>
      </c>
      <c r="B81" s="7">
        <v>34444.462359999998</v>
      </c>
    </row>
    <row r="82" spans="1:2" x14ac:dyDescent="0.3">
      <c r="A82" s="30" t="s">
        <v>1300</v>
      </c>
      <c r="B82" s="7">
        <v>34307.159999999996</v>
      </c>
    </row>
    <row r="83" spans="1:2" x14ac:dyDescent="0.3">
      <c r="A83" s="30" t="s">
        <v>830</v>
      </c>
      <c r="B83" s="7">
        <v>34139.159999999996</v>
      </c>
    </row>
    <row r="84" spans="1:2" x14ac:dyDescent="0.3">
      <c r="A84" s="30" t="s">
        <v>975</v>
      </c>
      <c r="B84" s="7">
        <v>34082.864639999993</v>
      </c>
    </row>
    <row r="85" spans="1:2" x14ac:dyDescent="0.3">
      <c r="A85" s="30" t="s">
        <v>1331</v>
      </c>
      <c r="B85" s="7">
        <v>33938.142760000002</v>
      </c>
    </row>
    <row r="86" spans="1:2" x14ac:dyDescent="0.3">
      <c r="A86" s="30" t="s">
        <v>793</v>
      </c>
      <c r="B86" s="7">
        <v>33687.501800000005</v>
      </c>
    </row>
    <row r="87" spans="1:2" x14ac:dyDescent="0.3">
      <c r="A87" s="30" t="s">
        <v>1286</v>
      </c>
      <c r="B87" s="7">
        <v>33551.927499999998</v>
      </c>
    </row>
    <row r="88" spans="1:2" x14ac:dyDescent="0.3">
      <c r="A88" s="30" t="s">
        <v>1261</v>
      </c>
      <c r="B88" s="7">
        <v>33421.1</v>
      </c>
    </row>
    <row r="89" spans="1:2" x14ac:dyDescent="0.3">
      <c r="A89" s="30" t="s">
        <v>1246</v>
      </c>
      <c r="B89" s="7">
        <v>33308.550000000003</v>
      </c>
    </row>
    <row r="90" spans="1:2" x14ac:dyDescent="0.3">
      <c r="A90" s="30" t="s">
        <v>1112</v>
      </c>
      <c r="B90" s="7">
        <v>33200.038079999998</v>
      </c>
    </row>
    <row r="91" spans="1:2" x14ac:dyDescent="0.3">
      <c r="A91" s="30" t="s">
        <v>1293</v>
      </c>
      <c r="B91" s="7">
        <v>33071.3145</v>
      </c>
    </row>
    <row r="92" spans="1:2" x14ac:dyDescent="0.3">
      <c r="A92" s="30" t="s">
        <v>810</v>
      </c>
      <c r="B92" s="7">
        <v>33062.236480000007</v>
      </c>
    </row>
    <row r="93" spans="1:2" x14ac:dyDescent="0.3">
      <c r="A93" s="30" t="s">
        <v>1359</v>
      </c>
      <c r="B93" s="7">
        <v>33017.42</v>
      </c>
    </row>
    <row r="94" spans="1:2" x14ac:dyDescent="0.3">
      <c r="A94" s="30" t="s">
        <v>1356</v>
      </c>
      <c r="B94" s="7">
        <v>32704.386400000003</v>
      </c>
    </row>
    <row r="95" spans="1:2" x14ac:dyDescent="0.3">
      <c r="A95" s="30" t="s">
        <v>778</v>
      </c>
      <c r="B95" s="7">
        <v>32506.559399999998</v>
      </c>
    </row>
    <row r="96" spans="1:2" x14ac:dyDescent="0.3">
      <c r="A96" s="30" t="s">
        <v>1237</v>
      </c>
      <c r="B96" s="7">
        <v>32335.21802</v>
      </c>
    </row>
    <row r="97" spans="1:2" x14ac:dyDescent="0.3">
      <c r="A97" s="30" t="s">
        <v>1105</v>
      </c>
      <c r="B97" s="7">
        <v>32280.32474</v>
      </c>
    </row>
    <row r="98" spans="1:2" x14ac:dyDescent="0.3">
      <c r="A98" s="30" t="s">
        <v>875</v>
      </c>
      <c r="B98" s="7">
        <v>32086.37586</v>
      </c>
    </row>
    <row r="99" spans="1:2" x14ac:dyDescent="0.3">
      <c r="A99" s="30" t="s">
        <v>1279</v>
      </c>
      <c r="B99" s="7">
        <v>31822.023930000003</v>
      </c>
    </row>
    <row r="100" spans="1:2" x14ac:dyDescent="0.3">
      <c r="A100" s="30" t="s">
        <v>788</v>
      </c>
      <c r="B100" s="7">
        <v>31680.795320000001</v>
      </c>
    </row>
    <row r="101" spans="1:2" x14ac:dyDescent="0.3">
      <c r="A101" s="30" t="s">
        <v>906</v>
      </c>
      <c r="B101" s="7">
        <v>31556.187599999997</v>
      </c>
    </row>
    <row r="102" spans="1:2" x14ac:dyDescent="0.3">
      <c r="A102" s="30" t="s">
        <v>1146</v>
      </c>
      <c r="B102" s="7">
        <v>31513.423040000001</v>
      </c>
    </row>
    <row r="103" spans="1:2" x14ac:dyDescent="0.3">
      <c r="A103" s="30" t="s">
        <v>1174</v>
      </c>
      <c r="B103" s="7">
        <v>31513.085009999999</v>
      </c>
    </row>
    <row r="104" spans="1:2" x14ac:dyDescent="0.3">
      <c r="A104" s="30" t="s">
        <v>928</v>
      </c>
      <c r="B104" s="7">
        <v>31191.64716</v>
      </c>
    </row>
    <row r="105" spans="1:2" x14ac:dyDescent="0.3">
      <c r="A105" s="30" t="s">
        <v>1107</v>
      </c>
      <c r="B105" s="7">
        <v>31005.24768</v>
      </c>
    </row>
    <row r="106" spans="1:2" x14ac:dyDescent="0.3">
      <c r="A106" s="30" t="s">
        <v>1043</v>
      </c>
      <c r="B106" s="7">
        <v>30799.273800000003</v>
      </c>
    </row>
    <row r="107" spans="1:2" x14ac:dyDescent="0.3">
      <c r="A107" s="30" t="s">
        <v>1228</v>
      </c>
      <c r="B107" s="7">
        <v>30692.47896</v>
      </c>
    </row>
    <row r="108" spans="1:2" x14ac:dyDescent="0.3">
      <c r="A108" s="30" t="s">
        <v>1273</v>
      </c>
      <c r="B108" s="7">
        <v>30652.403519999996</v>
      </c>
    </row>
    <row r="109" spans="1:2" x14ac:dyDescent="0.3">
      <c r="A109" s="30" t="s">
        <v>775</v>
      </c>
      <c r="B109" s="7">
        <v>30596.565999999999</v>
      </c>
    </row>
    <row r="110" spans="1:2" x14ac:dyDescent="0.3">
      <c r="A110" s="30" t="s">
        <v>959</v>
      </c>
      <c r="B110" s="7">
        <v>30479.418970000002</v>
      </c>
    </row>
    <row r="111" spans="1:2" x14ac:dyDescent="0.3">
      <c r="A111" s="30" t="s">
        <v>1158</v>
      </c>
      <c r="B111" s="7">
        <v>30435.614999999998</v>
      </c>
    </row>
    <row r="112" spans="1:2" x14ac:dyDescent="0.3">
      <c r="A112" s="30" t="s">
        <v>1353</v>
      </c>
      <c r="B112" s="7">
        <v>30229.994880000002</v>
      </c>
    </row>
    <row r="113" spans="1:2" x14ac:dyDescent="0.3">
      <c r="A113" s="30" t="s">
        <v>844</v>
      </c>
      <c r="B113" s="7">
        <v>30151.675319999998</v>
      </c>
    </row>
    <row r="114" spans="1:2" x14ac:dyDescent="0.3">
      <c r="A114" s="30" t="s">
        <v>1281</v>
      </c>
      <c r="B114" s="7">
        <v>29673.454499999993</v>
      </c>
    </row>
    <row r="115" spans="1:2" x14ac:dyDescent="0.3">
      <c r="A115" s="30" t="s">
        <v>789</v>
      </c>
      <c r="B115" s="7">
        <v>29659.68995</v>
      </c>
    </row>
    <row r="116" spans="1:2" x14ac:dyDescent="0.3">
      <c r="A116" s="30" t="s">
        <v>886</v>
      </c>
      <c r="B116" s="7">
        <v>29654.83008</v>
      </c>
    </row>
    <row r="117" spans="1:2" x14ac:dyDescent="0.3">
      <c r="A117" s="30" t="s">
        <v>1155</v>
      </c>
      <c r="B117" s="7">
        <v>29627.320319999999</v>
      </c>
    </row>
    <row r="118" spans="1:2" x14ac:dyDescent="0.3">
      <c r="A118" s="30" t="s">
        <v>1006</v>
      </c>
      <c r="B118" s="7">
        <v>29536.716</v>
      </c>
    </row>
    <row r="119" spans="1:2" x14ac:dyDescent="0.3">
      <c r="A119" s="30" t="s">
        <v>892</v>
      </c>
      <c r="B119" s="7">
        <v>29263.754519999995</v>
      </c>
    </row>
    <row r="120" spans="1:2" x14ac:dyDescent="0.3">
      <c r="A120" s="30" t="s">
        <v>1338</v>
      </c>
      <c r="B120" s="7">
        <v>29175.036029999999</v>
      </c>
    </row>
    <row r="121" spans="1:2" x14ac:dyDescent="0.3">
      <c r="A121" s="30" t="s">
        <v>1219</v>
      </c>
      <c r="B121" s="7">
        <v>28856.475000000002</v>
      </c>
    </row>
    <row r="122" spans="1:2" x14ac:dyDescent="0.3">
      <c r="A122" s="30" t="s">
        <v>940</v>
      </c>
      <c r="B122" s="7">
        <v>28386.015839999996</v>
      </c>
    </row>
    <row r="123" spans="1:2" x14ac:dyDescent="0.3">
      <c r="A123" s="30" t="s">
        <v>1069</v>
      </c>
      <c r="B123" s="7">
        <v>28247.74656</v>
      </c>
    </row>
    <row r="124" spans="1:2" x14ac:dyDescent="0.3">
      <c r="A124" s="30" t="s">
        <v>952</v>
      </c>
      <c r="B124" s="7">
        <v>28211.92124</v>
      </c>
    </row>
    <row r="125" spans="1:2" x14ac:dyDescent="0.3">
      <c r="A125" s="30" t="s">
        <v>921</v>
      </c>
      <c r="B125" s="7">
        <v>28072.190160000002</v>
      </c>
    </row>
    <row r="126" spans="1:2" x14ac:dyDescent="0.3">
      <c r="A126" s="30" t="s">
        <v>1062</v>
      </c>
      <c r="B126" s="7">
        <v>27756.432000000001</v>
      </c>
    </row>
    <row r="127" spans="1:2" x14ac:dyDescent="0.3">
      <c r="A127" s="30" t="s">
        <v>794</v>
      </c>
      <c r="B127" s="7">
        <v>27701.570400000001</v>
      </c>
    </row>
    <row r="128" spans="1:2" x14ac:dyDescent="0.3">
      <c r="A128" s="30" t="s">
        <v>843</v>
      </c>
      <c r="B128" s="7">
        <v>27676.35</v>
      </c>
    </row>
    <row r="129" spans="1:2" x14ac:dyDescent="0.3">
      <c r="A129" s="30" t="s">
        <v>868</v>
      </c>
      <c r="B129" s="7">
        <v>27370.540859999997</v>
      </c>
    </row>
    <row r="130" spans="1:2" x14ac:dyDescent="0.3">
      <c r="A130" s="30" t="s">
        <v>767</v>
      </c>
      <c r="B130" s="7">
        <v>27331.829999999998</v>
      </c>
    </row>
    <row r="131" spans="1:2" x14ac:dyDescent="0.3">
      <c r="A131" s="30" t="s">
        <v>1167</v>
      </c>
      <c r="B131" s="7">
        <v>27249</v>
      </c>
    </row>
    <row r="132" spans="1:2" x14ac:dyDescent="0.3">
      <c r="A132" s="30" t="s">
        <v>1207</v>
      </c>
      <c r="B132" s="7">
        <v>27194.152039999997</v>
      </c>
    </row>
    <row r="133" spans="1:2" x14ac:dyDescent="0.3">
      <c r="A133" s="30" t="s">
        <v>1081</v>
      </c>
      <c r="B133" s="7">
        <v>27158.894079999998</v>
      </c>
    </row>
    <row r="134" spans="1:2" x14ac:dyDescent="0.3">
      <c r="A134" s="30" t="s">
        <v>1021</v>
      </c>
      <c r="B134" s="7">
        <v>26765.040239999998</v>
      </c>
    </row>
    <row r="135" spans="1:2" x14ac:dyDescent="0.3">
      <c r="A135" s="30" t="s">
        <v>920</v>
      </c>
      <c r="B135" s="7">
        <v>26759.28775</v>
      </c>
    </row>
    <row r="136" spans="1:2" x14ac:dyDescent="0.3">
      <c r="A136" s="30" t="s">
        <v>1085</v>
      </c>
      <c r="B136" s="7">
        <v>26552.60298</v>
      </c>
    </row>
    <row r="137" spans="1:2" x14ac:dyDescent="0.3">
      <c r="A137" s="30" t="s">
        <v>917</v>
      </c>
      <c r="B137" s="7">
        <v>26408.63841</v>
      </c>
    </row>
    <row r="138" spans="1:2" x14ac:dyDescent="0.3">
      <c r="A138" s="30" t="s">
        <v>797</v>
      </c>
      <c r="B138" s="7">
        <v>26304.275999999998</v>
      </c>
    </row>
    <row r="139" spans="1:2" x14ac:dyDescent="0.3">
      <c r="A139" s="30" t="s">
        <v>764</v>
      </c>
      <c r="B139" s="7">
        <v>26150.364320000001</v>
      </c>
    </row>
    <row r="140" spans="1:2" x14ac:dyDescent="0.3">
      <c r="A140" s="30" t="s">
        <v>938</v>
      </c>
      <c r="B140" s="7">
        <v>26131.70736</v>
      </c>
    </row>
    <row r="141" spans="1:2" x14ac:dyDescent="0.3">
      <c r="A141" s="30" t="s">
        <v>1072</v>
      </c>
      <c r="B141" s="7">
        <v>26106.613960000002</v>
      </c>
    </row>
    <row r="142" spans="1:2" x14ac:dyDescent="0.3">
      <c r="A142" s="30" t="s">
        <v>1057</v>
      </c>
      <c r="B142" s="7">
        <v>26015.449459999996</v>
      </c>
    </row>
    <row r="143" spans="1:2" x14ac:dyDescent="0.3">
      <c r="A143" s="30" t="s">
        <v>749</v>
      </c>
      <c r="B143" s="7">
        <v>25948.414799999995</v>
      </c>
    </row>
    <row r="144" spans="1:2" x14ac:dyDescent="0.3">
      <c r="A144" s="30" t="s">
        <v>877</v>
      </c>
      <c r="B144" s="7">
        <v>25672.127039999999</v>
      </c>
    </row>
    <row r="145" spans="1:2" x14ac:dyDescent="0.3">
      <c r="A145" s="30" t="s">
        <v>1033</v>
      </c>
      <c r="B145" s="7">
        <v>25577.274079999999</v>
      </c>
    </row>
    <row r="146" spans="1:2" x14ac:dyDescent="0.3">
      <c r="A146" s="30" t="s">
        <v>937</v>
      </c>
      <c r="B146" s="7">
        <v>25553.782800000001</v>
      </c>
    </row>
    <row r="147" spans="1:2" x14ac:dyDescent="0.3">
      <c r="A147" s="30" t="s">
        <v>832</v>
      </c>
      <c r="B147" s="7">
        <v>25502.910479999999</v>
      </c>
    </row>
    <row r="148" spans="1:2" x14ac:dyDescent="0.3">
      <c r="A148" s="30" t="s">
        <v>986</v>
      </c>
      <c r="B148" s="7">
        <v>25483.91488</v>
      </c>
    </row>
    <row r="149" spans="1:2" x14ac:dyDescent="0.3">
      <c r="A149" s="30" t="s">
        <v>935</v>
      </c>
      <c r="B149" s="7">
        <v>25299.040000000001</v>
      </c>
    </row>
    <row r="150" spans="1:2" x14ac:dyDescent="0.3">
      <c r="A150" s="30" t="s">
        <v>1200</v>
      </c>
      <c r="B150" s="7">
        <v>25269.09</v>
      </c>
    </row>
    <row r="151" spans="1:2" x14ac:dyDescent="0.3">
      <c r="A151" s="30" t="s">
        <v>1229</v>
      </c>
      <c r="B151" s="7">
        <v>25249.613219999999</v>
      </c>
    </row>
    <row r="152" spans="1:2" x14ac:dyDescent="0.3">
      <c r="A152" s="30" t="s">
        <v>1349</v>
      </c>
      <c r="B152" s="7">
        <v>25174.028880000002</v>
      </c>
    </row>
    <row r="153" spans="1:2" x14ac:dyDescent="0.3">
      <c r="A153" s="30" t="s">
        <v>1318</v>
      </c>
      <c r="B153" s="7">
        <v>25131.155999999999</v>
      </c>
    </row>
    <row r="154" spans="1:2" x14ac:dyDescent="0.3">
      <c r="A154" s="30" t="s">
        <v>1299</v>
      </c>
      <c r="B154" s="7">
        <v>25079.480689999997</v>
      </c>
    </row>
    <row r="155" spans="1:2" x14ac:dyDescent="0.3">
      <c r="A155" s="30" t="s">
        <v>757</v>
      </c>
      <c r="B155" s="7">
        <v>24894.430559999997</v>
      </c>
    </row>
    <row r="156" spans="1:2" x14ac:dyDescent="0.3">
      <c r="A156" s="30" t="s">
        <v>848</v>
      </c>
      <c r="B156" s="7">
        <v>24523.006720000001</v>
      </c>
    </row>
    <row r="157" spans="1:2" x14ac:dyDescent="0.3">
      <c r="A157" s="30" t="s">
        <v>925</v>
      </c>
      <c r="B157" s="7">
        <v>24374.594880000001</v>
      </c>
    </row>
    <row r="158" spans="1:2" x14ac:dyDescent="0.3">
      <c r="A158" s="30" t="s">
        <v>1191</v>
      </c>
      <c r="B158" s="7">
        <v>24321.57</v>
      </c>
    </row>
    <row r="159" spans="1:2" x14ac:dyDescent="0.3">
      <c r="A159" s="30" t="s">
        <v>1170</v>
      </c>
      <c r="B159" s="7">
        <v>24278.849280000002</v>
      </c>
    </row>
    <row r="160" spans="1:2" x14ac:dyDescent="0.3">
      <c r="A160" s="30" t="s">
        <v>946</v>
      </c>
      <c r="B160" s="7">
        <v>24223.05</v>
      </c>
    </row>
    <row r="161" spans="1:2" x14ac:dyDescent="0.3">
      <c r="A161" s="30" t="s">
        <v>988</v>
      </c>
      <c r="B161" s="7">
        <v>24161.205600000001</v>
      </c>
    </row>
    <row r="162" spans="1:2" x14ac:dyDescent="0.3">
      <c r="A162" s="30" t="s">
        <v>890</v>
      </c>
      <c r="B162" s="7">
        <v>24147.922500000001</v>
      </c>
    </row>
    <row r="163" spans="1:2" x14ac:dyDescent="0.3">
      <c r="A163" s="30" t="s">
        <v>753</v>
      </c>
      <c r="B163" s="7">
        <v>23782.310720000001</v>
      </c>
    </row>
    <row r="164" spans="1:2" x14ac:dyDescent="0.3">
      <c r="A164" s="30" t="s">
        <v>1184</v>
      </c>
      <c r="B164" s="7">
        <v>23694.405119999999</v>
      </c>
    </row>
    <row r="165" spans="1:2" x14ac:dyDescent="0.3">
      <c r="A165" s="30" t="s">
        <v>840</v>
      </c>
      <c r="B165" s="7">
        <v>23687.524440000001</v>
      </c>
    </row>
    <row r="166" spans="1:2" x14ac:dyDescent="0.3">
      <c r="A166" s="30" t="s">
        <v>1141</v>
      </c>
      <c r="B166" s="7">
        <v>23668.560000000001</v>
      </c>
    </row>
    <row r="167" spans="1:2" x14ac:dyDescent="0.3">
      <c r="A167" s="30" t="s">
        <v>1025</v>
      </c>
      <c r="B167" s="7">
        <v>23375.594060000003</v>
      </c>
    </row>
    <row r="168" spans="1:2" x14ac:dyDescent="0.3">
      <c r="A168" s="30" t="s">
        <v>1088</v>
      </c>
      <c r="B168" s="7">
        <v>23195.01828</v>
      </c>
    </row>
    <row r="169" spans="1:2" x14ac:dyDescent="0.3">
      <c r="A169" s="30" t="s">
        <v>1186</v>
      </c>
      <c r="B169" s="7">
        <v>23132.398349999996</v>
      </c>
    </row>
    <row r="170" spans="1:2" x14ac:dyDescent="0.3">
      <c r="A170" s="30" t="s">
        <v>854</v>
      </c>
      <c r="B170" s="7">
        <v>22983.34563</v>
      </c>
    </row>
    <row r="171" spans="1:2" x14ac:dyDescent="0.3">
      <c r="A171" s="30" t="s">
        <v>993</v>
      </c>
      <c r="B171" s="7">
        <v>22882.675440000003</v>
      </c>
    </row>
    <row r="172" spans="1:2" x14ac:dyDescent="0.3">
      <c r="A172" s="30" t="s">
        <v>1316</v>
      </c>
      <c r="B172" s="7">
        <v>22676.312610000001</v>
      </c>
    </row>
    <row r="173" spans="1:2" x14ac:dyDescent="0.3">
      <c r="A173" s="30" t="s">
        <v>1211</v>
      </c>
      <c r="B173" s="7">
        <v>22620.859800000002</v>
      </c>
    </row>
    <row r="174" spans="1:2" x14ac:dyDescent="0.3">
      <c r="A174" s="30" t="s">
        <v>1254</v>
      </c>
      <c r="B174" s="7">
        <v>22526.66</v>
      </c>
    </row>
    <row r="175" spans="1:2" x14ac:dyDescent="0.3">
      <c r="A175" s="30" t="s">
        <v>1138</v>
      </c>
      <c r="B175" s="7">
        <v>22457.143800000002</v>
      </c>
    </row>
    <row r="176" spans="1:2" x14ac:dyDescent="0.3">
      <c r="A176" s="30" t="s">
        <v>1053</v>
      </c>
      <c r="B176" s="7">
        <v>22380.204000000002</v>
      </c>
    </row>
    <row r="177" spans="1:2" x14ac:dyDescent="0.3">
      <c r="A177" s="30" t="s">
        <v>1248</v>
      </c>
      <c r="B177" s="7">
        <v>22201.762229999997</v>
      </c>
    </row>
    <row r="178" spans="1:2" x14ac:dyDescent="0.3">
      <c r="A178" s="30" t="s">
        <v>1117</v>
      </c>
      <c r="B178" s="7">
        <v>22064.910300000003</v>
      </c>
    </row>
    <row r="179" spans="1:2" x14ac:dyDescent="0.3">
      <c r="A179" s="30" t="s">
        <v>893</v>
      </c>
      <c r="B179" s="7">
        <v>22044.871499999997</v>
      </c>
    </row>
    <row r="180" spans="1:2" x14ac:dyDescent="0.3">
      <c r="A180" s="30" t="s">
        <v>1216</v>
      </c>
      <c r="B180" s="7">
        <v>21908.731650000002</v>
      </c>
    </row>
    <row r="181" spans="1:2" x14ac:dyDescent="0.3">
      <c r="A181" s="30" t="s">
        <v>811</v>
      </c>
      <c r="B181" s="7">
        <v>21787.936199999996</v>
      </c>
    </row>
    <row r="182" spans="1:2" x14ac:dyDescent="0.3">
      <c r="A182" s="30" t="s">
        <v>929</v>
      </c>
      <c r="B182" s="7">
        <v>21679.749799999998</v>
      </c>
    </row>
    <row r="183" spans="1:2" x14ac:dyDescent="0.3">
      <c r="A183" s="30" t="s">
        <v>1176</v>
      </c>
      <c r="B183" s="7">
        <v>21664.440000000002</v>
      </c>
    </row>
    <row r="184" spans="1:2" x14ac:dyDescent="0.3">
      <c r="A184" s="30" t="s">
        <v>746</v>
      </c>
      <c r="B184" s="7">
        <v>21585.15</v>
      </c>
    </row>
    <row r="185" spans="1:2" x14ac:dyDescent="0.3">
      <c r="A185" s="30" t="s">
        <v>1098</v>
      </c>
      <c r="B185" s="7">
        <v>21584.693520000001</v>
      </c>
    </row>
    <row r="186" spans="1:2" x14ac:dyDescent="0.3">
      <c r="A186" s="30" t="s">
        <v>958</v>
      </c>
      <c r="B186" s="7">
        <v>21573.6495</v>
      </c>
    </row>
    <row r="187" spans="1:2" x14ac:dyDescent="0.3">
      <c r="A187" s="30" t="s">
        <v>884</v>
      </c>
      <c r="B187" s="7">
        <v>21572.590500000002</v>
      </c>
    </row>
    <row r="188" spans="1:2" x14ac:dyDescent="0.3">
      <c r="A188" s="30" t="s">
        <v>1139</v>
      </c>
      <c r="B188" s="7">
        <v>21541.017959999997</v>
      </c>
    </row>
    <row r="189" spans="1:2" x14ac:dyDescent="0.3">
      <c r="A189" s="30" t="s">
        <v>817</v>
      </c>
      <c r="B189" s="7">
        <v>21062.61248</v>
      </c>
    </row>
    <row r="190" spans="1:2" x14ac:dyDescent="0.3">
      <c r="A190" s="30" t="s">
        <v>1188</v>
      </c>
      <c r="B190" s="7">
        <v>20797.98</v>
      </c>
    </row>
    <row r="191" spans="1:2" x14ac:dyDescent="0.3">
      <c r="A191" s="30" t="s">
        <v>1172</v>
      </c>
      <c r="B191" s="7">
        <v>20672.289000000001</v>
      </c>
    </row>
    <row r="192" spans="1:2" x14ac:dyDescent="0.3">
      <c r="A192" s="30" t="s">
        <v>1028</v>
      </c>
      <c r="B192" s="7">
        <v>20455.985130000001</v>
      </c>
    </row>
    <row r="193" spans="1:2" x14ac:dyDescent="0.3">
      <c r="A193" s="30" t="s">
        <v>1269</v>
      </c>
      <c r="B193" s="7">
        <v>20430.771599999996</v>
      </c>
    </row>
    <row r="194" spans="1:2" x14ac:dyDescent="0.3">
      <c r="A194" s="30" t="s">
        <v>1232</v>
      </c>
      <c r="B194" s="7">
        <v>20332.775539999999</v>
      </c>
    </row>
    <row r="195" spans="1:2" x14ac:dyDescent="0.3">
      <c r="A195" s="30" t="s">
        <v>756</v>
      </c>
      <c r="B195" s="7">
        <v>20225.2248</v>
      </c>
    </row>
    <row r="196" spans="1:2" x14ac:dyDescent="0.3">
      <c r="A196" s="30" t="s">
        <v>805</v>
      </c>
      <c r="B196" s="7">
        <v>20171.63305</v>
      </c>
    </row>
    <row r="197" spans="1:2" x14ac:dyDescent="0.3">
      <c r="A197" s="30" t="s">
        <v>1284</v>
      </c>
      <c r="B197" s="7">
        <v>20163.409200000002</v>
      </c>
    </row>
    <row r="198" spans="1:2" x14ac:dyDescent="0.3">
      <c r="A198" s="30" t="s">
        <v>762</v>
      </c>
      <c r="B198" s="7">
        <v>20084.133720000002</v>
      </c>
    </row>
    <row r="199" spans="1:2" x14ac:dyDescent="0.3">
      <c r="A199" s="30" t="s">
        <v>826</v>
      </c>
      <c r="B199" s="7">
        <v>20079.343620000003</v>
      </c>
    </row>
    <row r="200" spans="1:2" x14ac:dyDescent="0.3">
      <c r="A200" s="30" t="s">
        <v>1075</v>
      </c>
      <c r="B200" s="7">
        <v>20053.439999999999</v>
      </c>
    </row>
    <row r="201" spans="1:2" x14ac:dyDescent="0.3">
      <c r="A201" s="30" t="s">
        <v>1020</v>
      </c>
      <c r="B201" s="7">
        <v>20028.787380000002</v>
      </c>
    </row>
    <row r="202" spans="1:2" x14ac:dyDescent="0.3">
      <c r="A202" s="30" t="s">
        <v>754</v>
      </c>
      <c r="B202" s="7">
        <v>19903.585040000002</v>
      </c>
    </row>
    <row r="203" spans="1:2" x14ac:dyDescent="0.3">
      <c r="A203" s="30" t="s">
        <v>1126</v>
      </c>
      <c r="B203" s="7">
        <v>19800.88896</v>
      </c>
    </row>
    <row r="204" spans="1:2" x14ac:dyDescent="0.3">
      <c r="A204" s="30" t="s">
        <v>1119</v>
      </c>
      <c r="B204" s="7">
        <v>19773.362699999998</v>
      </c>
    </row>
    <row r="205" spans="1:2" x14ac:dyDescent="0.3">
      <c r="A205" s="30" t="s">
        <v>1159</v>
      </c>
      <c r="B205" s="7">
        <v>19637.76528</v>
      </c>
    </row>
    <row r="206" spans="1:2" x14ac:dyDescent="0.3">
      <c r="A206" s="30" t="s">
        <v>1183</v>
      </c>
      <c r="B206" s="7">
        <v>19628.476999999999</v>
      </c>
    </row>
    <row r="207" spans="1:2" x14ac:dyDescent="0.3">
      <c r="A207" s="30" t="s">
        <v>1272</v>
      </c>
      <c r="B207" s="7">
        <v>19581.87</v>
      </c>
    </row>
    <row r="208" spans="1:2" x14ac:dyDescent="0.3">
      <c r="A208" s="30" t="s">
        <v>1099</v>
      </c>
      <c r="B208" s="7">
        <v>19547.329920000004</v>
      </c>
    </row>
    <row r="209" spans="1:2" x14ac:dyDescent="0.3">
      <c r="A209" s="30" t="s">
        <v>923</v>
      </c>
      <c r="B209" s="7">
        <v>19542.975350000001</v>
      </c>
    </row>
    <row r="210" spans="1:2" x14ac:dyDescent="0.3">
      <c r="A210" s="30" t="s">
        <v>824</v>
      </c>
      <c r="B210" s="7">
        <v>19510.808000000001</v>
      </c>
    </row>
    <row r="211" spans="1:2" x14ac:dyDescent="0.3">
      <c r="A211" s="30" t="s">
        <v>1206</v>
      </c>
      <c r="B211" s="7">
        <v>19233.355499999998</v>
      </c>
    </row>
    <row r="212" spans="1:2" x14ac:dyDescent="0.3">
      <c r="A212" s="30" t="s">
        <v>1304</v>
      </c>
      <c r="B212" s="7">
        <v>19139.594240000002</v>
      </c>
    </row>
    <row r="213" spans="1:2" x14ac:dyDescent="0.3">
      <c r="A213" s="30" t="s">
        <v>989</v>
      </c>
      <c r="B213" s="7">
        <v>19073.059649999999</v>
      </c>
    </row>
    <row r="214" spans="1:2" x14ac:dyDescent="0.3">
      <c r="A214" s="30" t="s">
        <v>1023</v>
      </c>
      <c r="B214" s="7">
        <v>19066.045319999997</v>
      </c>
    </row>
    <row r="215" spans="1:2" x14ac:dyDescent="0.3">
      <c r="A215" s="30" t="s">
        <v>769</v>
      </c>
      <c r="B215" s="7">
        <v>18957.37689</v>
      </c>
    </row>
    <row r="216" spans="1:2" x14ac:dyDescent="0.3">
      <c r="A216" s="30" t="s">
        <v>1283</v>
      </c>
      <c r="B216" s="7">
        <v>18830.12472</v>
      </c>
    </row>
    <row r="217" spans="1:2" x14ac:dyDescent="0.3">
      <c r="A217" s="30" t="s">
        <v>1129</v>
      </c>
      <c r="B217" s="7">
        <v>18641.222160000001</v>
      </c>
    </row>
    <row r="218" spans="1:2" x14ac:dyDescent="0.3">
      <c r="A218" s="30" t="s">
        <v>1100</v>
      </c>
      <c r="B218" s="7">
        <v>18554.370299999999</v>
      </c>
    </row>
    <row r="219" spans="1:2" x14ac:dyDescent="0.3">
      <c r="A219" s="30" t="s">
        <v>1345</v>
      </c>
      <c r="B219" s="7">
        <v>18500.693520000001</v>
      </c>
    </row>
    <row r="220" spans="1:2" x14ac:dyDescent="0.3">
      <c r="A220" s="30" t="s">
        <v>1147</v>
      </c>
      <c r="B220" s="7">
        <v>18411.4084</v>
      </c>
    </row>
    <row r="221" spans="1:2" x14ac:dyDescent="0.3">
      <c r="A221" s="30" t="s">
        <v>814</v>
      </c>
      <c r="B221" s="7">
        <v>18258.868320000001</v>
      </c>
    </row>
    <row r="222" spans="1:2" x14ac:dyDescent="0.3">
      <c r="A222" s="30" t="s">
        <v>943</v>
      </c>
      <c r="B222" s="7">
        <v>18061.204320000004</v>
      </c>
    </row>
    <row r="223" spans="1:2" x14ac:dyDescent="0.3">
      <c r="A223" s="30" t="s">
        <v>1342</v>
      </c>
      <c r="B223" s="7">
        <v>18003.847679999999</v>
      </c>
    </row>
    <row r="224" spans="1:2" x14ac:dyDescent="0.3">
      <c r="A224" s="30" t="s">
        <v>994</v>
      </c>
      <c r="B224" s="7">
        <v>17964.4038</v>
      </c>
    </row>
    <row r="225" spans="1:2" x14ac:dyDescent="0.3">
      <c r="A225" s="30" t="s">
        <v>734</v>
      </c>
      <c r="B225" s="7">
        <v>17960.432489999999</v>
      </c>
    </row>
    <row r="226" spans="1:2" x14ac:dyDescent="0.3">
      <c r="A226" s="30" t="s">
        <v>777</v>
      </c>
      <c r="B226" s="7">
        <v>17930.494560000003</v>
      </c>
    </row>
    <row r="227" spans="1:2" x14ac:dyDescent="0.3">
      <c r="A227" s="30" t="s">
        <v>942</v>
      </c>
      <c r="B227" s="7">
        <v>17847.907199999998</v>
      </c>
    </row>
    <row r="228" spans="1:2" x14ac:dyDescent="0.3">
      <c r="A228" s="30" t="s">
        <v>1132</v>
      </c>
      <c r="B228" s="7">
        <v>17731.623</v>
      </c>
    </row>
    <row r="229" spans="1:2" x14ac:dyDescent="0.3">
      <c r="A229" s="30" t="s">
        <v>985</v>
      </c>
      <c r="B229" s="7">
        <v>17689.623</v>
      </c>
    </row>
    <row r="230" spans="1:2" x14ac:dyDescent="0.3">
      <c r="A230" s="30" t="s">
        <v>1000</v>
      </c>
      <c r="B230" s="7">
        <v>17594.028880000002</v>
      </c>
    </row>
    <row r="231" spans="1:2" x14ac:dyDescent="0.3">
      <c r="A231" s="30" t="s">
        <v>1297</v>
      </c>
      <c r="B231" s="7">
        <v>17540.201120000002</v>
      </c>
    </row>
    <row r="232" spans="1:2" x14ac:dyDescent="0.3">
      <c r="A232" s="30" t="s">
        <v>984</v>
      </c>
      <c r="B232" s="7">
        <v>17453.3436</v>
      </c>
    </row>
    <row r="233" spans="1:2" x14ac:dyDescent="0.3">
      <c r="A233" s="30" t="s">
        <v>1013</v>
      </c>
      <c r="B233" s="7">
        <v>17441.021520000002</v>
      </c>
    </row>
    <row r="234" spans="1:2" x14ac:dyDescent="0.3">
      <c r="A234" s="30" t="s">
        <v>1133</v>
      </c>
      <c r="B234" s="7">
        <v>17427.164800000002</v>
      </c>
    </row>
    <row r="235" spans="1:2" x14ac:dyDescent="0.3">
      <c r="A235" s="30" t="s">
        <v>968</v>
      </c>
      <c r="B235" s="7">
        <v>17359.804799999998</v>
      </c>
    </row>
    <row r="236" spans="1:2" x14ac:dyDescent="0.3">
      <c r="A236" s="30" t="s">
        <v>1073</v>
      </c>
      <c r="B236" s="7">
        <v>17067.938400000003</v>
      </c>
    </row>
    <row r="237" spans="1:2" x14ac:dyDescent="0.3">
      <c r="A237" s="30" t="s">
        <v>1134</v>
      </c>
      <c r="B237" s="7">
        <v>16946.091840000001</v>
      </c>
    </row>
    <row r="238" spans="1:2" x14ac:dyDescent="0.3">
      <c r="A238" s="30" t="s">
        <v>1104</v>
      </c>
      <c r="B238" s="7">
        <v>16873.45</v>
      </c>
    </row>
    <row r="239" spans="1:2" x14ac:dyDescent="0.3">
      <c r="A239" s="30" t="s">
        <v>961</v>
      </c>
      <c r="B239" s="7">
        <v>16609.090809999998</v>
      </c>
    </row>
    <row r="240" spans="1:2" x14ac:dyDescent="0.3">
      <c r="A240" s="30" t="s">
        <v>1231</v>
      </c>
      <c r="B240" s="7">
        <v>16574.544740000001</v>
      </c>
    </row>
    <row r="241" spans="1:2" x14ac:dyDescent="0.3">
      <c r="A241" s="30" t="s">
        <v>1084</v>
      </c>
      <c r="B241" s="7">
        <v>16487.22781</v>
      </c>
    </row>
    <row r="242" spans="1:2" x14ac:dyDescent="0.3">
      <c r="A242" s="30" t="s">
        <v>1050</v>
      </c>
      <c r="B242" s="7">
        <v>16306.59375</v>
      </c>
    </row>
    <row r="243" spans="1:2" x14ac:dyDescent="0.3">
      <c r="A243" s="30" t="s">
        <v>1201</v>
      </c>
      <c r="B243" s="7">
        <v>16252.219979999998</v>
      </c>
    </row>
    <row r="244" spans="1:2" x14ac:dyDescent="0.3">
      <c r="A244" s="30" t="s">
        <v>1068</v>
      </c>
      <c r="B244" s="7">
        <v>16219.34496</v>
      </c>
    </row>
    <row r="245" spans="1:2" x14ac:dyDescent="0.3">
      <c r="A245" s="30" t="s">
        <v>1122</v>
      </c>
      <c r="B245" s="7">
        <v>16142.527829999999</v>
      </c>
    </row>
    <row r="246" spans="1:2" x14ac:dyDescent="0.3">
      <c r="A246" s="30" t="s">
        <v>1145</v>
      </c>
      <c r="B246" s="7">
        <v>16134.22069</v>
      </c>
    </row>
    <row r="247" spans="1:2" x14ac:dyDescent="0.3">
      <c r="A247" s="30" t="s">
        <v>1255</v>
      </c>
      <c r="B247" s="7">
        <v>16121.273400000002</v>
      </c>
    </row>
    <row r="248" spans="1:2" x14ac:dyDescent="0.3">
      <c r="A248" s="30" t="s">
        <v>862</v>
      </c>
      <c r="B248" s="7">
        <v>16071.44868</v>
      </c>
    </row>
    <row r="249" spans="1:2" x14ac:dyDescent="0.3">
      <c r="A249" s="30" t="s">
        <v>855</v>
      </c>
      <c r="B249" s="7">
        <v>16061.972879999999</v>
      </c>
    </row>
    <row r="250" spans="1:2" x14ac:dyDescent="0.3">
      <c r="A250" s="30" t="s">
        <v>799</v>
      </c>
      <c r="B250" s="7">
        <v>16013.681599999998</v>
      </c>
    </row>
    <row r="251" spans="1:2" x14ac:dyDescent="0.3">
      <c r="A251" s="30" t="s">
        <v>743</v>
      </c>
      <c r="B251" s="7">
        <v>16006.14344</v>
      </c>
    </row>
    <row r="252" spans="1:2" x14ac:dyDescent="0.3">
      <c r="A252" s="30" t="s">
        <v>1285</v>
      </c>
      <c r="B252" s="7">
        <v>15860.782080000001</v>
      </c>
    </row>
    <row r="253" spans="1:2" x14ac:dyDescent="0.3">
      <c r="A253" s="30" t="s">
        <v>941</v>
      </c>
      <c r="B253" s="7">
        <v>15825.399369999997</v>
      </c>
    </row>
    <row r="254" spans="1:2" x14ac:dyDescent="0.3">
      <c r="A254" s="30" t="s">
        <v>909</v>
      </c>
      <c r="B254" s="7">
        <v>15656.47056</v>
      </c>
    </row>
    <row r="255" spans="1:2" x14ac:dyDescent="0.3">
      <c r="A255" s="30" t="s">
        <v>1278</v>
      </c>
      <c r="B255" s="7">
        <v>15530.929919999999</v>
      </c>
    </row>
    <row r="256" spans="1:2" x14ac:dyDescent="0.3">
      <c r="A256" s="30" t="s">
        <v>1017</v>
      </c>
      <c r="B256" s="7">
        <v>15505.479600000001</v>
      </c>
    </row>
    <row r="257" spans="1:2" x14ac:dyDescent="0.3">
      <c r="A257" s="30" t="s">
        <v>957</v>
      </c>
      <c r="B257" s="7">
        <v>15490.527</v>
      </c>
    </row>
    <row r="258" spans="1:2" x14ac:dyDescent="0.3">
      <c r="A258" s="30" t="s">
        <v>1204</v>
      </c>
      <c r="B258" s="7">
        <v>15374.563199999999</v>
      </c>
    </row>
    <row r="259" spans="1:2" x14ac:dyDescent="0.3">
      <c r="A259" s="30" t="s">
        <v>1157</v>
      </c>
      <c r="B259" s="7">
        <v>15366.983199999999</v>
      </c>
    </row>
    <row r="260" spans="1:2" x14ac:dyDescent="0.3">
      <c r="A260" s="30" t="s">
        <v>1110</v>
      </c>
      <c r="B260" s="7">
        <v>15348.702599999999</v>
      </c>
    </row>
    <row r="261" spans="1:2" x14ac:dyDescent="0.3">
      <c r="A261" s="30" t="s">
        <v>1239</v>
      </c>
      <c r="B261" s="7">
        <v>15323.926799999999</v>
      </c>
    </row>
    <row r="262" spans="1:2" x14ac:dyDescent="0.3">
      <c r="A262" s="30" t="s">
        <v>1116</v>
      </c>
      <c r="B262" s="7">
        <v>15257.51748</v>
      </c>
    </row>
    <row r="263" spans="1:2" x14ac:dyDescent="0.3">
      <c r="A263" s="30" t="s">
        <v>948</v>
      </c>
      <c r="B263" s="7">
        <v>15253.069799999999</v>
      </c>
    </row>
    <row r="264" spans="1:2" x14ac:dyDescent="0.3">
      <c r="A264" s="30" t="s">
        <v>1267</v>
      </c>
      <c r="B264" s="7">
        <v>15155.326800000001</v>
      </c>
    </row>
    <row r="265" spans="1:2" x14ac:dyDescent="0.3">
      <c r="A265" s="30" t="s">
        <v>771</v>
      </c>
      <c r="B265" s="7">
        <v>14968.239</v>
      </c>
    </row>
    <row r="266" spans="1:2" x14ac:dyDescent="0.3">
      <c r="A266" s="30" t="s">
        <v>933</v>
      </c>
      <c r="B266" s="7">
        <v>14963.769179999999</v>
      </c>
    </row>
    <row r="267" spans="1:2" x14ac:dyDescent="0.3">
      <c r="A267" s="30" t="s">
        <v>1326</v>
      </c>
      <c r="B267" s="7">
        <v>14910.609600000002</v>
      </c>
    </row>
    <row r="268" spans="1:2" x14ac:dyDescent="0.3">
      <c r="A268" s="30" t="s">
        <v>783</v>
      </c>
      <c r="B268" s="7">
        <v>14894.903999999999</v>
      </c>
    </row>
    <row r="269" spans="1:2" x14ac:dyDescent="0.3">
      <c r="A269" s="30" t="s">
        <v>881</v>
      </c>
      <c r="B269" s="7">
        <v>14877.464000000002</v>
      </c>
    </row>
    <row r="270" spans="1:2" x14ac:dyDescent="0.3">
      <c r="A270" s="30" t="s">
        <v>1092</v>
      </c>
      <c r="B270" s="7">
        <v>14813.731920000002</v>
      </c>
    </row>
    <row r="271" spans="1:2" x14ac:dyDescent="0.3">
      <c r="A271" s="30" t="s">
        <v>1187</v>
      </c>
      <c r="B271" s="7">
        <v>14752.706080000002</v>
      </c>
    </row>
    <row r="272" spans="1:2" x14ac:dyDescent="0.3">
      <c r="A272" s="30" t="s">
        <v>741</v>
      </c>
      <c r="B272" s="7">
        <v>14714.12934</v>
      </c>
    </row>
    <row r="273" spans="1:2" x14ac:dyDescent="0.3">
      <c r="A273" s="30" t="s">
        <v>903</v>
      </c>
      <c r="B273" s="7">
        <v>14549.029120000001</v>
      </c>
    </row>
    <row r="274" spans="1:2" x14ac:dyDescent="0.3">
      <c r="A274" s="30" t="s">
        <v>1152</v>
      </c>
      <c r="B274" s="7">
        <v>14527.748400000002</v>
      </c>
    </row>
    <row r="275" spans="1:2" x14ac:dyDescent="0.3">
      <c r="A275" s="30" t="s">
        <v>1305</v>
      </c>
      <c r="B275" s="7">
        <v>14466.95104</v>
      </c>
    </row>
    <row r="276" spans="1:2" x14ac:dyDescent="0.3">
      <c r="A276" s="30" t="s">
        <v>899</v>
      </c>
      <c r="B276" s="7">
        <v>14448.298699999998</v>
      </c>
    </row>
    <row r="277" spans="1:2" x14ac:dyDescent="0.3">
      <c r="A277" s="30" t="s">
        <v>1127</v>
      </c>
      <c r="B277" s="7">
        <v>14431.738420000001</v>
      </c>
    </row>
    <row r="278" spans="1:2" x14ac:dyDescent="0.3">
      <c r="A278" s="30" t="s">
        <v>800</v>
      </c>
      <c r="B278" s="7">
        <v>14287.896349999999</v>
      </c>
    </row>
    <row r="279" spans="1:2" x14ac:dyDescent="0.3">
      <c r="A279" s="30" t="s">
        <v>967</v>
      </c>
      <c r="B279" s="7">
        <v>14269.848599999999</v>
      </c>
    </row>
    <row r="280" spans="1:2" x14ac:dyDescent="0.3">
      <c r="A280" s="30" t="s">
        <v>1199</v>
      </c>
      <c r="B280" s="7">
        <v>14261.92439</v>
      </c>
    </row>
    <row r="281" spans="1:2" x14ac:dyDescent="0.3">
      <c r="A281" s="30" t="s">
        <v>819</v>
      </c>
      <c r="B281" s="7">
        <v>14197.064400000001</v>
      </c>
    </row>
    <row r="282" spans="1:2" x14ac:dyDescent="0.3">
      <c r="A282" s="30" t="s">
        <v>1275</v>
      </c>
      <c r="B282" s="7">
        <v>14114.068500000001</v>
      </c>
    </row>
    <row r="283" spans="1:2" x14ac:dyDescent="0.3">
      <c r="A283" s="30" t="s">
        <v>1357</v>
      </c>
      <c r="B283" s="7">
        <v>13983.752729999998</v>
      </c>
    </row>
    <row r="284" spans="1:2" x14ac:dyDescent="0.3">
      <c r="A284" s="30" t="s">
        <v>1308</v>
      </c>
      <c r="B284" s="7">
        <v>13882.6016</v>
      </c>
    </row>
    <row r="285" spans="1:2" x14ac:dyDescent="0.3">
      <c r="A285" s="30" t="s">
        <v>1337</v>
      </c>
      <c r="B285" s="7">
        <v>13856.52411</v>
      </c>
    </row>
    <row r="286" spans="1:2" x14ac:dyDescent="0.3">
      <c r="A286" s="30" t="s">
        <v>1101</v>
      </c>
      <c r="B286" s="7">
        <v>13784.586000000001</v>
      </c>
    </row>
    <row r="287" spans="1:2" x14ac:dyDescent="0.3">
      <c r="A287" s="30" t="s">
        <v>835</v>
      </c>
      <c r="B287" s="7">
        <v>13669.81</v>
      </c>
    </row>
    <row r="288" spans="1:2" x14ac:dyDescent="0.3">
      <c r="A288" s="30" t="s">
        <v>1078</v>
      </c>
      <c r="B288" s="7">
        <v>13637.287999999999</v>
      </c>
    </row>
    <row r="289" spans="1:2" x14ac:dyDescent="0.3">
      <c r="A289" s="30" t="s">
        <v>953</v>
      </c>
      <c r="B289" s="7">
        <v>13519.529099999998</v>
      </c>
    </row>
    <row r="290" spans="1:2" x14ac:dyDescent="0.3">
      <c r="A290" s="30" t="s">
        <v>1160</v>
      </c>
      <c r="B290" s="7">
        <v>13450.74</v>
      </c>
    </row>
    <row r="291" spans="1:2" x14ac:dyDescent="0.3">
      <c r="A291" s="30" t="s">
        <v>1137</v>
      </c>
      <c r="B291" s="7">
        <v>13437.300239999999</v>
      </c>
    </row>
    <row r="292" spans="1:2" x14ac:dyDescent="0.3">
      <c r="A292" s="30" t="s">
        <v>880</v>
      </c>
      <c r="B292" s="7">
        <v>13321.14</v>
      </c>
    </row>
    <row r="293" spans="1:2" x14ac:dyDescent="0.3">
      <c r="A293" s="30" t="s">
        <v>1291</v>
      </c>
      <c r="B293" s="7">
        <v>13251.48</v>
      </c>
    </row>
    <row r="294" spans="1:2" x14ac:dyDescent="0.3">
      <c r="A294" s="30" t="s">
        <v>766</v>
      </c>
      <c r="B294" s="7">
        <v>13218.5</v>
      </c>
    </row>
    <row r="295" spans="1:2" x14ac:dyDescent="0.3">
      <c r="A295" s="30" t="s">
        <v>1130</v>
      </c>
      <c r="B295" s="7">
        <v>13185.543</v>
      </c>
    </row>
    <row r="296" spans="1:2" x14ac:dyDescent="0.3">
      <c r="A296" s="30" t="s">
        <v>818</v>
      </c>
      <c r="B296" s="7">
        <v>13146.470699999998</v>
      </c>
    </row>
    <row r="297" spans="1:2" x14ac:dyDescent="0.3">
      <c r="A297" s="30" t="s">
        <v>1290</v>
      </c>
      <c r="B297" s="7">
        <v>13108.78584</v>
      </c>
    </row>
    <row r="298" spans="1:2" x14ac:dyDescent="0.3">
      <c r="A298" s="30" t="s">
        <v>1014</v>
      </c>
      <c r="B298" s="7">
        <v>13035.970220000001</v>
      </c>
    </row>
    <row r="299" spans="1:2" x14ac:dyDescent="0.3">
      <c r="A299" s="30" t="s">
        <v>1131</v>
      </c>
      <c r="B299" s="7">
        <v>12972.00222</v>
      </c>
    </row>
    <row r="300" spans="1:2" x14ac:dyDescent="0.3">
      <c r="A300" s="30" t="s">
        <v>1165</v>
      </c>
      <c r="B300" s="7">
        <v>12967.958640000001</v>
      </c>
    </row>
    <row r="301" spans="1:2" x14ac:dyDescent="0.3">
      <c r="A301" s="30" t="s">
        <v>1162</v>
      </c>
      <c r="B301" s="7">
        <v>12955.824749999998</v>
      </c>
    </row>
    <row r="302" spans="1:2" x14ac:dyDescent="0.3">
      <c r="A302" s="30" t="s">
        <v>878</v>
      </c>
      <c r="B302" s="7">
        <v>12954.358080000002</v>
      </c>
    </row>
    <row r="303" spans="1:2" x14ac:dyDescent="0.3">
      <c r="A303" s="30" t="s">
        <v>1113</v>
      </c>
      <c r="B303" s="7">
        <v>12881.097599999999</v>
      </c>
    </row>
    <row r="304" spans="1:2" x14ac:dyDescent="0.3">
      <c r="A304" s="30" t="s">
        <v>1361</v>
      </c>
      <c r="B304" s="7">
        <v>12769.38768</v>
      </c>
    </row>
    <row r="305" spans="1:2" x14ac:dyDescent="0.3">
      <c r="A305" s="30" t="s">
        <v>1097</v>
      </c>
      <c r="B305" s="7">
        <v>12717.311040000001</v>
      </c>
    </row>
    <row r="306" spans="1:2" x14ac:dyDescent="0.3">
      <c r="A306" s="30" t="s">
        <v>1032</v>
      </c>
      <c r="B306" s="7">
        <v>12699.28</v>
      </c>
    </row>
    <row r="307" spans="1:2" x14ac:dyDescent="0.3">
      <c r="A307" s="30" t="s">
        <v>1173</v>
      </c>
      <c r="B307" s="7">
        <v>12668.50728</v>
      </c>
    </row>
    <row r="308" spans="1:2" x14ac:dyDescent="0.3">
      <c r="A308" s="30" t="s">
        <v>998</v>
      </c>
      <c r="B308" s="7">
        <v>12597.52224</v>
      </c>
    </row>
    <row r="309" spans="1:2" x14ac:dyDescent="0.3">
      <c r="A309" s="30" t="s">
        <v>1182</v>
      </c>
      <c r="B309" s="7">
        <v>12462.65055</v>
      </c>
    </row>
    <row r="310" spans="1:2" x14ac:dyDescent="0.3">
      <c r="A310" s="30" t="s">
        <v>900</v>
      </c>
      <c r="B310" s="7">
        <v>12413.98458</v>
      </c>
    </row>
    <row r="311" spans="1:2" x14ac:dyDescent="0.3">
      <c r="A311" s="30" t="s">
        <v>837</v>
      </c>
      <c r="B311" s="7">
        <v>12335.654849999999</v>
      </c>
    </row>
    <row r="312" spans="1:2" x14ac:dyDescent="0.3">
      <c r="A312" s="30" t="s">
        <v>1181</v>
      </c>
      <c r="B312" s="7">
        <v>12289.2</v>
      </c>
    </row>
    <row r="313" spans="1:2" x14ac:dyDescent="0.3">
      <c r="A313" s="30" t="s">
        <v>977</v>
      </c>
      <c r="B313" s="7">
        <v>12248.675999999999</v>
      </c>
    </row>
    <row r="314" spans="1:2" x14ac:dyDescent="0.3">
      <c r="A314" s="30" t="s">
        <v>1082</v>
      </c>
      <c r="B314" s="7">
        <v>12236.874600000001</v>
      </c>
    </row>
    <row r="315" spans="1:2" x14ac:dyDescent="0.3">
      <c r="A315" s="30" t="s">
        <v>896</v>
      </c>
      <c r="B315" s="7">
        <v>12194.714</v>
      </c>
    </row>
    <row r="316" spans="1:2" x14ac:dyDescent="0.3">
      <c r="A316" s="30" t="s">
        <v>983</v>
      </c>
      <c r="B316" s="7">
        <v>12186.368600000002</v>
      </c>
    </row>
    <row r="317" spans="1:2" x14ac:dyDescent="0.3">
      <c r="A317" s="30" t="s">
        <v>798</v>
      </c>
      <c r="B317" s="7">
        <v>12153.267360000002</v>
      </c>
    </row>
    <row r="318" spans="1:2" x14ac:dyDescent="0.3">
      <c r="A318" s="30" t="s">
        <v>1307</v>
      </c>
      <c r="B318" s="7">
        <v>12091.190399999999</v>
      </c>
    </row>
    <row r="319" spans="1:2" x14ac:dyDescent="0.3">
      <c r="A319" s="30" t="s">
        <v>838</v>
      </c>
      <c r="B319" s="7">
        <v>12080.215199999999</v>
      </c>
    </row>
    <row r="320" spans="1:2" x14ac:dyDescent="0.3">
      <c r="A320" s="30" t="s">
        <v>1320</v>
      </c>
      <c r="B320" s="7">
        <v>12040.64352</v>
      </c>
    </row>
    <row r="321" spans="1:2" x14ac:dyDescent="0.3">
      <c r="A321" s="30" t="s">
        <v>867</v>
      </c>
      <c r="B321" s="7">
        <v>12031.491680000001</v>
      </c>
    </row>
    <row r="322" spans="1:2" x14ac:dyDescent="0.3">
      <c r="A322" s="30" t="s">
        <v>770</v>
      </c>
      <c r="B322" s="7">
        <v>11995.153920000001</v>
      </c>
    </row>
    <row r="323" spans="1:2" x14ac:dyDescent="0.3">
      <c r="A323" s="30" t="s">
        <v>1185</v>
      </c>
      <c r="B323" s="7">
        <v>11984.891250000001</v>
      </c>
    </row>
    <row r="324" spans="1:2" x14ac:dyDescent="0.3">
      <c r="A324" s="30" t="s">
        <v>1265</v>
      </c>
      <c r="B324" s="7">
        <v>11924.0978</v>
      </c>
    </row>
    <row r="325" spans="1:2" x14ac:dyDescent="0.3">
      <c r="A325" s="30" t="s">
        <v>1226</v>
      </c>
      <c r="B325" s="7">
        <v>11859.695119999998</v>
      </c>
    </row>
    <row r="326" spans="1:2" x14ac:dyDescent="0.3">
      <c r="A326" s="30" t="s">
        <v>897</v>
      </c>
      <c r="B326" s="7">
        <v>11851.806399999999</v>
      </c>
    </row>
    <row r="327" spans="1:2" x14ac:dyDescent="0.3">
      <c r="A327" s="30" t="s">
        <v>821</v>
      </c>
      <c r="B327" s="7">
        <v>11842.8464</v>
      </c>
    </row>
    <row r="328" spans="1:2" x14ac:dyDescent="0.3">
      <c r="A328" s="30" t="s">
        <v>982</v>
      </c>
      <c r="B328" s="7">
        <v>11813.604160000001</v>
      </c>
    </row>
    <row r="329" spans="1:2" x14ac:dyDescent="0.3">
      <c r="A329" s="30" t="s">
        <v>1322</v>
      </c>
      <c r="B329" s="7">
        <v>11742.8703</v>
      </c>
    </row>
    <row r="330" spans="1:2" x14ac:dyDescent="0.3">
      <c r="A330" s="30" t="s">
        <v>1016</v>
      </c>
      <c r="B330" s="7">
        <v>11696.156879999999</v>
      </c>
    </row>
    <row r="331" spans="1:2" x14ac:dyDescent="0.3">
      <c r="A331" s="30" t="s">
        <v>1007</v>
      </c>
      <c r="B331" s="7">
        <v>11417.429099999999</v>
      </c>
    </row>
    <row r="332" spans="1:2" x14ac:dyDescent="0.3">
      <c r="A332" s="30" t="s">
        <v>1259</v>
      </c>
      <c r="B332" s="7">
        <v>11406.96</v>
      </c>
    </row>
    <row r="333" spans="1:2" x14ac:dyDescent="0.3">
      <c r="A333" s="30" t="s">
        <v>930</v>
      </c>
      <c r="B333" s="7">
        <v>11326.846439999999</v>
      </c>
    </row>
    <row r="334" spans="1:2" x14ac:dyDescent="0.3">
      <c r="A334" s="30" t="s">
        <v>1125</v>
      </c>
      <c r="B334" s="7">
        <v>11285.764020000001</v>
      </c>
    </row>
    <row r="335" spans="1:2" x14ac:dyDescent="0.3">
      <c r="A335" s="30" t="s">
        <v>1045</v>
      </c>
      <c r="B335" s="7">
        <v>11283.400799999999</v>
      </c>
    </row>
    <row r="336" spans="1:2" x14ac:dyDescent="0.3">
      <c r="A336" s="30" t="s">
        <v>887</v>
      </c>
      <c r="B336" s="7">
        <v>11015.510400000003</v>
      </c>
    </row>
    <row r="337" spans="1:2" x14ac:dyDescent="0.3">
      <c r="A337" s="30" t="s">
        <v>737</v>
      </c>
      <c r="B337" s="7">
        <v>10957.9797</v>
      </c>
    </row>
    <row r="338" spans="1:2" x14ac:dyDescent="0.3">
      <c r="A338" s="30" t="s">
        <v>795</v>
      </c>
      <c r="B338" s="7">
        <v>10947.904</v>
      </c>
    </row>
    <row r="339" spans="1:2" x14ac:dyDescent="0.3">
      <c r="A339" s="30" t="s">
        <v>1280</v>
      </c>
      <c r="B339" s="7">
        <v>10937.519999999999</v>
      </c>
    </row>
    <row r="340" spans="1:2" x14ac:dyDescent="0.3">
      <c r="A340" s="30" t="s">
        <v>755</v>
      </c>
      <c r="B340" s="7">
        <v>10936.992</v>
      </c>
    </row>
    <row r="341" spans="1:2" x14ac:dyDescent="0.3">
      <c r="A341" s="30" t="s">
        <v>1148</v>
      </c>
      <c r="B341" s="7">
        <v>10893.6232</v>
      </c>
    </row>
    <row r="342" spans="1:2" x14ac:dyDescent="0.3">
      <c r="A342" s="30" t="s">
        <v>1234</v>
      </c>
      <c r="B342" s="7">
        <v>10869.182940000001</v>
      </c>
    </row>
    <row r="343" spans="1:2" x14ac:dyDescent="0.3">
      <c r="A343" s="30" t="s">
        <v>1247</v>
      </c>
      <c r="B343" s="7">
        <v>10859.64</v>
      </c>
    </row>
    <row r="344" spans="1:2" x14ac:dyDescent="0.3">
      <c r="A344" s="30" t="s">
        <v>856</v>
      </c>
      <c r="B344" s="7">
        <v>10817.3416</v>
      </c>
    </row>
    <row r="345" spans="1:2" x14ac:dyDescent="0.3">
      <c r="A345" s="30" t="s">
        <v>1276</v>
      </c>
      <c r="B345" s="7">
        <v>10792.637119999999</v>
      </c>
    </row>
    <row r="346" spans="1:2" x14ac:dyDescent="0.3">
      <c r="A346" s="30" t="s">
        <v>1347</v>
      </c>
      <c r="B346" s="7">
        <v>10786.32144</v>
      </c>
    </row>
    <row r="347" spans="1:2" x14ac:dyDescent="0.3">
      <c r="A347" s="30" t="s">
        <v>1354</v>
      </c>
      <c r="B347" s="7">
        <v>10693.88488</v>
      </c>
    </row>
    <row r="348" spans="1:2" x14ac:dyDescent="0.3">
      <c r="A348" s="30" t="s">
        <v>776</v>
      </c>
      <c r="B348" s="7">
        <v>10666.229420000001</v>
      </c>
    </row>
    <row r="349" spans="1:2" x14ac:dyDescent="0.3">
      <c r="A349" s="30" t="s">
        <v>803</v>
      </c>
      <c r="B349" s="7">
        <v>10647.727199999999</v>
      </c>
    </row>
    <row r="350" spans="1:2" x14ac:dyDescent="0.3">
      <c r="A350" s="30" t="s">
        <v>774</v>
      </c>
      <c r="B350" s="7">
        <v>10558.74</v>
      </c>
    </row>
    <row r="351" spans="1:2" x14ac:dyDescent="0.3">
      <c r="A351" s="30" t="s">
        <v>1289</v>
      </c>
      <c r="B351" s="7">
        <v>10519.776450000001</v>
      </c>
    </row>
    <row r="352" spans="1:2" x14ac:dyDescent="0.3">
      <c r="A352" s="30" t="s">
        <v>1346</v>
      </c>
      <c r="B352" s="7">
        <v>10464.138360000001</v>
      </c>
    </row>
    <row r="353" spans="1:2" x14ac:dyDescent="0.3">
      <c r="A353" s="30" t="s">
        <v>1022</v>
      </c>
      <c r="B353" s="7">
        <v>10456.416880000001</v>
      </c>
    </row>
    <row r="354" spans="1:2" x14ac:dyDescent="0.3">
      <c r="A354" s="30" t="s">
        <v>1202</v>
      </c>
      <c r="B354" s="7">
        <v>10428.057360000001</v>
      </c>
    </row>
    <row r="355" spans="1:2" x14ac:dyDescent="0.3">
      <c r="A355" s="30" t="s">
        <v>918</v>
      </c>
      <c r="B355" s="7">
        <v>10388.429999999998</v>
      </c>
    </row>
    <row r="356" spans="1:2" x14ac:dyDescent="0.3">
      <c r="A356" s="30" t="s">
        <v>891</v>
      </c>
      <c r="B356" s="7">
        <v>10382.65884</v>
      </c>
    </row>
    <row r="357" spans="1:2" x14ac:dyDescent="0.3">
      <c r="A357" s="30" t="s">
        <v>744</v>
      </c>
      <c r="B357" s="7">
        <v>10370.549999999999</v>
      </c>
    </row>
    <row r="358" spans="1:2" x14ac:dyDescent="0.3">
      <c r="A358" s="30" t="s">
        <v>1341</v>
      </c>
      <c r="B358" s="7">
        <v>10260.060159999999</v>
      </c>
    </row>
    <row r="359" spans="1:2" x14ac:dyDescent="0.3">
      <c r="A359" s="30" t="s">
        <v>1236</v>
      </c>
      <c r="B359" s="7">
        <v>10189.8891</v>
      </c>
    </row>
    <row r="360" spans="1:2" x14ac:dyDescent="0.3">
      <c r="A360" s="30" t="s">
        <v>1295</v>
      </c>
      <c r="B360" s="7">
        <v>10166.535600000001</v>
      </c>
    </row>
    <row r="361" spans="1:2" x14ac:dyDescent="0.3">
      <c r="A361" s="30" t="s">
        <v>825</v>
      </c>
      <c r="B361" s="7">
        <v>10161.46624</v>
      </c>
    </row>
    <row r="362" spans="1:2" x14ac:dyDescent="0.3">
      <c r="A362" s="30" t="s">
        <v>1153</v>
      </c>
      <c r="B362" s="7">
        <v>9984.7160999999978</v>
      </c>
    </row>
    <row r="363" spans="1:2" x14ac:dyDescent="0.3">
      <c r="A363" s="30" t="s">
        <v>876</v>
      </c>
      <c r="B363" s="7">
        <v>9969.4201499999999</v>
      </c>
    </row>
    <row r="364" spans="1:2" x14ac:dyDescent="0.3">
      <c r="A364" s="30" t="s">
        <v>1034</v>
      </c>
      <c r="B364" s="7">
        <v>9866.3104799999983</v>
      </c>
    </row>
    <row r="365" spans="1:2" x14ac:dyDescent="0.3">
      <c r="A365" s="30" t="s">
        <v>1042</v>
      </c>
      <c r="B365" s="7">
        <v>9847.2358600000007</v>
      </c>
    </row>
    <row r="366" spans="1:2" x14ac:dyDescent="0.3">
      <c r="A366" s="30" t="s">
        <v>1058</v>
      </c>
      <c r="B366" s="7">
        <v>9829.0483199999999</v>
      </c>
    </row>
    <row r="367" spans="1:2" x14ac:dyDescent="0.3">
      <c r="A367" s="30" t="s">
        <v>1250</v>
      </c>
      <c r="B367" s="7">
        <v>9807.7842799999999</v>
      </c>
    </row>
    <row r="368" spans="1:2" x14ac:dyDescent="0.3">
      <c r="A368" s="30" t="s">
        <v>763</v>
      </c>
      <c r="B368" s="7">
        <v>9805.8573800000013</v>
      </c>
    </row>
    <row r="369" spans="1:2" x14ac:dyDescent="0.3">
      <c r="A369" s="30" t="s">
        <v>979</v>
      </c>
      <c r="B369" s="7">
        <v>9774.3888000000006</v>
      </c>
    </row>
    <row r="370" spans="1:2" x14ac:dyDescent="0.3">
      <c r="A370" s="30" t="s">
        <v>1178</v>
      </c>
      <c r="B370" s="7">
        <v>9771.4483199999995</v>
      </c>
    </row>
    <row r="371" spans="1:2" x14ac:dyDescent="0.3">
      <c r="A371" s="30" t="s">
        <v>869</v>
      </c>
      <c r="B371" s="7">
        <v>9698.1638399999993</v>
      </c>
    </row>
    <row r="372" spans="1:2" x14ac:dyDescent="0.3">
      <c r="A372" s="30" t="s">
        <v>974</v>
      </c>
      <c r="B372" s="7">
        <v>9684.8756000000012</v>
      </c>
    </row>
    <row r="373" spans="1:2" x14ac:dyDescent="0.3">
      <c r="A373" s="30" t="s">
        <v>765</v>
      </c>
      <c r="B373" s="7">
        <v>9647.3852800000004</v>
      </c>
    </row>
    <row r="374" spans="1:2" x14ac:dyDescent="0.3">
      <c r="A374" s="30" t="s">
        <v>1221</v>
      </c>
      <c r="B374" s="7">
        <v>9614.4403999999995</v>
      </c>
    </row>
    <row r="375" spans="1:2" x14ac:dyDescent="0.3">
      <c r="A375" s="30" t="s">
        <v>1118</v>
      </c>
      <c r="B375" s="7">
        <v>9586.8057599999993</v>
      </c>
    </row>
    <row r="376" spans="1:2" x14ac:dyDescent="0.3">
      <c r="A376" s="30" t="s">
        <v>1151</v>
      </c>
      <c r="B376" s="7">
        <v>9509.2865999999995</v>
      </c>
    </row>
    <row r="377" spans="1:2" x14ac:dyDescent="0.3">
      <c r="A377" s="30" t="s">
        <v>806</v>
      </c>
      <c r="B377" s="7">
        <v>9373.460219999999</v>
      </c>
    </row>
    <row r="378" spans="1:2" x14ac:dyDescent="0.3">
      <c r="A378" s="30" t="s">
        <v>1262</v>
      </c>
      <c r="B378" s="7">
        <v>9262.0686600000008</v>
      </c>
    </row>
    <row r="379" spans="1:2" x14ac:dyDescent="0.3">
      <c r="A379" s="30" t="s">
        <v>1343</v>
      </c>
      <c r="B379" s="7">
        <v>9256.14</v>
      </c>
    </row>
    <row r="380" spans="1:2" x14ac:dyDescent="0.3">
      <c r="A380" s="30" t="s">
        <v>1242</v>
      </c>
      <c r="B380" s="7">
        <v>9232.2830599999998</v>
      </c>
    </row>
    <row r="381" spans="1:2" x14ac:dyDescent="0.3">
      <c r="A381" s="30" t="s">
        <v>1049</v>
      </c>
      <c r="B381" s="7">
        <v>9062.34692</v>
      </c>
    </row>
    <row r="382" spans="1:2" x14ac:dyDescent="0.3">
      <c r="A382" s="30" t="s">
        <v>1321</v>
      </c>
      <c r="B382" s="7">
        <v>9022.35</v>
      </c>
    </row>
    <row r="383" spans="1:2" x14ac:dyDescent="0.3">
      <c r="A383" s="30" t="s">
        <v>1076</v>
      </c>
      <c r="B383" s="7">
        <v>8938.8996600000009</v>
      </c>
    </row>
    <row r="384" spans="1:2" x14ac:dyDescent="0.3">
      <c r="A384" s="30" t="s">
        <v>802</v>
      </c>
      <c r="B384" s="7">
        <v>8930.7124999999996</v>
      </c>
    </row>
    <row r="385" spans="1:2" x14ac:dyDescent="0.3">
      <c r="A385" s="30" t="s">
        <v>904</v>
      </c>
      <c r="B385" s="7">
        <v>8928.9795999999988</v>
      </c>
    </row>
    <row r="386" spans="1:2" x14ac:dyDescent="0.3">
      <c r="A386" s="30" t="s">
        <v>858</v>
      </c>
      <c r="B386" s="7">
        <v>8909.8587200000002</v>
      </c>
    </row>
    <row r="387" spans="1:2" x14ac:dyDescent="0.3">
      <c r="A387" s="30" t="s">
        <v>888</v>
      </c>
      <c r="B387" s="7">
        <v>8909.6646800000017</v>
      </c>
    </row>
    <row r="388" spans="1:2" x14ac:dyDescent="0.3">
      <c r="A388" s="30" t="s">
        <v>1012</v>
      </c>
      <c r="B388" s="7">
        <v>8907.6924999999992</v>
      </c>
    </row>
    <row r="389" spans="1:2" x14ac:dyDescent="0.3">
      <c r="A389" s="30" t="s">
        <v>1027</v>
      </c>
      <c r="B389" s="7">
        <v>8903.4839999999986</v>
      </c>
    </row>
    <row r="390" spans="1:2" x14ac:dyDescent="0.3">
      <c r="A390" s="30" t="s">
        <v>1048</v>
      </c>
      <c r="B390" s="7">
        <v>8780.5809000000008</v>
      </c>
    </row>
    <row r="391" spans="1:2" x14ac:dyDescent="0.3">
      <c r="A391" s="30" t="s">
        <v>1064</v>
      </c>
      <c r="B391" s="7">
        <v>8764.4065599999994</v>
      </c>
    </row>
    <row r="392" spans="1:2" x14ac:dyDescent="0.3">
      <c r="A392" s="30" t="s">
        <v>924</v>
      </c>
      <c r="B392" s="7">
        <v>8763.2849999999999</v>
      </c>
    </row>
    <row r="393" spans="1:2" x14ac:dyDescent="0.3">
      <c r="A393" s="30" t="s">
        <v>916</v>
      </c>
      <c r="B393" s="7">
        <v>8698.8768300000011</v>
      </c>
    </row>
    <row r="394" spans="1:2" x14ac:dyDescent="0.3">
      <c r="A394" s="30" t="s">
        <v>801</v>
      </c>
      <c r="B394" s="7">
        <v>8671.7354400000004</v>
      </c>
    </row>
    <row r="395" spans="1:2" x14ac:dyDescent="0.3">
      <c r="A395" s="30" t="s">
        <v>1230</v>
      </c>
      <c r="B395" s="7">
        <v>8644.6696000000011</v>
      </c>
    </row>
    <row r="396" spans="1:2" x14ac:dyDescent="0.3">
      <c r="A396" s="30" t="s">
        <v>1235</v>
      </c>
      <c r="B396" s="7">
        <v>8637.1874499999994</v>
      </c>
    </row>
    <row r="397" spans="1:2" x14ac:dyDescent="0.3">
      <c r="A397" s="30" t="s">
        <v>758</v>
      </c>
      <c r="B397" s="7">
        <v>8596.2905599999995</v>
      </c>
    </row>
    <row r="398" spans="1:2" x14ac:dyDescent="0.3">
      <c r="A398" s="30" t="s">
        <v>922</v>
      </c>
      <c r="B398" s="7">
        <v>8590.7094000000016</v>
      </c>
    </row>
    <row r="399" spans="1:2" x14ac:dyDescent="0.3">
      <c r="A399" s="30" t="s">
        <v>1008</v>
      </c>
      <c r="B399" s="7">
        <v>8567.3924999999999</v>
      </c>
    </row>
    <row r="400" spans="1:2" x14ac:dyDescent="0.3">
      <c r="A400" s="30" t="s">
        <v>1294</v>
      </c>
      <c r="B400" s="7">
        <v>8520.2954399999999</v>
      </c>
    </row>
    <row r="401" spans="1:2" x14ac:dyDescent="0.3">
      <c r="A401" s="30" t="s">
        <v>1325</v>
      </c>
      <c r="B401" s="7">
        <v>8366.02</v>
      </c>
    </row>
    <row r="402" spans="1:2" x14ac:dyDescent="0.3">
      <c r="A402" s="30" t="s">
        <v>931</v>
      </c>
      <c r="B402" s="7">
        <v>8349.2224200000001</v>
      </c>
    </row>
    <row r="403" spans="1:2" x14ac:dyDescent="0.3">
      <c r="A403" s="30" t="s">
        <v>865</v>
      </c>
      <c r="B403" s="7">
        <v>8336.8896000000004</v>
      </c>
    </row>
    <row r="404" spans="1:2" x14ac:dyDescent="0.3">
      <c r="A404" s="30" t="s">
        <v>1205</v>
      </c>
      <c r="B404" s="7">
        <v>8330.2513199999994</v>
      </c>
    </row>
    <row r="405" spans="1:2" x14ac:dyDescent="0.3">
      <c r="A405" s="30" t="s">
        <v>1257</v>
      </c>
      <c r="B405" s="7">
        <v>8326.6852500000005</v>
      </c>
    </row>
    <row r="406" spans="1:2" x14ac:dyDescent="0.3">
      <c r="A406" s="30" t="s">
        <v>823</v>
      </c>
      <c r="B406" s="7">
        <v>8324.8326000000015</v>
      </c>
    </row>
    <row r="407" spans="1:2" x14ac:dyDescent="0.3">
      <c r="A407" s="30" t="s">
        <v>1241</v>
      </c>
      <c r="B407" s="7">
        <v>8297.4286000000011</v>
      </c>
    </row>
    <row r="408" spans="1:2" x14ac:dyDescent="0.3">
      <c r="A408" s="30" t="s">
        <v>874</v>
      </c>
      <c r="B408" s="7">
        <v>8211.6342000000004</v>
      </c>
    </row>
    <row r="409" spans="1:2" x14ac:dyDescent="0.3">
      <c r="A409" s="30" t="s">
        <v>995</v>
      </c>
      <c r="B409" s="7">
        <v>8186.057600000001</v>
      </c>
    </row>
    <row r="410" spans="1:2" x14ac:dyDescent="0.3">
      <c r="A410" s="30" t="s">
        <v>895</v>
      </c>
      <c r="B410" s="7">
        <v>8154.5511600000009</v>
      </c>
    </row>
    <row r="411" spans="1:2" x14ac:dyDescent="0.3">
      <c r="A411" s="30" t="s">
        <v>1327</v>
      </c>
      <c r="B411" s="7">
        <v>8128.5187499999993</v>
      </c>
    </row>
    <row r="412" spans="1:2" x14ac:dyDescent="0.3">
      <c r="A412" s="30" t="s">
        <v>1036</v>
      </c>
      <c r="B412" s="7">
        <v>8093.4784</v>
      </c>
    </row>
    <row r="413" spans="1:2" x14ac:dyDescent="0.3">
      <c r="A413" s="30" t="s">
        <v>1149</v>
      </c>
      <c r="B413" s="7">
        <v>7969.4615000000003</v>
      </c>
    </row>
    <row r="414" spans="1:2" x14ac:dyDescent="0.3">
      <c r="A414" s="30" t="s">
        <v>883</v>
      </c>
      <c r="B414" s="7">
        <v>7901.5041599999995</v>
      </c>
    </row>
    <row r="415" spans="1:2" x14ac:dyDescent="0.3">
      <c r="A415" s="30" t="s">
        <v>1189</v>
      </c>
      <c r="B415" s="7">
        <v>7854.6931199999999</v>
      </c>
    </row>
    <row r="416" spans="1:2" x14ac:dyDescent="0.3">
      <c r="A416" s="30" t="s">
        <v>947</v>
      </c>
      <c r="B416" s="7">
        <v>7854.6693599999999</v>
      </c>
    </row>
    <row r="417" spans="1:2" x14ac:dyDescent="0.3">
      <c r="A417" s="30" t="s">
        <v>1136</v>
      </c>
      <c r="B417" s="7">
        <v>7832.0010999999995</v>
      </c>
    </row>
    <row r="418" spans="1:2" x14ac:dyDescent="0.3">
      <c r="A418" s="30" t="s">
        <v>1268</v>
      </c>
      <c r="B418" s="7">
        <v>7823.4472399999995</v>
      </c>
    </row>
    <row r="419" spans="1:2" x14ac:dyDescent="0.3">
      <c r="A419" s="30" t="s">
        <v>949</v>
      </c>
      <c r="B419" s="7">
        <v>7738.9596900000006</v>
      </c>
    </row>
    <row r="420" spans="1:2" x14ac:dyDescent="0.3">
      <c r="A420" s="30" t="s">
        <v>863</v>
      </c>
      <c r="B420" s="7">
        <v>7703.8640800000003</v>
      </c>
    </row>
    <row r="421" spans="1:2" x14ac:dyDescent="0.3">
      <c r="A421" s="30" t="s">
        <v>915</v>
      </c>
      <c r="B421" s="7">
        <v>7689.4560000000001</v>
      </c>
    </row>
    <row r="422" spans="1:2" x14ac:dyDescent="0.3">
      <c r="A422" s="30" t="s">
        <v>1002</v>
      </c>
      <c r="B422" s="7">
        <v>7678.2113999999992</v>
      </c>
    </row>
    <row r="423" spans="1:2" x14ac:dyDescent="0.3">
      <c r="A423" s="30" t="s">
        <v>1190</v>
      </c>
      <c r="B423" s="7">
        <v>7643.2649999999994</v>
      </c>
    </row>
    <row r="424" spans="1:2" x14ac:dyDescent="0.3">
      <c r="A424" s="30" t="s">
        <v>747</v>
      </c>
      <c r="B424" s="7">
        <v>7578.84</v>
      </c>
    </row>
    <row r="425" spans="1:2" x14ac:dyDescent="0.3">
      <c r="A425" s="30" t="s">
        <v>992</v>
      </c>
      <c r="B425" s="7">
        <v>7568.9632000000001</v>
      </c>
    </row>
    <row r="426" spans="1:2" x14ac:dyDescent="0.3">
      <c r="A426" s="30" t="s">
        <v>1224</v>
      </c>
      <c r="B426" s="7">
        <v>7507.4514899999995</v>
      </c>
    </row>
    <row r="427" spans="1:2" x14ac:dyDescent="0.3">
      <c r="A427" s="30" t="s">
        <v>1054</v>
      </c>
      <c r="B427" s="7">
        <v>7493.1076000000012</v>
      </c>
    </row>
    <row r="428" spans="1:2" x14ac:dyDescent="0.3">
      <c r="A428" s="30" t="s">
        <v>1332</v>
      </c>
      <c r="B428" s="7">
        <v>7466.3063999999986</v>
      </c>
    </row>
    <row r="429" spans="1:2" x14ac:dyDescent="0.3">
      <c r="A429" s="30" t="s">
        <v>962</v>
      </c>
      <c r="B429" s="7">
        <v>7446.5209000000004</v>
      </c>
    </row>
    <row r="430" spans="1:2" x14ac:dyDescent="0.3">
      <c r="A430" s="30" t="s">
        <v>1233</v>
      </c>
      <c r="B430" s="7">
        <v>7428.1108999999988</v>
      </c>
    </row>
    <row r="431" spans="1:2" x14ac:dyDescent="0.3">
      <c r="A431" s="30" t="s">
        <v>1252</v>
      </c>
      <c r="B431" s="7">
        <v>7399.4832000000006</v>
      </c>
    </row>
    <row r="432" spans="1:2" x14ac:dyDescent="0.3">
      <c r="A432" s="30" t="s">
        <v>1026</v>
      </c>
      <c r="B432" s="7">
        <v>7382.1450000000004</v>
      </c>
    </row>
    <row r="433" spans="1:2" x14ac:dyDescent="0.3">
      <c r="A433" s="30" t="s">
        <v>1169</v>
      </c>
      <c r="B433" s="7">
        <v>7340.3891399999993</v>
      </c>
    </row>
    <row r="434" spans="1:2" x14ac:dyDescent="0.3">
      <c r="A434" s="30" t="s">
        <v>1096</v>
      </c>
      <c r="B434" s="7">
        <v>7327.9533600000004</v>
      </c>
    </row>
    <row r="435" spans="1:2" x14ac:dyDescent="0.3">
      <c r="A435" s="30" t="s">
        <v>1003</v>
      </c>
      <c r="B435" s="7">
        <v>7235.2134999999998</v>
      </c>
    </row>
    <row r="436" spans="1:2" x14ac:dyDescent="0.3">
      <c r="A436" s="30" t="s">
        <v>889</v>
      </c>
      <c r="B436" s="7">
        <v>7203.8047000000006</v>
      </c>
    </row>
    <row r="437" spans="1:2" x14ac:dyDescent="0.3">
      <c r="A437" s="30" t="s">
        <v>1311</v>
      </c>
      <c r="B437" s="7">
        <v>7173.3342799999991</v>
      </c>
    </row>
    <row r="438" spans="1:2" x14ac:dyDescent="0.3">
      <c r="A438" s="30" t="s">
        <v>779</v>
      </c>
      <c r="B438" s="7">
        <v>7135.57</v>
      </c>
    </row>
    <row r="439" spans="1:2" x14ac:dyDescent="0.3">
      <c r="A439" s="30" t="s">
        <v>1004</v>
      </c>
      <c r="B439" s="7">
        <v>7120.6486400000003</v>
      </c>
    </row>
    <row r="440" spans="1:2" x14ac:dyDescent="0.3">
      <c r="A440" s="30" t="s">
        <v>1065</v>
      </c>
      <c r="B440" s="7">
        <v>7105.3528000000006</v>
      </c>
    </row>
    <row r="441" spans="1:2" x14ac:dyDescent="0.3">
      <c r="A441" s="30" t="s">
        <v>911</v>
      </c>
      <c r="B441" s="7">
        <v>7098.5495999999994</v>
      </c>
    </row>
    <row r="442" spans="1:2" x14ac:dyDescent="0.3">
      <c r="A442" s="30" t="s">
        <v>748</v>
      </c>
      <c r="B442" s="7">
        <v>7090.5672000000004</v>
      </c>
    </row>
    <row r="443" spans="1:2" x14ac:dyDescent="0.3">
      <c r="A443" s="30" t="s">
        <v>1336</v>
      </c>
      <c r="B443" s="7">
        <v>7071.6331400000008</v>
      </c>
    </row>
    <row r="444" spans="1:2" x14ac:dyDescent="0.3">
      <c r="A444" s="30" t="s">
        <v>945</v>
      </c>
      <c r="B444" s="7">
        <v>6984.8246399999998</v>
      </c>
    </row>
    <row r="445" spans="1:2" x14ac:dyDescent="0.3">
      <c r="A445" s="30" t="s">
        <v>1001</v>
      </c>
      <c r="B445" s="7">
        <v>6946.8</v>
      </c>
    </row>
    <row r="446" spans="1:2" x14ac:dyDescent="0.3">
      <c r="A446" s="30" t="s">
        <v>1143</v>
      </c>
      <c r="B446" s="7">
        <v>6899.8804600000003</v>
      </c>
    </row>
    <row r="447" spans="1:2" x14ac:dyDescent="0.3">
      <c r="A447" s="30" t="s">
        <v>808</v>
      </c>
      <c r="B447" s="7">
        <v>6874.4828600000001</v>
      </c>
    </row>
    <row r="448" spans="1:2" x14ac:dyDescent="0.3">
      <c r="A448" s="30" t="s">
        <v>901</v>
      </c>
      <c r="B448" s="7">
        <v>6824.2884000000004</v>
      </c>
    </row>
    <row r="449" spans="1:2" x14ac:dyDescent="0.3">
      <c r="A449" s="30" t="s">
        <v>1292</v>
      </c>
      <c r="B449" s="7">
        <v>6766.9829999999993</v>
      </c>
    </row>
    <row r="450" spans="1:2" x14ac:dyDescent="0.3">
      <c r="A450" s="30" t="s">
        <v>1309</v>
      </c>
      <c r="B450" s="7">
        <v>6732.4334000000008</v>
      </c>
    </row>
    <row r="451" spans="1:2" x14ac:dyDescent="0.3">
      <c r="A451" s="30" t="s">
        <v>939</v>
      </c>
      <c r="B451" s="7">
        <v>6702.3501999999999</v>
      </c>
    </row>
    <row r="452" spans="1:2" x14ac:dyDescent="0.3">
      <c r="A452" s="30" t="s">
        <v>971</v>
      </c>
      <c r="B452" s="7">
        <v>6684.1875</v>
      </c>
    </row>
    <row r="453" spans="1:2" x14ac:dyDescent="0.3">
      <c r="A453" s="30" t="s">
        <v>1223</v>
      </c>
      <c r="B453" s="7">
        <v>6664.0999999999995</v>
      </c>
    </row>
    <row r="454" spans="1:2" x14ac:dyDescent="0.3">
      <c r="A454" s="30" t="s">
        <v>768</v>
      </c>
      <c r="B454" s="7">
        <v>6631.6443100000006</v>
      </c>
    </row>
    <row r="455" spans="1:2" x14ac:dyDescent="0.3">
      <c r="A455" s="30" t="s">
        <v>1111</v>
      </c>
      <c r="B455" s="7">
        <v>6576.298960000001</v>
      </c>
    </row>
    <row r="456" spans="1:2" x14ac:dyDescent="0.3">
      <c r="A456" s="30" t="s">
        <v>951</v>
      </c>
      <c r="B456" s="7">
        <v>6535.6324800000002</v>
      </c>
    </row>
    <row r="457" spans="1:2" x14ac:dyDescent="0.3">
      <c r="A457" s="30" t="s">
        <v>987</v>
      </c>
      <c r="B457" s="7">
        <v>6468.2751599999992</v>
      </c>
    </row>
    <row r="458" spans="1:2" x14ac:dyDescent="0.3">
      <c r="A458" s="30" t="s">
        <v>1256</v>
      </c>
      <c r="B458" s="7">
        <v>6435.2555999999995</v>
      </c>
    </row>
    <row r="459" spans="1:2" x14ac:dyDescent="0.3">
      <c r="A459" s="30" t="s">
        <v>804</v>
      </c>
      <c r="B459" s="7">
        <v>6393.0952799999995</v>
      </c>
    </row>
    <row r="460" spans="1:2" x14ac:dyDescent="0.3">
      <c r="A460" s="30" t="s">
        <v>834</v>
      </c>
      <c r="B460" s="7">
        <v>6324.5775999999996</v>
      </c>
    </row>
    <row r="461" spans="1:2" x14ac:dyDescent="0.3">
      <c r="A461" s="30" t="s">
        <v>1061</v>
      </c>
      <c r="B461" s="7">
        <v>6229.7423999999992</v>
      </c>
    </row>
    <row r="462" spans="1:2" x14ac:dyDescent="0.3">
      <c r="A462" s="30" t="s">
        <v>1312</v>
      </c>
      <c r="B462" s="7">
        <v>6137.8019999999988</v>
      </c>
    </row>
    <row r="463" spans="1:2" x14ac:dyDescent="0.3">
      <c r="A463" s="30" t="s">
        <v>1010</v>
      </c>
      <c r="B463" s="7">
        <v>6066.54648</v>
      </c>
    </row>
    <row r="464" spans="1:2" x14ac:dyDescent="0.3">
      <c r="A464" s="30" t="s">
        <v>1217</v>
      </c>
      <c r="B464" s="7">
        <v>6063.2517199999993</v>
      </c>
    </row>
    <row r="465" spans="1:2" x14ac:dyDescent="0.3">
      <c r="A465" s="30" t="s">
        <v>1330</v>
      </c>
      <c r="B465" s="7">
        <v>5962.1422499999999</v>
      </c>
    </row>
    <row r="466" spans="1:2" x14ac:dyDescent="0.3">
      <c r="A466" s="30" t="s">
        <v>836</v>
      </c>
      <c r="B466" s="7">
        <v>5960.3340000000007</v>
      </c>
    </row>
    <row r="467" spans="1:2" x14ac:dyDescent="0.3">
      <c r="A467" s="30" t="s">
        <v>1175</v>
      </c>
      <c r="B467" s="7">
        <v>5960.04288</v>
      </c>
    </row>
    <row r="468" spans="1:2" x14ac:dyDescent="0.3">
      <c r="A468" s="30" t="s">
        <v>1037</v>
      </c>
      <c r="B468" s="7">
        <v>5932.7856000000002</v>
      </c>
    </row>
    <row r="469" spans="1:2" x14ac:dyDescent="0.3">
      <c r="A469" s="30" t="s">
        <v>964</v>
      </c>
      <c r="B469" s="7">
        <v>5814.6927299999998</v>
      </c>
    </row>
    <row r="470" spans="1:2" x14ac:dyDescent="0.3">
      <c r="A470" s="30" t="s">
        <v>785</v>
      </c>
      <c r="B470" s="7">
        <v>5785.8</v>
      </c>
    </row>
    <row r="471" spans="1:2" x14ac:dyDescent="0.3">
      <c r="A471" s="30" t="s">
        <v>851</v>
      </c>
      <c r="B471" s="7">
        <v>5769.2758000000003</v>
      </c>
    </row>
    <row r="472" spans="1:2" x14ac:dyDescent="0.3">
      <c r="A472" s="30" t="s">
        <v>1324</v>
      </c>
      <c r="B472" s="7">
        <v>5725.6496000000006</v>
      </c>
    </row>
    <row r="473" spans="1:2" x14ac:dyDescent="0.3">
      <c r="A473" s="30" t="s">
        <v>894</v>
      </c>
      <c r="B473" s="7">
        <v>5650.1744000000008</v>
      </c>
    </row>
    <row r="474" spans="1:2" x14ac:dyDescent="0.3">
      <c r="A474" s="30" t="s">
        <v>1066</v>
      </c>
      <c r="B474" s="7">
        <v>5610.0923999999995</v>
      </c>
    </row>
    <row r="475" spans="1:2" x14ac:dyDescent="0.3">
      <c r="A475" s="30" t="s">
        <v>1179</v>
      </c>
      <c r="B475" s="7">
        <v>5565.3272500000003</v>
      </c>
    </row>
    <row r="476" spans="1:2" x14ac:dyDescent="0.3">
      <c r="A476" s="30" t="s">
        <v>1168</v>
      </c>
      <c r="B476" s="7">
        <v>5546.4642200000008</v>
      </c>
    </row>
    <row r="477" spans="1:2" x14ac:dyDescent="0.3">
      <c r="A477" s="30" t="s">
        <v>960</v>
      </c>
      <c r="B477" s="7">
        <v>5533.6230000000005</v>
      </c>
    </row>
    <row r="478" spans="1:2" x14ac:dyDescent="0.3">
      <c r="A478" s="30" t="s">
        <v>827</v>
      </c>
      <c r="B478" s="7">
        <v>5487.6023999999998</v>
      </c>
    </row>
    <row r="479" spans="1:2" x14ac:dyDescent="0.3">
      <c r="A479" s="30" t="s">
        <v>1335</v>
      </c>
      <c r="B479" s="7">
        <v>5457.4317000000001</v>
      </c>
    </row>
    <row r="480" spans="1:2" x14ac:dyDescent="0.3">
      <c r="A480" s="30" t="s">
        <v>1041</v>
      </c>
      <c r="B480" s="7">
        <v>5334.9141999999993</v>
      </c>
    </row>
    <row r="481" spans="1:2" x14ac:dyDescent="0.3">
      <c r="A481" s="30" t="s">
        <v>815</v>
      </c>
      <c r="B481" s="7">
        <v>5331.6696000000002</v>
      </c>
    </row>
    <row r="482" spans="1:2" x14ac:dyDescent="0.3">
      <c r="A482" s="30" t="s">
        <v>831</v>
      </c>
      <c r="B482" s="7">
        <v>5328.4890400000004</v>
      </c>
    </row>
    <row r="483" spans="1:2" x14ac:dyDescent="0.3">
      <c r="A483" s="30" t="s">
        <v>1142</v>
      </c>
      <c r="B483" s="7">
        <v>5323.9903199999999</v>
      </c>
    </row>
    <row r="484" spans="1:2" x14ac:dyDescent="0.3">
      <c r="A484" s="30" t="s">
        <v>966</v>
      </c>
      <c r="B484" s="7">
        <v>5280.8577599999999</v>
      </c>
    </row>
    <row r="485" spans="1:2" x14ac:dyDescent="0.3">
      <c r="A485" s="30" t="s">
        <v>1135</v>
      </c>
      <c r="B485" s="7">
        <v>5250.4239000000007</v>
      </c>
    </row>
    <row r="486" spans="1:2" x14ac:dyDescent="0.3">
      <c r="A486" s="30" t="s">
        <v>736</v>
      </c>
      <c r="B486" s="7">
        <v>5225.2710400000005</v>
      </c>
    </row>
    <row r="487" spans="1:2" x14ac:dyDescent="0.3">
      <c r="A487" s="30" t="s">
        <v>1245</v>
      </c>
      <c r="B487" s="7">
        <v>5189.8836000000001</v>
      </c>
    </row>
    <row r="488" spans="1:2" x14ac:dyDescent="0.3">
      <c r="A488" s="30" t="s">
        <v>1218</v>
      </c>
      <c r="B488" s="7">
        <v>5159.7893599999998</v>
      </c>
    </row>
    <row r="489" spans="1:2" x14ac:dyDescent="0.3">
      <c r="A489" s="30" t="s">
        <v>1215</v>
      </c>
      <c r="B489" s="7">
        <v>5127.0390600000001</v>
      </c>
    </row>
    <row r="490" spans="1:2" x14ac:dyDescent="0.3">
      <c r="A490" s="30" t="s">
        <v>1358</v>
      </c>
      <c r="B490" s="7">
        <v>5096.4790800000001</v>
      </c>
    </row>
    <row r="491" spans="1:2" x14ac:dyDescent="0.3">
      <c r="A491" s="30" t="s">
        <v>1047</v>
      </c>
      <c r="B491" s="7">
        <v>5032.4433599999993</v>
      </c>
    </row>
    <row r="492" spans="1:2" x14ac:dyDescent="0.3">
      <c r="A492" s="30" t="s">
        <v>745</v>
      </c>
      <c r="B492" s="7">
        <v>4968.5039999999999</v>
      </c>
    </row>
    <row r="493" spans="1:2" x14ac:dyDescent="0.3">
      <c r="A493" s="30" t="s">
        <v>812</v>
      </c>
      <c r="B493" s="7">
        <v>4877.1379800000004</v>
      </c>
    </row>
    <row r="494" spans="1:2" x14ac:dyDescent="0.3">
      <c r="A494" s="30" t="s">
        <v>733</v>
      </c>
      <c r="B494" s="7">
        <v>4866.3287999999993</v>
      </c>
    </row>
    <row r="495" spans="1:2" x14ac:dyDescent="0.3">
      <c r="A495" s="30" t="s">
        <v>1067</v>
      </c>
      <c r="B495" s="7">
        <v>4856.35725</v>
      </c>
    </row>
    <row r="496" spans="1:2" x14ac:dyDescent="0.3">
      <c r="A496" s="30" t="s">
        <v>919</v>
      </c>
      <c r="B496" s="7">
        <v>4831.9464600000001</v>
      </c>
    </row>
    <row r="497" spans="1:2" x14ac:dyDescent="0.3">
      <c r="A497" s="30" t="s">
        <v>1277</v>
      </c>
      <c r="B497" s="7">
        <v>4826.5396199999996</v>
      </c>
    </row>
    <row r="498" spans="1:2" x14ac:dyDescent="0.3">
      <c r="A498" s="30" t="s">
        <v>1094</v>
      </c>
      <c r="B498" s="7">
        <v>4804.4682400000002</v>
      </c>
    </row>
    <row r="499" spans="1:2" x14ac:dyDescent="0.3">
      <c r="A499" s="30" t="s">
        <v>790</v>
      </c>
      <c r="B499" s="7">
        <v>4790.1068000000005</v>
      </c>
    </row>
    <row r="500" spans="1:2" x14ac:dyDescent="0.3">
      <c r="A500" s="30" t="s">
        <v>1213</v>
      </c>
      <c r="B500" s="7">
        <v>4738.5261</v>
      </c>
    </row>
    <row r="501" spans="1:2" x14ac:dyDescent="0.3">
      <c r="A501" s="30" t="s">
        <v>1274</v>
      </c>
      <c r="B501" s="7">
        <v>4737.2198399999997</v>
      </c>
    </row>
    <row r="502" spans="1:2" x14ac:dyDescent="0.3">
      <c r="A502" s="30" t="s">
        <v>1227</v>
      </c>
      <c r="B502" s="7">
        <v>4682.9519799999998</v>
      </c>
    </row>
    <row r="503" spans="1:2" x14ac:dyDescent="0.3">
      <c r="A503" s="30" t="s">
        <v>1140</v>
      </c>
      <c r="B503" s="7">
        <v>4679.7141600000004</v>
      </c>
    </row>
    <row r="504" spans="1:2" x14ac:dyDescent="0.3">
      <c r="A504" s="30" t="s">
        <v>934</v>
      </c>
      <c r="B504" s="7">
        <v>4637.7968000000001</v>
      </c>
    </row>
    <row r="505" spans="1:2" x14ac:dyDescent="0.3">
      <c r="A505" s="30" t="s">
        <v>1302</v>
      </c>
      <c r="B505" s="7">
        <v>4577.1480000000001</v>
      </c>
    </row>
    <row r="506" spans="1:2" x14ac:dyDescent="0.3">
      <c r="A506" s="30" t="s">
        <v>792</v>
      </c>
      <c r="B506" s="7">
        <v>4569.8508000000002</v>
      </c>
    </row>
    <row r="507" spans="1:2" x14ac:dyDescent="0.3">
      <c r="A507" s="30" t="s">
        <v>1102</v>
      </c>
      <c r="B507" s="7">
        <v>4569.5735999999997</v>
      </c>
    </row>
    <row r="508" spans="1:2" x14ac:dyDescent="0.3">
      <c r="A508" s="30" t="s">
        <v>955</v>
      </c>
      <c r="B508" s="7">
        <v>4503.4363999999996</v>
      </c>
    </row>
    <row r="509" spans="1:2" x14ac:dyDescent="0.3">
      <c r="A509" s="30" t="s">
        <v>973</v>
      </c>
      <c r="B509" s="7">
        <v>4436.6291200000005</v>
      </c>
    </row>
    <row r="510" spans="1:2" x14ac:dyDescent="0.3">
      <c r="A510" s="30" t="s">
        <v>807</v>
      </c>
      <c r="B510" s="7">
        <v>4427.9172000000008</v>
      </c>
    </row>
    <row r="511" spans="1:2" x14ac:dyDescent="0.3">
      <c r="A511" s="30" t="s">
        <v>912</v>
      </c>
      <c r="B511" s="7">
        <v>4420.5961799999995</v>
      </c>
    </row>
    <row r="512" spans="1:2" x14ac:dyDescent="0.3">
      <c r="A512" s="30" t="s">
        <v>864</v>
      </c>
      <c r="B512" s="7">
        <v>4417.8334199999999</v>
      </c>
    </row>
    <row r="513" spans="1:2" x14ac:dyDescent="0.3">
      <c r="A513" s="30" t="s">
        <v>1329</v>
      </c>
      <c r="B513" s="7">
        <v>4409.5168800000001</v>
      </c>
    </row>
    <row r="514" spans="1:2" x14ac:dyDescent="0.3">
      <c r="A514" s="30" t="s">
        <v>926</v>
      </c>
      <c r="B514" s="7">
        <v>4402.1164799999997</v>
      </c>
    </row>
    <row r="515" spans="1:2" x14ac:dyDescent="0.3">
      <c r="A515" s="30" t="s">
        <v>991</v>
      </c>
      <c r="B515" s="7">
        <v>4375.3620000000001</v>
      </c>
    </row>
    <row r="516" spans="1:2" x14ac:dyDescent="0.3">
      <c r="A516" s="30" t="s">
        <v>870</v>
      </c>
      <c r="B516" s="7">
        <v>4336.2427499999994</v>
      </c>
    </row>
    <row r="517" spans="1:2" x14ac:dyDescent="0.3">
      <c r="A517" s="30" t="s">
        <v>1310</v>
      </c>
      <c r="B517" s="7">
        <v>4280.6786400000001</v>
      </c>
    </row>
    <row r="518" spans="1:2" x14ac:dyDescent="0.3">
      <c r="A518" s="30" t="s">
        <v>1029</v>
      </c>
      <c r="B518" s="7">
        <v>4241.88105</v>
      </c>
    </row>
    <row r="519" spans="1:2" x14ac:dyDescent="0.3">
      <c r="A519" s="30" t="s">
        <v>1296</v>
      </c>
      <c r="B519" s="7">
        <v>4229.4321199999995</v>
      </c>
    </row>
    <row r="520" spans="1:2" x14ac:dyDescent="0.3">
      <c r="A520" s="30" t="s">
        <v>1209</v>
      </c>
      <c r="B520" s="7">
        <v>4212.3745999999992</v>
      </c>
    </row>
    <row r="521" spans="1:2" x14ac:dyDescent="0.3">
      <c r="A521" s="30" t="s">
        <v>738</v>
      </c>
      <c r="B521" s="7">
        <v>4141.7599999999993</v>
      </c>
    </row>
    <row r="522" spans="1:2" x14ac:dyDescent="0.3">
      <c r="A522" s="30" t="s">
        <v>885</v>
      </c>
      <c r="B522" s="7">
        <v>4139.8127999999997</v>
      </c>
    </row>
    <row r="523" spans="1:2" x14ac:dyDescent="0.3">
      <c r="A523" s="30" t="s">
        <v>1103</v>
      </c>
      <c r="B523" s="7">
        <v>4133.25108</v>
      </c>
    </row>
    <row r="524" spans="1:2" x14ac:dyDescent="0.3">
      <c r="A524" s="30" t="s">
        <v>1083</v>
      </c>
      <c r="B524" s="7">
        <v>4132.0325200000007</v>
      </c>
    </row>
    <row r="525" spans="1:2" x14ac:dyDescent="0.3">
      <c r="A525" s="30" t="s">
        <v>1106</v>
      </c>
      <c r="B525" s="7">
        <v>4117.4880599999997</v>
      </c>
    </row>
    <row r="526" spans="1:2" x14ac:dyDescent="0.3">
      <c r="A526" s="30" t="s">
        <v>1091</v>
      </c>
      <c r="B526" s="7">
        <v>4071.8</v>
      </c>
    </row>
    <row r="527" spans="1:2" x14ac:dyDescent="0.3">
      <c r="A527" s="30" t="s">
        <v>1194</v>
      </c>
      <c r="B527" s="7">
        <v>4055.5175999999997</v>
      </c>
    </row>
    <row r="528" spans="1:2" x14ac:dyDescent="0.3">
      <c r="A528" s="30" t="s">
        <v>1220</v>
      </c>
      <c r="B528" s="7">
        <v>4025.8565599999993</v>
      </c>
    </row>
    <row r="529" spans="1:2" x14ac:dyDescent="0.3">
      <c r="A529" s="30" t="s">
        <v>760</v>
      </c>
      <c r="B529" s="7">
        <v>3980.7075</v>
      </c>
    </row>
    <row r="530" spans="1:2" x14ac:dyDescent="0.3">
      <c r="A530" s="30" t="s">
        <v>1018</v>
      </c>
      <c r="B530" s="7">
        <v>3978.6474000000003</v>
      </c>
    </row>
    <row r="531" spans="1:2" x14ac:dyDescent="0.3">
      <c r="A531" s="30" t="s">
        <v>927</v>
      </c>
      <c r="B531" s="7">
        <v>3928.3797600000003</v>
      </c>
    </row>
    <row r="532" spans="1:2" x14ac:dyDescent="0.3">
      <c r="A532" s="30" t="s">
        <v>1240</v>
      </c>
      <c r="B532" s="7">
        <v>3921.1744000000008</v>
      </c>
    </row>
    <row r="533" spans="1:2" x14ac:dyDescent="0.3">
      <c r="A533" s="30" t="s">
        <v>761</v>
      </c>
      <c r="B533" s="7">
        <v>3913.2000000000003</v>
      </c>
    </row>
    <row r="534" spans="1:2" x14ac:dyDescent="0.3">
      <c r="A534" s="30" t="s">
        <v>1315</v>
      </c>
      <c r="B534" s="7">
        <v>3823.6151599999998</v>
      </c>
    </row>
    <row r="535" spans="1:2" x14ac:dyDescent="0.3">
      <c r="A535" s="30" t="s">
        <v>972</v>
      </c>
      <c r="B535" s="7">
        <v>3823.5108</v>
      </c>
    </row>
    <row r="536" spans="1:2" x14ac:dyDescent="0.3">
      <c r="A536" s="30" t="s">
        <v>1060</v>
      </c>
      <c r="B536" s="7">
        <v>3799.8031499999997</v>
      </c>
    </row>
    <row r="537" spans="1:2" x14ac:dyDescent="0.3">
      <c r="A537" s="30" t="s">
        <v>1040</v>
      </c>
      <c r="B537" s="7">
        <v>3644.3212800000006</v>
      </c>
    </row>
    <row r="538" spans="1:2" x14ac:dyDescent="0.3">
      <c r="A538" s="30" t="s">
        <v>981</v>
      </c>
      <c r="B538" s="7">
        <v>3592.04</v>
      </c>
    </row>
    <row r="539" spans="1:2" x14ac:dyDescent="0.3">
      <c r="A539" s="30" t="s">
        <v>879</v>
      </c>
      <c r="B539" s="7">
        <v>3562.9028999999996</v>
      </c>
    </row>
    <row r="540" spans="1:2" x14ac:dyDescent="0.3">
      <c r="A540" s="30" t="s">
        <v>772</v>
      </c>
      <c r="B540" s="7">
        <v>3562.1983800000003</v>
      </c>
    </row>
    <row r="541" spans="1:2" x14ac:dyDescent="0.3">
      <c r="A541" s="30" t="s">
        <v>1243</v>
      </c>
      <c r="B541" s="7">
        <v>3525.5505600000001</v>
      </c>
    </row>
    <row r="542" spans="1:2" x14ac:dyDescent="0.3">
      <c r="A542" s="30" t="s">
        <v>866</v>
      </c>
      <c r="B542" s="7">
        <v>3494.4040799999998</v>
      </c>
    </row>
    <row r="543" spans="1:2" x14ac:dyDescent="0.3">
      <c r="A543" s="30" t="s">
        <v>1301</v>
      </c>
      <c r="B543" s="7">
        <v>3378.1478400000001</v>
      </c>
    </row>
    <row r="544" spans="1:2" x14ac:dyDescent="0.3">
      <c r="A544" s="30" t="s">
        <v>1271</v>
      </c>
      <c r="B544" s="7">
        <v>3340.6370000000002</v>
      </c>
    </row>
    <row r="545" spans="1:2" x14ac:dyDescent="0.3">
      <c r="A545" s="30" t="s">
        <v>1030</v>
      </c>
      <c r="B545" s="7">
        <v>3190.8713200000002</v>
      </c>
    </row>
    <row r="546" spans="1:2" x14ac:dyDescent="0.3">
      <c r="A546" s="30" t="s">
        <v>1077</v>
      </c>
      <c r="B546" s="7">
        <v>3175.1547799999998</v>
      </c>
    </row>
    <row r="547" spans="1:2" x14ac:dyDescent="0.3">
      <c r="A547" s="30" t="s">
        <v>1328</v>
      </c>
      <c r="B547" s="7">
        <v>3116.21</v>
      </c>
    </row>
    <row r="548" spans="1:2" x14ac:dyDescent="0.3">
      <c r="A548" s="30" t="s">
        <v>1071</v>
      </c>
      <c r="B548" s="7">
        <v>3021.5016000000001</v>
      </c>
    </row>
    <row r="549" spans="1:2" x14ac:dyDescent="0.3">
      <c r="A549" s="30" t="s">
        <v>1051</v>
      </c>
      <c r="B549" s="7">
        <v>2915.4540999999999</v>
      </c>
    </row>
    <row r="550" spans="1:2" x14ac:dyDescent="0.3">
      <c r="A550" s="30" t="s">
        <v>978</v>
      </c>
      <c r="B550" s="7">
        <v>2909.8689199999999</v>
      </c>
    </row>
    <row r="551" spans="1:2" x14ac:dyDescent="0.3">
      <c r="A551" s="30" t="s">
        <v>739</v>
      </c>
      <c r="B551" s="7">
        <v>2886.4496399999998</v>
      </c>
    </row>
    <row r="552" spans="1:2" x14ac:dyDescent="0.3">
      <c r="A552" s="30" t="s">
        <v>965</v>
      </c>
      <c r="B552" s="7">
        <v>2879.9836</v>
      </c>
    </row>
    <row r="553" spans="1:2" x14ac:dyDescent="0.3">
      <c r="A553" s="30" t="s">
        <v>1171</v>
      </c>
      <c r="B553" s="7">
        <v>2795.6384399999997</v>
      </c>
    </row>
    <row r="554" spans="1:2" x14ac:dyDescent="0.3">
      <c r="A554" s="30" t="s">
        <v>1339</v>
      </c>
      <c r="B554" s="7">
        <v>2736.27018</v>
      </c>
    </row>
    <row r="555" spans="1:2" x14ac:dyDescent="0.3">
      <c r="A555" s="30" t="s">
        <v>1198</v>
      </c>
      <c r="B555" s="7">
        <v>2719.8567000000003</v>
      </c>
    </row>
    <row r="556" spans="1:2" x14ac:dyDescent="0.3">
      <c r="A556" s="30" t="s">
        <v>861</v>
      </c>
      <c r="B556" s="7">
        <v>2642.1686999999997</v>
      </c>
    </row>
    <row r="557" spans="1:2" x14ac:dyDescent="0.3">
      <c r="A557" s="30" t="s">
        <v>1164</v>
      </c>
      <c r="B557" s="7">
        <v>2627.6239999999998</v>
      </c>
    </row>
    <row r="558" spans="1:2" x14ac:dyDescent="0.3">
      <c r="A558" s="30" t="s">
        <v>1063</v>
      </c>
      <c r="B558" s="7">
        <v>2537.2908000000002</v>
      </c>
    </row>
    <row r="559" spans="1:2" x14ac:dyDescent="0.3">
      <c r="A559" s="30" t="s">
        <v>1123</v>
      </c>
      <c r="B559" s="7">
        <v>2525.0635000000002</v>
      </c>
    </row>
    <row r="560" spans="1:2" x14ac:dyDescent="0.3">
      <c r="A560" s="30" t="s">
        <v>786</v>
      </c>
      <c r="B560" s="7">
        <v>2518.8755800000004</v>
      </c>
    </row>
    <row r="561" spans="1:2" x14ac:dyDescent="0.3">
      <c r="A561" s="30" t="s">
        <v>990</v>
      </c>
      <c r="B561" s="7">
        <v>2394.1605599999998</v>
      </c>
    </row>
    <row r="562" spans="1:2" x14ac:dyDescent="0.3">
      <c r="A562" s="30" t="s">
        <v>1059</v>
      </c>
      <c r="B562" s="7">
        <v>2373.9623200000001</v>
      </c>
    </row>
    <row r="563" spans="1:2" x14ac:dyDescent="0.3">
      <c r="A563" s="30" t="s">
        <v>1352</v>
      </c>
      <c r="B563" s="7">
        <v>2355.2113199999999</v>
      </c>
    </row>
    <row r="564" spans="1:2" x14ac:dyDescent="0.3">
      <c r="A564" s="30" t="s">
        <v>902</v>
      </c>
      <c r="B564" s="7">
        <v>2316.2621999999997</v>
      </c>
    </row>
    <row r="565" spans="1:2" x14ac:dyDescent="0.3">
      <c r="A565" s="30" t="s">
        <v>950</v>
      </c>
      <c r="B565" s="7">
        <v>2231.6467200000002</v>
      </c>
    </row>
    <row r="566" spans="1:2" x14ac:dyDescent="0.3">
      <c r="A566" s="30" t="s">
        <v>1080</v>
      </c>
      <c r="B566" s="7">
        <v>2206.8000000000002</v>
      </c>
    </row>
    <row r="567" spans="1:2" x14ac:dyDescent="0.3">
      <c r="A567" s="30" t="s">
        <v>1258</v>
      </c>
      <c r="B567" s="7">
        <v>2146.5580500000001</v>
      </c>
    </row>
    <row r="568" spans="1:2" x14ac:dyDescent="0.3">
      <c r="A568" s="30" t="s">
        <v>846</v>
      </c>
      <c r="B568" s="7">
        <v>2117.4834999999998</v>
      </c>
    </row>
    <row r="569" spans="1:2" x14ac:dyDescent="0.3">
      <c r="A569" s="30" t="s">
        <v>1340</v>
      </c>
      <c r="B569" s="7">
        <v>2077.46</v>
      </c>
    </row>
    <row r="570" spans="1:2" x14ac:dyDescent="0.3">
      <c r="A570" s="30" t="s">
        <v>857</v>
      </c>
      <c r="B570" s="7">
        <v>2072.9258400000003</v>
      </c>
    </row>
    <row r="571" spans="1:2" x14ac:dyDescent="0.3">
      <c r="A571" s="30" t="s">
        <v>1144</v>
      </c>
      <c r="B571" s="7">
        <v>2059.0056</v>
      </c>
    </row>
    <row r="572" spans="1:2" x14ac:dyDescent="0.3">
      <c r="A572" s="30" t="s">
        <v>907</v>
      </c>
      <c r="B572" s="7">
        <v>1952.6356799999999</v>
      </c>
    </row>
    <row r="573" spans="1:2" x14ac:dyDescent="0.3">
      <c r="A573" s="30" t="s">
        <v>1166</v>
      </c>
      <c r="B573" s="7">
        <v>1950.0031200000001</v>
      </c>
    </row>
    <row r="574" spans="1:2" x14ac:dyDescent="0.3">
      <c r="A574" s="30" t="s">
        <v>1177</v>
      </c>
      <c r="B574" s="7">
        <v>1925.29872</v>
      </c>
    </row>
    <row r="575" spans="1:2" x14ac:dyDescent="0.3">
      <c r="A575" s="30" t="s">
        <v>1195</v>
      </c>
      <c r="B575" s="7">
        <v>1886.9915999999998</v>
      </c>
    </row>
    <row r="576" spans="1:2" x14ac:dyDescent="0.3">
      <c r="A576" s="30" t="s">
        <v>1282</v>
      </c>
      <c r="B576" s="7">
        <v>1846.8040799999999</v>
      </c>
    </row>
    <row r="577" spans="1:2" x14ac:dyDescent="0.3">
      <c r="A577" s="30" t="s">
        <v>1196</v>
      </c>
      <c r="B577" s="7">
        <v>1808.04592</v>
      </c>
    </row>
    <row r="578" spans="1:2" x14ac:dyDescent="0.3">
      <c r="A578" s="30" t="s">
        <v>1313</v>
      </c>
      <c r="B578" s="7">
        <v>1801.4076000000002</v>
      </c>
    </row>
    <row r="579" spans="1:2" x14ac:dyDescent="0.3">
      <c r="A579" s="30" t="s">
        <v>944</v>
      </c>
      <c r="B579" s="7">
        <v>1774.8072</v>
      </c>
    </row>
    <row r="580" spans="1:2" x14ac:dyDescent="0.3">
      <c r="A580" s="30" t="s">
        <v>759</v>
      </c>
      <c r="B580" s="7">
        <v>1756.6999999999998</v>
      </c>
    </row>
    <row r="581" spans="1:2" x14ac:dyDescent="0.3">
      <c r="A581" s="30" t="s">
        <v>1192</v>
      </c>
      <c r="B581" s="7">
        <v>1662.6945600000001</v>
      </c>
    </row>
    <row r="582" spans="1:2" x14ac:dyDescent="0.3">
      <c r="A582" s="30" t="s">
        <v>841</v>
      </c>
      <c r="B582" s="7">
        <v>1660.3999999999999</v>
      </c>
    </row>
    <row r="583" spans="1:2" x14ac:dyDescent="0.3">
      <c r="A583" s="30" t="s">
        <v>820</v>
      </c>
      <c r="B583" s="7">
        <v>1654.8966000000003</v>
      </c>
    </row>
    <row r="584" spans="1:2" x14ac:dyDescent="0.3">
      <c r="A584" s="30" t="s">
        <v>1038</v>
      </c>
      <c r="B584" s="7">
        <v>1641.7107199999998</v>
      </c>
    </row>
    <row r="585" spans="1:2" x14ac:dyDescent="0.3">
      <c r="A585" s="30" t="s">
        <v>1222</v>
      </c>
      <c r="B585" s="7">
        <v>1547.3500000000001</v>
      </c>
    </row>
    <row r="586" spans="1:2" x14ac:dyDescent="0.3">
      <c r="A586" s="30" t="s">
        <v>847</v>
      </c>
      <c r="B586" s="7">
        <v>1499.22</v>
      </c>
    </row>
    <row r="587" spans="1:2" x14ac:dyDescent="0.3">
      <c r="A587" s="30" t="s">
        <v>872</v>
      </c>
      <c r="B587" s="7">
        <v>1446.9507000000001</v>
      </c>
    </row>
    <row r="588" spans="1:2" x14ac:dyDescent="0.3">
      <c r="A588" s="30" t="s">
        <v>1087</v>
      </c>
      <c r="B588" s="7">
        <v>1122.0896000000002</v>
      </c>
    </row>
    <row r="589" spans="1:2" x14ac:dyDescent="0.3">
      <c r="A589" s="30" t="s">
        <v>1074</v>
      </c>
      <c r="B589" s="7">
        <v>1115.1975999999997</v>
      </c>
    </row>
    <row r="590" spans="1:2" x14ac:dyDescent="0.3">
      <c r="A590" s="30" t="s">
        <v>1024</v>
      </c>
      <c r="B590" s="7">
        <v>1098.9470800000001</v>
      </c>
    </row>
    <row r="591" spans="1:2" x14ac:dyDescent="0.3">
      <c r="A591" s="30" t="s">
        <v>1333</v>
      </c>
      <c r="B591" s="7">
        <v>1062.5902000000001</v>
      </c>
    </row>
    <row r="592" spans="1:2" x14ac:dyDescent="0.3">
      <c r="A592" s="30" t="s">
        <v>1351</v>
      </c>
      <c r="B592" s="7">
        <v>1030.7574</v>
      </c>
    </row>
    <row r="593" spans="1:2" x14ac:dyDescent="0.3">
      <c r="A593" s="30" t="s">
        <v>1249</v>
      </c>
      <c r="B593" s="7">
        <v>1010.3759200000001</v>
      </c>
    </row>
    <row r="594" spans="1:2" x14ac:dyDescent="0.3">
      <c r="A594" s="30" t="s">
        <v>1208</v>
      </c>
      <c r="B594" s="7">
        <v>1009.2969000000002</v>
      </c>
    </row>
    <row r="595" spans="1:2" x14ac:dyDescent="0.3">
      <c r="A595" s="30" t="s">
        <v>1193</v>
      </c>
      <c r="B595" s="7">
        <v>930.17574000000002</v>
      </c>
    </row>
    <row r="596" spans="1:2" x14ac:dyDescent="0.3">
      <c r="A596" s="30" t="s">
        <v>954</v>
      </c>
      <c r="B596" s="7">
        <v>908.03700000000003</v>
      </c>
    </row>
    <row r="597" spans="1:2" x14ac:dyDescent="0.3">
      <c r="A597" s="30" t="s">
        <v>1044</v>
      </c>
      <c r="B597" s="7">
        <v>879.05840000000001</v>
      </c>
    </row>
    <row r="598" spans="1:2" x14ac:dyDescent="0.3">
      <c r="A598" s="30" t="s">
        <v>1251</v>
      </c>
      <c r="B598" s="7">
        <v>855.72881999999993</v>
      </c>
    </row>
    <row r="599" spans="1:2" x14ac:dyDescent="0.3">
      <c r="A599" s="30" t="s">
        <v>860</v>
      </c>
      <c r="B599" s="7">
        <v>853.32276999999988</v>
      </c>
    </row>
    <row r="600" spans="1:2" x14ac:dyDescent="0.3">
      <c r="A600" s="30" t="s">
        <v>1348</v>
      </c>
      <c r="B600" s="7">
        <v>846.34703999999988</v>
      </c>
    </row>
    <row r="601" spans="1:2" x14ac:dyDescent="0.3">
      <c r="A601" s="30" t="s">
        <v>1303</v>
      </c>
      <c r="B601" s="7">
        <v>841.00536</v>
      </c>
    </row>
    <row r="602" spans="1:2" x14ac:dyDescent="0.3">
      <c r="A602" s="30" t="s">
        <v>849</v>
      </c>
      <c r="B602" s="7">
        <v>765.99195000000009</v>
      </c>
    </row>
    <row r="603" spans="1:2" x14ac:dyDescent="0.3">
      <c r="A603" s="30" t="s">
        <v>976</v>
      </c>
      <c r="B603" s="7">
        <v>748.22303999999997</v>
      </c>
    </row>
    <row r="604" spans="1:2" x14ac:dyDescent="0.3">
      <c r="A604" s="30" t="s">
        <v>1150</v>
      </c>
      <c r="B604" s="7">
        <v>741.43835999999999</v>
      </c>
    </row>
    <row r="605" spans="1:2" x14ac:dyDescent="0.3">
      <c r="A605" s="30" t="s">
        <v>1056</v>
      </c>
      <c r="B605" s="7">
        <v>703.2428000000001</v>
      </c>
    </row>
    <row r="606" spans="1:2" x14ac:dyDescent="0.3">
      <c r="A606" s="30" t="s">
        <v>740</v>
      </c>
      <c r="B606" s="7">
        <v>685.06776000000002</v>
      </c>
    </row>
    <row r="607" spans="1:2" x14ac:dyDescent="0.3">
      <c r="A607" s="30" t="s">
        <v>1015</v>
      </c>
      <c r="B607" s="7">
        <v>667.74</v>
      </c>
    </row>
    <row r="608" spans="1:2" x14ac:dyDescent="0.3">
      <c r="A608" s="30" t="s">
        <v>963</v>
      </c>
      <c r="B608" s="7">
        <v>667.15008</v>
      </c>
    </row>
    <row r="609" spans="1:2" x14ac:dyDescent="0.3">
      <c r="A609" s="30" t="s">
        <v>822</v>
      </c>
      <c r="B609" s="7">
        <v>624.43503999999996</v>
      </c>
    </row>
    <row r="610" spans="1:2" x14ac:dyDescent="0.3">
      <c r="A610" s="30" t="s">
        <v>1263</v>
      </c>
      <c r="B610" s="7">
        <v>618.19979999999987</v>
      </c>
    </row>
    <row r="611" spans="1:2" x14ac:dyDescent="0.3">
      <c r="A611" s="30" t="s">
        <v>980</v>
      </c>
      <c r="B611" s="7">
        <v>607.30668000000003</v>
      </c>
    </row>
    <row r="612" spans="1:2" x14ac:dyDescent="0.3">
      <c r="A612" s="30" t="s">
        <v>784</v>
      </c>
      <c r="B612" s="7">
        <v>599.53200000000004</v>
      </c>
    </row>
    <row r="613" spans="1:2" x14ac:dyDescent="0.3">
      <c r="A613" s="30" t="s">
        <v>852</v>
      </c>
      <c r="B613" s="7">
        <v>592.92849000000001</v>
      </c>
    </row>
    <row r="614" spans="1:2" x14ac:dyDescent="0.3">
      <c r="A614" s="30" t="s">
        <v>996</v>
      </c>
      <c r="B614" s="7">
        <v>560.36831999999993</v>
      </c>
    </row>
    <row r="615" spans="1:2" x14ac:dyDescent="0.3">
      <c r="A615" s="30" t="s">
        <v>842</v>
      </c>
      <c r="B615" s="7">
        <v>549.80010000000004</v>
      </c>
    </row>
    <row r="616" spans="1:2" x14ac:dyDescent="0.3">
      <c r="A616" s="30" t="s">
        <v>1264</v>
      </c>
      <c r="B616" s="7">
        <v>534.57695999999999</v>
      </c>
    </row>
    <row r="617" spans="1:2" x14ac:dyDescent="0.3">
      <c r="A617" s="30" t="s">
        <v>816</v>
      </c>
      <c r="B617" s="7">
        <v>524.81174999999996</v>
      </c>
    </row>
    <row r="618" spans="1:2" x14ac:dyDescent="0.3">
      <c r="A618" s="30" t="s">
        <v>839</v>
      </c>
      <c r="B618" s="7">
        <v>518.65436999999997</v>
      </c>
    </row>
    <row r="619" spans="1:2" x14ac:dyDescent="0.3">
      <c r="A619" s="30" t="s">
        <v>1306</v>
      </c>
      <c r="B619" s="7">
        <v>496.98660000000001</v>
      </c>
    </row>
    <row r="620" spans="1:2" x14ac:dyDescent="0.3">
      <c r="A620" s="30" t="s">
        <v>1121</v>
      </c>
      <c r="B620" s="7">
        <v>434.45248000000004</v>
      </c>
    </row>
    <row r="621" spans="1:2" x14ac:dyDescent="0.3">
      <c r="A621" s="30" t="s">
        <v>1317</v>
      </c>
      <c r="B621" s="7">
        <v>370.86</v>
      </c>
    </row>
    <row r="622" spans="1:2" x14ac:dyDescent="0.3">
      <c r="A622" s="30" t="s">
        <v>910</v>
      </c>
      <c r="B622" s="7">
        <v>321.93290999999999</v>
      </c>
    </row>
    <row r="623" spans="1:2" x14ac:dyDescent="0.3">
      <c r="A623" s="30" t="s">
        <v>735</v>
      </c>
      <c r="B623" s="7">
        <v>319.72248000000002</v>
      </c>
    </row>
    <row r="624" spans="1:2" x14ac:dyDescent="0.3">
      <c r="A624" s="30" t="s">
        <v>791</v>
      </c>
      <c r="B624" s="7">
        <v>272.98599999999999</v>
      </c>
    </row>
    <row r="625" spans="1:2" x14ac:dyDescent="0.3">
      <c r="A625" s="30" t="s">
        <v>1362</v>
      </c>
      <c r="B625" s="7">
        <v>266.17821999999995</v>
      </c>
    </row>
    <row r="626" spans="1:2" x14ac:dyDescent="0.3">
      <c r="A626" s="30" t="s">
        <v>787</v>
      </c>
      <c r="B626" s="7">
        <v>215.19839999999996</v>
      </c>
    </row>
    <row r="627" spans="1:2" x14ac:dyDescent="0.3">
      <c r="A627" s="30" t="s">
        <v>829</v>
      </c>
      <c r="B627" s="7">
        <v>147.00756000000001</v>
      </c>
    </row>
    <row r="628" spans="1:2" x14ac:dyDescent="0.3">
      <c r="A628" s="30" t="s">
        <v>1225</v>
      </c>
      <c r="B628" s="7">
        <v>110.14919999999999</v>
      </c>
    </row>
    <row r="629" spans="1:2" x14ac:dyDescent="0.3">
      <c r="A629" s="30" t="s">
        <v>905</v>
      </c>
      <c r="B629" s="7">
        <v>97.0154</v>
      </c>
    </row>
    <row r="630" spans="1:2" x14ac:dyDescent="0.3">
      <c r="A630" s="30" t="s">
        <v>1019</v>
      </c>
      <c r="B630" s="7">
        <v>76.138720000000006</v>
      </c>
    </row>
    <row r="631" spans="1:2" x14ac:dyDescent="0.3">
      <c r="A631" s="30" t="s">
        <v>1031</v>
      </c>
      <c r="B631" s="7">
        <v>66.920760000000001</v>
      </c>
    </row>
    <row r="632" spans="1:2" x14ac:dyDescent="0.3">
      <c r="A632" s="30" t="s">
        <v>845</v>
      </c>
      <c r="B632" s="7">
        <v>34.689059999999998</v>
      </c>
    </row>
    <row r="633" spans="1:2" x14ac:dyDescent="0.3">
      <c r="A633" s="30" t="s">
        <v>913</v>
      </c>
      <c r="B633" s="7">
        <v>18.659839999999999</v>
      </c>
    </row>
    <row r="634" spans="1:2" x14ac:dyDescent="0.3">
      <c r="A634" s="30" t="s">
        <v>1434</v>
      </c>
      <c r="B634" s="7">
        <v>10928845.716499999</v>
      </c>
    </row>
  </sheetData>
  <conditionalFormatting pivot="1" sqref="B4:B633">
    <cfRule type="top10" dxfId="10" priority="1" rank="10"/>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485F6-4F92-49ED-8678-AD438DA580A2}">
  <dimension ref="A3:B14"/>
  <sheetViews>
    <sheetView topLeftCell="B1" workbookViewId="0">
      <selection activeCell="O13" sqref="M13:O17"/>
    </sheetView>
  </sheetViews>
  <sheetFormatPr defaultRowHeight="14.4" x14ac:dyDescent="0.3"/>
  <cols>
    <col min="1" max="1" width="12.5546875" bestFit="1" customWidth="1"/>
    <col min="2" max="2" width="31.21875" bestFit="1" customWidth="1"/>
  </cols>
  <sheetData>
    <row r="3" spans="1:2" x14ac:dyDescent="0.3">
      <c r="A3" s="29" t="s">
        <v>1433</v>
      </c>
      <c r="B3" t="s">
        <v>1499</v>
      </c>
    </row>
    <row r="4" spans="1:2" x14ac:dyDescent="0.3">
      <c r="A4" s="30" t="s">
        <v>1197</v>
      </c>
      <c r="B4" s="7">
        <v>84136.119600000005</v>
      </c>
    </row>
    <row r="5" spans="1:2" x14ac:dyDescent="0.3">
      <c r="A5" s="30" t="s">
        <v>970</v>
      </c>
      <c r="B5" s="7">
        <v>139277.83032000001</v>
      </c>
    </row>
    <row r="6" spans="1:2" x14ac:dyDescent="0.3">
      <c r="A6" s="30" t="s">
        <v>1095</v>
      </c>
      <c r="B6" s="7">
        <v>82514.711519999997</v>
      </c>
    </row>
    <row r="7" spans="1:2" x14ac:dyDescent="0.3">
      <c r="A7" s="30" t="s">
        <v>1154</v>
      </c>
      <c r="B7" s="7">
        <v>102122.94203999999</v>
      </c>
    </row>
    <row r="8" spans="1:2" x14ac:dyDescent="0.3">
      <c r="A8" s="30" t="s">
        <v>873</v>
      </c>
      <c r="B8" s="7">
        <v>87404.929919999995</v>
      </c>
    </row>
    <row r="9" spans="1:2" x14ac:dyDescent="0.3">
      <c r="A9" s="30" t="s">
        <v>898</v>
      </c>
      <c r="B9" s="7">
        <v>85637.740319999997</v>
      </c>
    </row>
    <row r="10" spans="1:2" x14ac:dyDescent="0.3">
      <c r="A10" s="30" t="s">
        <v>908</v>
      </c>
      <c r="B10" s="7">
        <v>92715.25</v>
      </c>
    </row>
    <row r="11" spans="1:2" x14ac:dyDescent="0.3">
      <c r="A11" s="30" t="s">
        <v>780</v>
      </c>
      <c r="B11" s="7">
        <v>109244</v>
      </c>
    </row>
    <row r="12" spans="1:2" x14ac:dyDescent="0.3">
      <c r="A12" s="30" t="s">
        <v>1009</v>
      </c>
      <c r="B12" s="7">
        <v>79548.755999999994</v>
      </c>
    </row>
    <row r="13" spans="1:2" x14ac:dyDescent="0.3">
      <c r="A13" s="30" t="s">
        <v>1344</v>
      </c>
      <c r="B13" s="7">
        <v>82141.339799999987</v>
      </c>
    </row>
    <row r="14" spans="1:2" x14ac:dyDescent="0.3">
      <c r="A14" s="30" t="s">
        <v>1434</v>
      </c>
      <c r="B14" s="7">
        <v>944743.61951999995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C6D86-E9DE-46BE-8BF5-09C448C8DBF7}">
  <dimension ref="A2:B12"/>
  <sheetViews>
    <sheetView workbookViewId="0">
      <selection activeCell="B7" sqref="B7"/>
    </sheetView>
  </sheetViews>
  <sheetFormatPr defaultRowHeight="14.4" x14ac:dyDescent="0.3"/>
  <cols>
    <col min="1" max="1" width="10.21875" bestFit="1" customWidth="1"/>
    <col min="2" max="2" width="23.44140625" bestFit="1" customWidth="1"/>
  </cols>
  <sheetData>
    <row r="2" spans="1:2" x14ac:dyDescent="0.3">
      <c r="A2" t="s">
        <v>1433</v>
      </c>
      <c r="B2" t="s">
        <v>1476</v>
      </c>
    </row>
    <row r="3" spans="1:2" x14ac:dyDescent="0.3">
      <c r="A3" s="30" t="s">
        <v>970</v>
      </c>
      <c r="B3" s="7">
        <v>139277.83032000001</v>
      </c>
    </row>
    <row r="4" spans="1:2" x14ac:dyDescent="0.3">
      <c r="A4" s="30" t="s">
        <v>780</v>
      </c>
      <c r="B4" s="7">
        <v>109244</v>
      </c>
    </row>
    <row r="5" spans="1:2" x14ac:dyDescent="0.3">
      <c r="A5" s="30" t="s">
        <v>1154</v>
      </c>
      <c r="B5" s="7">
        <v>102122.94203999999</v>
      </c>
    </row>
    <row r="6" spans="1:2" x14ac:dyDescent="0.3">
      <c r="A6" s="30" t="s">
        <v>908</v>
      </c>
      <c r="B6" s="7">
        <v>92715.25</v>
      </c>
    </row>
    <row r="7" spans="1:2" x14ac:dyDescent="0.3">
      <c r="A7" s="30" t="s">
        <v>873</v>
      </c>
      <c r="B7" s="7">
        <v>87404.929919999995</v>
      </c>
    </row>
    <row r="8" spans="1:2" x14ac:dyDescent="0.3">
      <c r="A8" s="30" t="s">
        <v>898</v>
      </c>
      <c r="B8" s="7">
        <v>85637.740319999997</v>
      </c>
    </row>
    <row r="9" spans="1:2" x14ac:dyDescent="0.3">
      <c r="A9" s="30" t="s">
        <v>1197</v>
      </c>
      <c r="B9" s="7">
        <v>84136.119600000005</v>
      </c>
    </row>
    <row r="10" spans="1:2" x14ac:dyDescent="0.3">
      <c r="A10" s="30" t="s">
        <v>1095</v>
      </c>
      <c r="B10" s="7">
        <v>82514.711519999997</v>
      </c>
    </row>
    <row r="11" spans="1:2" x14ac:dyDescent="0.3">
      <c r="A11" s="30" t="s">
        <v>1344</v>
      </c>
      <c r="B11" s="7">
        <v>82141.339799999987</v>
      </c>
    </row>
    <row r="12" spans="1:2" x14ac:dyDescent="0.3">
      <c r="A12" s="30" t="s">
        <v>1009</v>
      </c>
      <c r="B12" s="7">
        <v>79548.755999999994</v>
      </c>
    </row>
  </sheetData>
  <conditionalFormatting sqref="B3:B12">
    <cfRule type="top10" dxfId="1" priority="1" rank="10"/>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14666-BA4B-400D-B6D2-C68F86A722CA}">
  <dimension ref="A3:C9"/>
  <sheetViews>
    <sheetView workbookViewId="0">
      <selection activeCell="L20" sqref="L20"/>
    </sheetView>
  </sheetViews>
  <sheetFormatPr defaultRowHeight="14.4" x14ac:dyDescent="0.3"/>
  <cols>
    <col min="1" max="1" width="12.5546875" bestFit="1" customWidth="1"/>
    <col min="2" max="2" width="24.5546875" bestFit="1" customWidth="1"/>
    <col min="3" max="3" width="21.88671875" bestFit="1" customWidth="1"/>
  </cols>
  <sheetData>
    <row r="3" spans="1:3" x14ac:dyDescent="0.3">
      <c r="A3" s="29" t="s">
        <v>1433</v>
      </c>
      <c r="B3" t="s">
        <v>1476</v>
      </c>
      <c r="C3" t="s">
        <v>1475</v>
      </c>
    </row>
    <row r="4" spans="1:3" x14ac:dyDescent="0.3">
      <c r="A4" s="30" t="s">
        <v>710</v>
      </c>
      <c r="B4" s="7">
        <v>2700246.8778299997</v>
      </c>
      <c r="C4" s="7">
        <v>958937.54782999982</v>
      </c>
    </row>
    <row r="5" spans="1:3" x14ac:dyDescent="0.3">
      <c r="A5" s="30" t="s">
        <v>709</v>
      </c>
      <c r="B5" s="7">
        <v>2038525.2710399996</v>
      </c>
      <c r="C5" s="7">
        <v>632067.3410400002</v>
      </c>
    </row>
    <row r="6" spans="1:3" x14ac:dyDescent="0.3">
      <c r="A6" s="30" t="s">
        <v>708</v>
      </c>
      <c r="B6" s="7">
        <v>2046341.4658799998</v>
      </c>
      <c r="C6" s="7">
        <v>521734.3158800003</v>
      </c>
    </row>
    <row r="7" spans="1:3" x14ac:dyDescent="0.3">
      <c r="A7" s="30" t="s">
        <v>707</v>
      </c>
      <c r="B7" s="7">
        <v>2131682.1630999995</v>
      </c>
      <c r="C7" s="7">
        <v>757285.30310000048</v>
      </c>
    </row>
    <row r="8" spans="1:3" x14ac:dyDescent="0.3">
      <c r="A8" s="30" t="s">
        <v>706</v>
      </c>
      <c r="B8" s="7">
        <v>2012049.9386499992</v>
      </c>
      <c r="C8" s="7">
        <v>531073.49864999996</v>
      </c>
    </row>
    <row r="9" spans="1:3" x14ac:dyDescent="0.3">
      <c r="A9" s="30" t="s">
        <v>1434</v>
      </c>
      <c r="B9" s="7">
        <v>10928845.716499997</v>
      </c>
      <c r="C9" s="7">
        <v>3401098.0065000006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0"/>
  <sheetViews>
    <sheetView topLeftCell="A23" workbookViewId="0">
      <selection activeCell="A25" sqref="A25"/>
    </sheetView>
  </sheetViews>
  <sheetFormatPr defaultColWidth="9.109375" defaultRowHeight="14.4" x14ac:dyDescent="0.3"/>
  <cols>
    <col min="1" max="1" width="206.6640625" customWidth="1"/>
    <col min="2" max="2" width="54.44140625" customWidth="1"/>
    <col min="3" max="3" width="40.77734375" customWidth="1"/>
    <col min="4" max="4" width="140.21875" customWidth="1"/>
    <col min="7" max="7" width="24.6640625" customWidth="1"/>
    <col min="8" max="8" width="18.88671875" customWidth="1"/>
    <col min="10" max="10" width="18" customWidth="1"/>
    <col min="11" max="11" width="87.109375" customWidth="1"/>
  </cols>
  <sheetData>
    <row r="1" spans="1:11" ht="37.5" customHeight="1" x14ac:dyDescent="0.3">
      <c r="A1" s="10" t="s">
        <v>1419</v>
      </c>
      <c r="B1" s="10"/>
      <c r="C1" s="10"/>
      <c r="D1" s="10"/>
      <c r="E1" s="10"/>
      <c r="F1" s="10"/>
      <c r="G1" s="10"/>
    </row>
    <row r="2" spans="1:11" x14ac:dyDescent="0.3">
      <c r="A2" s="11" t="s">
        <v>1428</v>
      </c>
    </row>
    <row r="3" spans="1:11" ht="45" customHeight="1" x14ac:dyDescent="0.3">
      <c r="A3" s="19" t="s">
        <v>1368</v>
      </c>
      <c r="B3" s="11"/>
    </row>
    <row r="4" spans="1:11" x14ac:dyDescent="0.3">
      <c r="A4" s="15" t="s">
        <v>1369</v>
      </c>
    </row>
    <row r="5" spans="1:11" x14ac:dyDescent="0.3">
      <c r="A5" s="20" t="s">
        <v>1429</v>
      </c>
    </row>
    <row r="6" spans="1:11" x14ac:dyDescent="0.3">
      <c r="A6" s="9" t="s">
        <v>1427</v>
      </c>
      <c r="D6" s="12"/>
      <c r="E6" s="12"/>
    </row>
    <row r="7" spans="1:11" x14ac:dyDescent="0.3">
      <c r="A7" s="13" t="s">
        <v>1421</v>
      </c>
      <c r="B7" s="13"/>
      <c r="C7" s="13"/>
      <c r="D7" s="13"/>
      <c r="E7" s="13"/>
      <c r="F7" s="13"/>
      <c r="G7" s="13"/>
      <c r="H7" s="13"/>
    </row>
    <row r="8" spans="1:11" x14ac:dyDescent="0.3">
      <c r="A8" s="45" t="s">
        <v>1431</v>
      </c>
      <c r="B8" s="45"/>
      <c r="C8" s="45"/>
      <c r="D8" s="45"/>
      <c r="E8" s="45"/>
      <c r="F8" s="45"/>
      <c r="G8" s="45"/>
      <c r="H8" s="45"/>
      <c r="I8" s="45"/>
      <c r="J8" s="45"/>
      <c r="K8" s="45"/>
    </row>
    <row r="9" spans="1:11" x14ac:dyDescent="0.3">
      <c r="A9" s="45" t="s">
        <v>1426</v>
      </c>
      <c r="B9" s="45"/>
      <c r="C9" s="45"/>
      <c r="D9" s="45"/>
    </row>
    <row r="10" spans="1:11" x14ac:dyDescent="0.3">
      <c r="A10" s="45" t="s">
        <v>1424</v>
      </c>
      <c r="B10" s="45"/>
      <c r="C10" s="45"/>
      <c r="D10" s="45"/>
    </row>
    <row r="14" spans="1:11" x14ac:dyDescent="0.3">
      <c r="A14" s="19" t="s">
        <v>1376</v>
      </c>
    </row>
    <row r="15" spans="1:11" x14ac:dyDescent="0.3">
      <c r="A15" t="s">
        <v>1430</v>
      </c>
    </row>
    <row r="16" spans="1:11" x14ac:dyDescent="0.3">
      <c r="A16" t="s">
        <v>1378</v>
      </c>
    </row>
    <row r="17" spans="1:1" x14ac:dyDescent="0.3">
      <c r="A17" t="s">
        <v>1379</v>
      </c>
    </row>
    <row r="18" spans="1:1" x14ac:dyDescent="0.3">
      <c r="A18" t="s">
        <v>1380</v>
      </c>
    </row>
    <row r="21" spans="1:1" x14ac:dyDescent="0.3">
      <c r="A21" t="s">
        <v>1381</v>
      </c>
    </row>
    <row r="22" spans="1:1" ht="27" customHeight="1" x14ac:dyDescent="0.3">
      <c r="A22" t="s">
        <v>1445</v>
      </c>
    </row>
    <row r="23" spans="1:1" x14ac:dyDescent="0.3">
      <c r="A23" t="s">
        <v>1446</v>
      </c>
    </row>
    <row r="24" spans="1:1" x14ac:dyDescent="0.3">
      <c r="A24" t="s">
        <v>1447</v>
      </c>
    </row>
    <row r="25" spans="1:1" x14ac:dyDescent="0.3">
      <c r="A25" t="s">
        <v>1452</v>
      </c>
    </row>
    <row r="28" spans="1:1" x14ac:dyDescent="0.3">
      <c r="A28" t="s">
        <v>1386</v>
      </c>
    </row>
    <row r="29" spans="1:1" x14ac:dyDescent="0.3">
      <c r="A29" t="s">
        <v>1387</v>
      </c>
    </row>
    <row r="30" spans="1:1" x14ac:dyDescent="0.3">
      <c r="A30" t="s">
        <v>1449</v>
      </c>
    </row>
    <row r="31" spans="1:1" x14ac:dyDescent="0.3">
      <c r="A31" t="s">
        <v>1388</v>
      </c>
    </row>
    <row r="32" spans="1:1" x14ac:dyDescent="0.3">
      <c r="A32" t="s">
        <v>1389</v>
      </c>
    </row>
    <row r="33" spans="1:1" x14ac:dyDescent="0.3">
      <c r="A33" t="s">
        <v>1390</v>
      </c>
    </row>
    <row r="34" spans="1:1" x14ac:dyDescent="0.3">
      <c r="A34" t="s">
        <v>1391</v>
      </c>
    </row>
    <row r="35" spans="1:1" x14ac:dyDescent="0.3">
      <c r="A35" t="s">
        <v>1392</v>
      </c>
    </row>
    <row r="36" spans="1:1" x14ac:dyDescent="0.3">
      <c r="A36" t="s">
        <v>1393</v>
      </c>
    </row>
    <row r="37" spans="1:1" x14ac:dyDescent="0.3">
      <c r="A37" t="s">
        <v>1394</v>
      </c>
    </row>
    <row r="38" spans="1:1" x14ac:dyDescent="0.3">
      <c r="A38" t="s">
        <v>1395</v>
      </c>
    </row>
    <row r="39" spans="1:1" x14ac:dyDescent="0.3">
      <c r="A39" t="s">
        <v>1396</v>
      </c>
    </row>
    <row r="40" spans="1:1" x14ac:dyDescent="0.3">
      <c r="A40" t="s">
        <v>1397</v>
      </c>
    </row>
  </sheetData>
  <mergeCells count="3">
    <mergeCell ref="A8:K8"/>
    <mergeCell ref="A10:D10"/>
    <mergeCell ref="A9:D9"/>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0BE61-E917-4A26-AA3E-7C9402A00FB3}">
  <dimension ref="A3:C14"/>
  <sheetViews>
    <sheetView workbookViewId="0">
      <selection activeCell="B4" sqref="B4"/>
    </sheetView>
  </sheetViews>
  <sheetFormatPr defaultRowHeight="14.4" x14ac:dyDescent="0.3"/>
  <cols>
    <col min="1" max="1" width="14.109375" bestFit="1" customWidth="1"/>
    <col min="2" max="2" width="24.21875" bestFit="1" customWidth="1"/>
    <col min="3" max="3" width="15.44140625" bestFit="1" customWidth="1"/>
  </cols>
  <sheetData>
    <row r="3" spans="1:3" x14ac:dyDescent="0.3">
      <c r="A3" s="29" t="s">
        <v>1433</v>
      </c>
      <c r="B3" t="s">
        <v>1474</v>
      </c>
      <c r="C3" t="s">
        <v>1443</v>
      </c>
    </row>
    <row r="4" spans="1:3" x14ac:dyDescent="0.3">
      <c r="A4" s="30" t="s">
        <v>1472</v>
      </c>
      <c r="B4" s="8">
        <v>0.7142857142857143</v>
      </c>
      <c r="C4">
        <v>65</v>
      </c>
    </row>
    <row r="5" spans="1:3" x14ac:dyDescent="0.3">
      <c r="A5" s="31" t="s">
        <v>645</v>
      </c>
      <c r="B5" s="8">
        <v>0.15384615384615385</v>
      </c>
      <c r="C5">
        <v>14</v>
      </c>
    </row>
    <row r="6" spans="1:3" x14ac:dyDescent="0.3">
      <c r="A6" s="31" t="s">
        <v>647</v>
      </c>
      <c r="B6" s="8">
        <v>0.13186813186813187</v>
      </c>
      <c r="C6">
        <v>12</v>
      </c>
    </row>
    <row r="7" spans="1:3" x14ac:dyDescent="0.3">
      <c r="A7" s="31" t="s">
        <v>646</v>
      </c>
      <c r="B7" s="8">
        <v>0.25274725274725274</v>
      </c>
      <c r="C7">
        <v>23</v>
      </c>
    </row>
    <row r="8" spans="1:3" x14ac:dyDescent="0.3">
      <c r="A8" s="31" t="s">
        <v>648</v>
      </c>
      <c r="B8" s="8">
        <v>0.17582417582417584</v>
      </c>
      <c r="C8">
        <v>16</v>
      </c>
    </row>
    <row r="9" spans="1:3" x14ac:dyDescent="0.3">
      <c r="A9" s="30" t="s">
        <v>1473</v>
      </c>
      <c r="B9" s="8">
        <v>0.2857142857142857</v>
      </c>
      <c r="C9">
        <v>26</v>
      </c>
    </row>
    <row r="10" spans="1:3" x14ac:dyDescent="0.3">
      <c r="A10" s="31" t="s">
        <v>645</v>
      </c>
      <c r="B10" s="8">
        <v>8.7912087912087919E-2</v>
      </c>
      <c r="C10">
        <v>8</v>
      </c>
    </row>
    <row r="11" spans="1:3" x14ac:dyDescent="0.3">
      <c r="A11" s="31" t="s">
        <v>647</v>
      </c>
      <c r="B11" s="8">
        <v>6.5934065934065936E-2</v>
      </c>
      <c r="C11">
        <v>6</v>
      </c>
    </row>
    <row r="12" spans="1:3" x14ac:dyDescent="0.3">
      <c r="A12" s="31" t="s">
        <v>646</v>
      </c>
      <c r="B12" s="8">
        <v>5.4945054945054944E-2</v>
      </c>
      <c r="C12">
        <v>5</v>
      </c>
    </row>
    <row r="13" spans="1:3" x14ac:dyDescent="0.3">
      <c r="A13" s="31" t="s">
        <v>648</v>
      </c>
      <c r="B13" s="8">
        <v>7.6923076923076927E-2</v>
      </c>
      <c r="C13">
        <v>7</v>
      </c>
    </row>
    <row r="14" spans="1:3" x14ac:dyDescent="0.3">
      <c r="A14" s="30" t="s">
        <v>1434</v>
      </c>
      <c r="B14" s="8">
        <v>1</v>
      </c>
      <c r="C14">
        <v>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06030-3D9D-4B66-B28C-B5FAE7FD22B0}">
  <dimension ref="A3:G17"/>
  <sheetViews>
    <sheetView topLeftCell="A32" workbookViewId="0">
      <selection activeCell="K22" sqref="K22"/>
    </sheetView>
  </sheetViews>
  <sheetFormatPr defaultRowHeight="14.4" x14ac:dyDescent="0.3"/>
  <cols>
    <col min="1" max="1" width="21.88671875" bestFit="1" customWidth="1"/>
    <col min="2" max="2" width="15.5546875" bestFit="1" customWidth="1"/>
    <col min="3" max="3" width="9.88671875" bestFit="1" customWidth="1"/>
    <col min="4" max="4" width="11.5546875" bestFit="1" customWidth="1"/>
    <col min="5" max="6" width="9.5546875" bestFit="1" customWidth="1"/>
    <col min="7" max="7" width="10.77734375" bestFit="1" customWidth="1"/>
  </cols>
  <sheetData>
    <row r="3" spans="1:7" x14ac:dyDescent="0.3">
      <c r="A3" s="29" t="s">
        <v>1475</v>
      </c>
      <c r="B3" s="29" t="s">
        <v>1438</v>
      </c>
    </row>
    <row r="4" spans="1:7" x14ac:dyDescent="0.3">
      <c r="A4" s="29" t="s">
        <v>1433</v>
      </c>
      <c r="B4" t="s">
        <v>710</v>
      </c>
      <c r="C4" t="s">
        <v>709</v>
      </c>
      <c r="D4" t="s">
        <v>708</v>
      </c>
      <c r="E4" t="s">
        <v>707</v>
      </c>
      <c r="F4" t="s">
        <v>706</v>
      </c>
      <c r="G4" t="s">
        <v>1434</v>
      </c>
    </row>
    <row r="5" spans="1:7" x14ac:dyDescent="0.3">
      <c r="A5" s="30" t="s">
        <v>654</v>
      </c>
      <c r="B5" s="7">
        <v>126313.67767</v>
      </c>
      <c r="C5" s="7">
        <v>86999.591519999987</v>
      </c>
      <c r="D5" s="7">
        <v>31381.503219999995</v>
      </c>
      <c r="E5" s="7">
        <v>66999.955869999976</v>
      </c>
      <c r="F5" s="7">
        <v>39137.676939999998</v>
      </c>
      <c r="G5" s="7">
        <v>350832.4052199999</v>
      </c>
    </row>
    <row r="6" spans="1:7" x14ac:dyDescent="0.3">
      <c r="A6" s="30" t="s">
        <v>652</v>
      </c>
      <c r="B6" s="7">
        <v>87068.557259999987</v>
      </c>
      <c r="C6" s="7">
        <v>46415.50688999999</v>
      </c>
      <c r="D6" s="7">
        <v>31800.796480000008</v>
      </c>
      <c r="E6" s="7">
        <v>116963.90019999999</v>
      </c>
      <c r="F6" s="7">
        <v>7570.6977099999986</v>
      </c>
      <c r="G6" s="7">
        <v>289819.45853999996</v>
      </c>
    </row>
    <row r="7" spans="1:7" x14ac:dyDescent="0.3">
      <c r="A7" s="30" t="s">
        <v>658</v>
      </c>
      <c r="B7" s="7">
        <v>93092.110359999991</v>
      </c>
      <c r="C7" s="7">
        <v>28395.208880000006</v>
      </c>
      <c r="D7" s="7">
        <v>58581.623630000009</v>
      </c>
      <c r="E7" s="7">
        <v>81927.941170000006</v>
      </c>
      <c r="F7" s="7">
        <v>26927.824130000001</v>
      </c>
      <c r="G7" s="7">
        <v>288924.70817</v>
      </c>
    </row>
    <row r="8" spans="1:7" x14ac:dyDescent="0.3">
      <c r="A8" s="30" t="s">
        <v>656</v>
      </c>
      <c r="B8" s="7">
        <v>84038.081150000013</v>
      </c>
      <c r="C8" s="7">
        <v>16707.597269999998</v>
      </c>
      <c r="D8" s="7">
        <v>-15977.402219999985</v>
      </c>
      <c r="E8" s="7">
        <v>34792.921850000013</v>
      </c>
      <c r="F8" s="7">
        <v>53376.508839999995</v>
      </c>
      <c r="G8" s="7">
        <v>172937.70689000003</v>
      </c>
    </row>
    <row r="9" spans="1:7" x14ac:dyDescent="0.3">
      <c r="A9" s="30" t="s">
        <v>655</v>
      </c>
      <c r="B9" s="7">
        <v>144284.61886999998</v>
      </c>
      <c r="C9" s="7">
        <v>42975.15249</v>
      </c>
      <c r="D9" s="7">
        <v>51326.275370000018</v>
      </c>
      <c r="E9" s="7">
        <v>68202.411819999994</v>
      </c>
      <c r="F9" s="7">
        <v>24326.569670000004</v>
      </c>
      <c r="G9" s="7">
        <v>331115.02821999998</v>
      </c>
    </row>
    <row r="10" spans="1:7" x14ac:dyDescent="0.3">
      <c r="A10" s="30" t="s">
        <v>653</v>
      </c>
      <c r="B10" s="7">
        <v>82325.917019999993</v>
      </c>
      <c r="C10" s="7">
        <v>53215.882750000004</v>
      </c>
      <c r="D10" s="7">
        <v>51462.982099999987</v>
      </c>
      <c r="E10" s="7">
        <v>13005.427269999996</v>
      </c>
      <c r="F10" s="7">
        <v>87519.607639999987</v>
      </c>
      <c r="G10" s="7">
        <v>287529.81677999994</v>
      </c>
    </row>
    <row r="11" spans="1:7" x14ac:dyDescent="0.3">
      <c r="A11" s="30" t="s">
        <v>651</v>
      </c>
      <c r="B11" s="7">
        <v>53799.451199999981</v>
      </c>
      <c r="C11" s="7">
        <v>69535.65436</v>
      </c>
      <c r="D11" s="7">
        <v>38547.947820000009</v>
      </c>
      <c r="E11" s="7">
        <v>54109.021249999976</v>
      </c>
      <c r="F11" s="7">
        <v>38811.128069999999</v>
      </c>
      <c r="G11" s="7">
        <v>254803.20269999999</v>
      </c>
    </row>
    <row r="12" spans="1:7" x14ac:dyDescent="0.3">
      <c r="A12" s="30" t="s">
        <v>649</v>
      </c>
      <c r="B12" s="7">
        <v>113946.29336999996</v>
      </c>
      <c r="C12" s="7">
        <v>58662.089660000005</v>
      </c>
      <c r="D12" s="7">
        <v>2699.9740400000014</v>
      </c>
      <c r="E12" s="7">
        <v>50056.937190000011</v>
      </c>
      <c r="F12" s="7">
        <v>50530.408349999969</v>
      </c>
      <c r="G12" s="7">
        <v>275895.70260999998</v>
      </c>
    </row>
    <row r="13" spans="1:7" x14ac:dyDescent="0.3">
      <c r="A13" s="30" t="s">
        <v>650</v>
      </c>
      <c r="B13" s="7">
        <v>22534.407599999999</v>
      </c>
      <c r="C13" s="7">
        <v>39872.953740000012</v>
      </c>
      <c r="D13" s="7">
        <v>66637.258709999995</v>
      </c>
      <c r="E13" s="7">
        <v>85419.948399999994</v>
      </c>
      <c r="F13" s="7">
        <v>67499.278460000001</v>
      </c>
      <c r="G13" s="7">
        <v>281963.84690999996</v>
      </c>
    </row>
    <row r="14" spans="1:7" x14ac:dyDescent="0.3">
      <c r="A14" s="30" t="s">
        <v>660</v>
      </c>
      <c r="B14" s="7">
        <v>41847.490330000001</v>
      </c>
      <c r="C14" s="7">
        <v>93507.308669999999</v>
      </c>
      <c r="D14" s="7">
        <v>95502.071810000009</v>
      </c>
      <c r="E14" s="7">
        <v>9977.0606799999987</v>
      </c>
      <c r="F14" s="7">
        <v>38970.370489999994</v>
      </c>
      <c r="G14" s="7">
        <v>279804.30197999999</v>
      </c>
    </row>
    <row r="15" spans="1:7" x14ac:dyDescent="0.3">
      <c r="A15" s="30" t="s">
        <v>657</v>
      </c>
      <c r="B15" s="7">
        <v>64394.252020000014</v>
      </c>
      <c r="C15" s="7">
        <v>53896.808899999989</v>
      </c>
      <c r="D15" s="7">
        <v>76343.937099999981</v>
      </c>
      <c r="E15" s="7">
        <v>97071.829100000003</v>
      </c>
      <c r="F15" s="7">
        <v>74076.093779999981</v>
      </c>
      <c r="G15" s="7">
        <v>365782.92090000003</v>
      </c>
    </row>
    <row r="16" spans="1:7" x14ac:dyDescent="0.3">
      <c r="A16" s="30" t="s">
        <v>659</v>
      </c>
      <c r="B16" s="7">
        <v>45292.690979999992</v>
      </c>
      <c r="C16" s="7">
        <v>41883.585910000002</v>
      </c>
      <c r="D16" s="7">
        <v>33427.347820000003</v>
      </c>
      <c r="E16" s="7">
        <v>78757.948300000004</v>
      </c>
      <c r="F16" s="7">
        <v>22327.334569999999</v>
      </c>
      <c r="G16" s="7">
        <v>221688.90758</v>
      </c>
    </row>
    <row r="17" spans="1:7" x14ac:dyDescent="0.3">
      <c r="A17" s="30" t="s">
        <v>1434</v>
      </c>
      <c r="B17" s="7">
        <v>958937.54783000005</v>
      </c>
      <c r="C17" s="7">
        <v>632067.34103999997</v>
      </c>
      <c r="D17" s="7">
        <v>521734.31588000001</v>
      </c>
      <c r="E17" s="7">
        <v>757285.30310000002</v>
      </c>
      <c r="F17" s="7">
        <v>531073.49864999996</v>
      </c>
      <c r="G17" s="7">
        <v>3401098.0064999997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21876-3A23-4FD8-979D-42065B099C98}">
  <dimension ref="B1:B93"/>
  <sheetViews>
    <sheetView workbookViewId="0">
      <selection activeCell="T8" sqref="T8"/>
    </sheetView>
  </sheetViews>
  <sheetFormatPr defaultRowHeight="14.4" x14ac:dyDescent="0.3"/>
  <cols>
    <col min="2" max="2" width="11.5546875" bestFit="1" customWidth="1"/>
  </cols>
  <sheetData>
    <row r="1" spans="2:2" x14ac:dyDescent="0.3">
      <c r="B1" s="23" t="s">
        <v>1450</v>
      </c>
    </row>
    <row r="2" spans="2:2" x14ac:dyDescent="0.3">
      <c r="B2" s="8">
        <v>0.22600000000000001</v>
      </c>
    </row>
    <row r="3" spans="2:2" x14ac:dyDescent="0.3">
      <c r="B3" s="8">
        <v>0.20699999999999999</v>
      </c>
    </row>
    <row r="4" spans="2:2" x14ac:dyDescent="0.3">
      <c r="B4" s="8">
        <v>0.21099999999999999</v>
      </c>
    </row>
    <row r="5" spans="2:2" x14ac:dyDescent="0.3">
      <c r="B5" s="8">
        <v>0.21199999999999999</v>
      </c>
    </row>
    <row r="6" spans="2:2" x14ac:dyDescent="0.3">
      <c r="B6" s="8">
        <v>0.23699999999999999</v>
      </c>
    </row>
    <row r="7" spans="2:2" x14ac:dyDescent="0.3">
      <c r="B7" s="8">
        <v>0.20799999999999999</v>
      </c>
    </row>
    <row r="8" spans="2:2" x14ac:dyDescent="0.3">
      <c r="B8" s="8">
        <v>0.21199999999999999</v>
      </c>
    </row>
    <row r="9" spans="2:2" x14ac:dyDescent="0.3">
      <c r="B9" s="8">
        <v>0.248</v>
      </c>
    </row>
    <row r="10" spans="2:2" x14ac:dyDescent="0.3">
      <c r="B10" s="8">
        <v>0.22500000000000001</v>
      </c>
    </row>
    <row r="11" spans="2:2" x14ac:dyDescent="0.3">
      <c r="B11" s="8">
        <v>0.20899999999999999</v>
      </c>
    </row>
    <row r="12" spans="2:2" x14ac:dyDescent="0.3">
      <c r="B12" s="8">
        <v>0.23499999999999999</v>
      </c>
    </row>
    <row r="13" spans="2:2" x14ac:dyDescent="0.3">
      <c r="B13" s="8">
        <v>0.218</v>
      </c>
    </row>
    <row r="14" spans="2:2" x14ac:dyDescent="0.3">
      <c r="B14" s="8">
        <v>0.222</v>
      </c>
    </row>
    <row r="15" spans="2:2" x14ac:dyDescent="0.3">
      <c r="B15" s="8">
        <v>0.216</v>
      </c>
    </row>
    <row r="16" spans="2:2" x14ac:dyDescent="0.3">
      <c r="B16" s="8">
        <v>0.20499999999999999</v>
      </c>
    </row>
    <row r="17" spans="2:2" x14ac:dyDescent="0.3">
      <c r="B17" s="8">
        <v>0.23</v>
      </c>
    </row>
    <row r="18" spans="2:2" x14ac:dyDescent="0.3">
      <c r="B18" s="8">
        <v>0.21099999999999999</v>
      </c>
    </row>
    <row r="19" spans="2:2" x14ac:dyDescent="0.3">
      <c r="B19" s="8">
        <v>0.22900000000000001</v>
      </c>
    </row>
    <row r="20" spans="2:2" x14ac:dyDescent="0.3">
      <c r="B20" s="8">
        <v>0.25700000000000001</v>
      </c>
    </row>
    <row r="21" spans="2:2" x14ac:dyDescent="0.3">
      <c r="B21" s="8">
        <v>0.216</v>
      </c>
    </row>
    <row r="22" spans="2:2" x14ac:dyDescent="0.3">
      <c r="B22" s="8">
        <v>0.29299999999999998</v>
      </c>
    </row>
    <row r="23" spans="2:2" x14ac:dyDescent="0.3">
      <c r="B23" s="8">
        <v>0.214</v>
      </c>
    </row>
    <row r="24" spans="2:2" x14ac:dyDescent="0.3">
      <c r="B24" s="8">
        <v>0.314</v>
      </c>
    </row>
    <row r="25" spans="2:2" x14ac:dyDescent="0.3">
      <c r="B25" s="8">
        <v>0.25</v>
      </c>
    </row>
    <row r="26" spans="2:2" x14ac:dyDescent="0.3">
      <c r="B26" s="8">
        <v>0.24299999999999999</v>
      </c>
    </row>
    <row r="27" spans="2:2" x14ac:dyDescent="0.3">
      <c r="B27" s="8">
        <v>0.22600000000000001</v>
      </c>
    </row>
    <row r="28" spans="2:2" x14ac:dyDescent="0.3">
      <c r="B28" s="8">
        <v>0.217</v>
      </c>
    </row>
    <row r="29" spans="2:2" x14ac:dyDescent="0.3">
      <c r="B29" s="8">
        <v>0.245</v>
      </c>
    </row>
    <row r="30" spans="2:2" x14ac:dyDescent="0.3">
      <c r="B30" s="8">
        <v>0.24099999999999999</v>
      </c>
    </row>
    <row r="31" spans="2:2" x14ac:dyDescent="0.3">
      <c r="B31" s="8">
        <v>0.23899999999999999</v>
      </c>
    </row>
    <row r="32" spans="2:2" x14ac:dyDescent="0.3">
      <c r="B32" s="8">
        <v>0.24099999999999999</v>
      </c>
    </row>
    <row r="33" spans="2:2" x14ac:dyDescent="0.3">
      <c r="B33" s="8">
        <v>0.254</v>
      </c>
    </row>
    <row r="34" spans="2:2" x14ac:dyDescent="0.3">
      <c r="B34" s="8">
        <v>0.35699999999999998</v>
      </c>
    </row>
    <row r="35" spans="2:2" x14ac:dyDescent="0.3">
      <c r="B35" s="8">
        <v>0.25600000000000001</v>
      </c>
    </row>
    <row r="36" spans="2:2" x14ac:dyDescent="0.3">
      <c r="B36" s="8">
        <v>0.27200000000000002</v>
      </c>
    </row>
    <row r="37" spans="2:2" x14ac:dyDescent="0.3">
      <c r="B37" s="8">
        <v>0.26100000000000001</v>
      </c>
    </row>
    <row r="38" spans="2:2" x14ac:dyDescent="0.3">
      <c r="B38" s="8">
        <v>0.56499999999999995</v>
      </c>
    </row>
    <row r="39" spans="2:2" x14ac:dyDescent="0.3">
      <c r="B39" s="8">
        <v>0.28199999999999997</v>
      </c>
    </row>
    <row r="40" spans="2:2" x14ac:dyDescent="0.3">
      <c r="B40" s="8">
        <v>0.29899999999999999</v>
      </c>
    </row>
    <row r="41" spans="2:2" x14ac:dyDescent="0.3">
      <c r="B41" s="8">
        <v>0.24</v>
      </c>
    </row>
    <row r="42" spans="2:2" x14ac:dyDescent="0.3">
      <c r="B42" s="8">
        <v>0.21</v>
      </c>
    </row>
    <row r="43" spans="2:2" x14ac:dyDescent="0.3">
      <c r="B43" s="8">
        <v>0.27</v>
      </c>
    </row>
    <row r="44" spans="2:2" x14ac:dyDescent="0.3">
      <c r="B44" s="8">
        <v>0.23899999999999999</v>
      </c>
    </row>
    <row r="45" spans="2:2" x14ac:dyDescent="0.3">
      <c r="B45" s="8">
        <v>0.34599999999999997</v>
      </c>
    </row>
    <row r="46" spans="2:2" x14ac:dyDescent="0.3">
      <c r="B46" s="8">
        <v>0.215</v>
      </c>
    </row>
    <row r="47" spans="2:2" x14ac:dyDescent="0.3">
      <c r="B47" s="8">
        <v>0.20699999999999999</v>
      </c>
    </row>
    <row r="48" spans="2:2" x14ac:dyDescent="0.3">
      <c r="B48" s="8">
        <v>0.22</v>
      </c>
    </row>
    <row r="49" spans="2:2" x14ac:dyDescent="0.3">
      <c r="B49" s="8">
        <v>0.317</v>
      </c>
    </row>
    <row r="50" spans="2:2" x14ac:dyDescent="0.3">
      <c r="B50" s="8">
        <v>0.216</v>
      </c>
    </row>
    <row r="51" spans="2:2" x14ac:dyDescent="0.3">
      <c r="B51" s="8">
        <v>0.20499999999999999</v>
      </c>
    </row>
    <row r="52" spans="2:2" x14ac:dyDescent="0.3">
      <c r="B52" s="8">
        <v>0.20300000000000001</v>
      </c>
    </row>
    <row r="53" spans="2:2" x14ac:dyDescent="0.3">
      <c r="B53" s="8">
        <v>0.22500000000000001</v>
      </c>
    </row>
    <row r="54" spans="2:2" x14ac:dyDescent="0.3">
      <c r="B54" s="8">
        <v>0.26300000000000001</v>
      </c>
    </row>
    <row r="55" spans="2:2" x14ac:dyDescent="0.3">
      <c r="B55" s="8">
        <v>0.23799999999999999</v>
      </c>
    </row>
    <row r="56" spans="2:2" x14ac:dyDescent="0.3">
      <c r="B56" s="8">
        <v>0.23499999999999999</v>
      </c>
    </row>
    <row r="57" spans="2:2" x14ac:dyDescent="0.3">
      <c r="B57" s="8">
        <v>0.20399999999999999</v>
      </c>
    </row>
    <row r="58" spans="2:2" x14ac:dyDescent="0.3">
      <c r="B58" s="8">
        <v>0.26600000000000001</v>
      </c>
    </row>
    <row r="59" spans="2:2" x14ac:dyDescent="0.3">
      <c r="B59" s="8">
        <v>0.20100000000000001</v>
      </c>
    </row>
    <row r="60" spans="2:2" x14ac:dyDescent="0.3">
      <c r="B60" s="8">
        <v>0.20300000000000001</v>
      </c>
    </row>
    <row r="61" spans="2:2" x14ac:dyDescent="0.3">
      <c r="B61" s="8">
        <v>0.24299999999999999</v>
      </c>
    </row>
    <row r="62" spans="2:2" x14ac:dyDescent="0.3">
      <c r="B62" s="8">
        <v>0.25800000000000001</v>
      </c>
    </row>
    <row r="63" spans="2:2" x14ac:dyDescent="0.3">
      <c r="B63" s="8">
        <v>0.23599999999999999</v>
      </c>
    </row>
    <row r="64" spans="2:2" x14ac:dyDescent="0.3">
      <c r="B64" s="8">
        <v>0.215</v>
      </c>
    </row>
    <row r="65" spans="2:2" x14ac:dyDescent="0.3">
      <c r="B65" s="8">
        <v>0.23300000000000001</v>
      </c>
    </row>
    <row r="66" spans="2:2" x14ac:dyDescent="0.3">
      <c r="B66" s="8">
        <v>0.21099999999999999</v>
      </c>
    </row>
    <row r="67" spans="2:2" x14ac:dyDescent="0.3">
      <c r="B67" s="8">
        <v>0.21199999999999999</v>
      </c>
    </row>
    <row r="68" spans="2:2" x14ac:dyDescent="0.3">
      <c r="B68" s="8">
        <v>0.255</v>
      </c>
    </row>
    <row r="69" spans="2:2" x14ac:dyDescent="0.3">
      <c r="B69" s="8">
        <v>0.254</v>
      </c>
    </row>
    <row r="70" spans="2:2" x14ac:dyDescent="0.3">
      <c r="B70" s="8">
        <v>0.254</v>
      </c>
    </row>
    <row r="71" spans="2:2" x14ac:dyDescent="0.3">
      <c r="B71" s="8">
        <v>0.245</v>
      </c>
    </row>
    <row r="72" spans="2:2" x14ac:dyDescent="0.3">
      <c r="B72" s="8">
        <v>0.25900000000000001</v>
      </c>
    </row>
    <row r="73" spans="2:2" x14ac:dyDescent="0.3">
      <c r="B73" s="8">
        <v>0.26500000000000001</v>
      </c>
    </row>
    <row r="74" spans="2:2" x14ac:dyDescent="0.3">
      <c r="B74" s="8">
        <v>0.22</v>
      </c>
    </row>
    <row r="75" spans="2:2" x14ac:dyDescent="0.3">
      <c r="B75" s="8">
        <v>0.20300000000000001</v>
      </c>
    </row>
    <row r="76" spans="2:2" x14ac:dyDescent="0.3">
      <c r="B76" s="8">
        <v>0.22900000000000001</v>
      </c>
    </row>
    <row r="77" spans="2:2" x14ac:dyDescent="0.3">
      <c r="B77" s="8">
        <v>0.27800000000000002</v>
      </c>
    </row>
    <row r="78" spans="2:2" x14ac:dyDescent="0.3">
      <c r="B78" s="8">
        <v>0.29199999999999998</v>
      </c>
    </row>
    <row r="79" spans="2:2" x14ac:dyDescent="0.3">
      <c r="B79" s="8">
        <v>0.215</v>
      </c>
    </row>
    <row r="80" spans="2:2" x14ac:dyDescent="0.3">
      <c r="B80" s="8">
        <v>0.24099999999999999</v>
      </c>
    </row>
    <row r="81" spans="2:2" x14ac:dyDescent="0.3">
      <c r="B81" s="8">
        <v>0.25700000000000001</v>
      </c>
    </row>
    <row r="82" spans="2:2" x14ac:dyDescent="0.3">
      <c r="B82" s="8">
        <v>0.34300000000000003</v>
      </c>
    </row>
    <row r="83" spans="2:2" x14ac:dyDescent="0.3">
      <c r="B83" s="8">
        <v>0.20399999999999999</v>
      </c>
    </row>
    <row r="84" spans="2:2" x14ac:dyDescent="0.3">
      <c r="B84" s="8">
        <v>0.255</v>
      </c>
    </row>
    <row r="85" spans="2:2" x14ac:dyDescent="0.3">
      <c r="B85" s="8">
        <v>0.20499999999999999</v>
      </c>
    </row>
    <row r="86" spans="2:2" x14ac:dyDescent="0.3">
      <c r="B86" s="8">
        <v>0.29499999999999998</v>
      </c>
    </row>
    <row r="87" spans="2:2" x14ac:dyDescent="0.3">
      <c r="B87" s="8">
        <v>0.29199999999999998</v>
      </c>
    </row>
    <row r="88" spans="2:2" x14ac:dyDescent="0.3">
      <c r="B88" s="8">
        <v>0.318</v>
      </c>
    </row>
    <row r="89" spans="2:2" x14ac:dyDescent="0.3">
      <c r="B89" s="8">
        <v>0.24299999999999999</v>
      </c>
    </row>
    <row r="90" spans="2:2" x14ac:dyDescent="0.3">
      <c r="B90" s="8">
        <v>0.25</v>
      </c>
    </row>
    <row r="91" spans="2:2" x14ac:dyDescent="0.3">
      <c r="B91" s="8">
        <v>0.23699999999999999</v>
      </c>
    </row>
    <row r="92" spans="2:2" x14ac:dyDescent="0.3">
      <c r="B92" s="8"/>
    </row>
    <row r="93" spans="2:2" x14ac:dyDescent="0.3">
      <c r="B93" s="8"/>
    </row>
  </sheetData>
  <conditionalFormatting sqref="B1:B93">
    <cfRule type="cellIs" dxfId="0" priority="1" operator="greaterThan">
      <formula>0.2</formula>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9222F-1659-44C1-80D4-2282E25A06FC}">
  <dimension ref="A3:B31"/>
  <sheetViews>
    <sheetView workbookViewId="0">
      <selection activeCell="B6" sqref="B6"/>
    </sheetView>
  </sheetViews>
  <sheetFormatPr defaultRowHeight="14.4" x14ac:dyDescent="0.3"/>
  <cols>
    <col min="1" max="1" width="18.77734375" bestFit="1" customWidth="1"/>
    <col min="2" max="2" width="20" bestFit="1" customWidth="1"/>
    <col min="3" max="11" width="12" bestFit="1" customWidth="1"/>
    <col min="12" max="12" width="14.77734375" bestFit="1" customWidth="1"/>
    <col min="13" max="13" width="12" bestFit="1" customWidth="1"/>
    <col min="14" max="14" width="7" bestFit="1" customWidth="1"/>
    <col min="15" max="15" width="12" bestFit="1" customWidth="1"/>
  </cols>
  <sheetData>
    <row r="3" spans="1:2" x14ac:dyDescent="0.3">
      <c r="A3" s="29" t="s">
        <v>1433</v>
      </c>
      <c r="B3" t="s">
        <v>1448</v>
      </c>
    </row>
    <row r="4" spans="1:2" x14ac:dyDescent="0.3">
      <c r="A4" s="30" t="s">
        <v>1494</v>
      </c>
      <c r="B4">
        <v>317426.51057000004</v>
      </c>
    </row>
    <row r="5" spans="1:2" x14ac:dyDescent="0.3">
      <c r="A5" s="31" t="s">
        <v>654</v>
      </c>
      <c r="B5">
        <v>40903.902159999998</v>
      </c>
    </row>
    <row r="6" spans="1:2" x14ac:dyDescent="0.3">
      <c r="A6" s="36" t="s">
        <v>1437</v>
      </c>
      <c r="B6">
        <v>40903.902159999998</v>
      </c>
    </row>
    <row r="7" spans="1:2" x14ac:dyDescent="0.3">
      <c r="A7" s="31" t="s">
        <v>652</v>
      </c>
      <c r="B7">
        <v>8128.5187499999993</v>
      </c>
    </row>
    <row r="8" spans="1:2" x14ac:dyDescent="0.3">
      <c r="A8" s="31" t="s">
        <v>658</v>
      </c>
      <c r="B8">
        <v>1446.9507000000001</v>
      </c>
    </row>
    <row r="9" spans="1:2" x14ac:dyDescent="0.3">
      <c r="A9" s="36" t="s">
        <v>1436</v>
      </c>
      <c r="B9">
        <v>1446.9507000000001</v>
      </c>
    </row>
    <row r="10" spans="1:2" x14ac:dyDescent="0.3">
      <c r="A10" s="31" t="s">
        <v>656</v>
      </c>
      <c r="B10">
        <v>19244.448219999998</v>
      </c>
    </row>
    <row r="11" spans="1:2" x14ac:dyDescent="0.3">
      <c r="A11" s="36" t="s">
        <v>1436</v>
      </c>
      <c r="B11">
        <v>7203.8047000000006</v>
      </c>
    </row>
    <row r="12" spans="1:2" x14ac:dyDescent="0.3">
      <c r="A12" s="36" t="s">
        <v>1437</v>
      </c>
      <c r="B12">
        <v>12040.64352</v>
      </c>
    </row>
    <row r="13" spans="1:2" x14ac:dyDescent="0.3">
      <c r="A13" s="31" t="s">
        <v>655</v>
      </c>
      <c r="B13">
        <v>96020.399160000001</v>
      </c>
    </row>
    <row r="14" spans="1:2" x14ac:dyDescent="0.3">
      <c r="A14" s="36" t="s">
        <v>1435</v>
      </c>
      <c r="B14">
        <v>85637.740319999997</v>
      </c>
    </row>
    <row r="15" spans="1:2" x14ac:dyDescent="0.3">
      <c r="A15" s="36" t="s">
        <v>1437</v>
      </c>
      <c r="B15">
        <v>10382.65884</v>
      </c>
    </row>
    <row r="16" spans="1:2" x14ac:dyDescent="0.3">
      <c r="A16" s="31" t="s">
        <v>653</v>
      </c>
      <c r="B16">
        <v>30983.771159999997</v>
      </c>
    </row>
    <row r="17" spans="1:2" x14ac:dyDescent="0.3">
      <c r="A17" s="36" t="s">
        <v>1435</v>
      </c>
      <c r="B17">
        <v>22044.871499999997</v>
      </c>
    </row>
    <row r="18" spans="1:2" x14ac:dyDescent="0.3">
      <c r="A18" s="36" t="s">
        <v>1436</v>
      </c>
      <c r="B18">
        <v>8938.8996600000009</v>
      </c>
    </row>
    <row r="19" spans="1:2" x14ac:dyDescent="0.3">
      <c r="A19" s="31" t="s">
        <v>651</v>
      </c>
      <c r="B19">
        <v>266.17821999999995</v>
      </c>
    </row>
    <row r="20" spans="1:2" x14ac:dyDescent="0.3">
      <c r="A20" s="36" t="s">
        <v>1437</v>
      </c>
      <c r="B20">
        <v>266.17821999999995</v>
      </c>
    </row>
    <row r="21" spans="1:2" x14ac:dyDescent="0.3">
      <c r="A21" s="31" t="s">
        <v>649</v>
      </c>
      <c r="B21">
        <v>29654.83008</v>
      </c>
    </row>
    <row r="22" spans="1:2" x14ac:dyDescent="0.3">
      <c r="A22" s="36" t="s">
        <v>1436</v>
      </c>
      <c r="B22">
        <v>29654.83008</v>
      </c>
    </row>
    <row r="23" spans="1:2" x14ac:dyDescent="0.3">
      <c r="A23" s="31" t="s">
        <v>657</v>
      </c>
      <c r="B23">
        <v>4132.0325200000007</v>
      </c>
    </row>
    <row r="24" spans="1:2" x14ac:dyDescent="0.3">
      <c r="A24" s="36" t="s">
        <v>1435</v>
      </c>
      <c r="B24">
        <v>4132.0325200000007</v>
      </c>
    </row>
    <row r="25" spans="1:2" x14ac:dyDescent="0.3">
      <c r="A25" s="31" t="s">
        <v>659</v>
      </c>
      <c r="B25">
        <v>86645.479599999991</v>
      </c>
    </row>
    <row r="26" spans="1:2" x14ac:dyDescent="0.3">
      <c r="A26" s="36" t="s">
        <v>1435</v>
      </c>
      <c r="B26">
        <v>68641.63192</v>
      </c>
    </row>
    <row r="27" spans="1:2" x14ac:dyDescent="0.3">
      <c r="A27" s="36" t="s">
        <v>1436</v>
      </c>
      <c r="B27">
        <v>18003.847679999999</v>
      </c>
    </row>
    <row r="28" spans="1:2" x14ac:dyDescent="0.3">
      <c r="A28" s="30" t="s">
        <v>1493</v>
      </c>
      <c r="B28">
        <v>357289.54398999992</v>
      </c>
    </row>
    <row r="29" spans="1:2" x14ac:dyDescent="0.3">
      <c r="A29" s="30" t="s">
        <v>1495</v>
      </c>
      <c r="B29">
        <v>87458.989059999993</v>
      </c>
    </row>
    <row r="30" spans="1:2" x14ac:dyDescent="0.3">
      <c r="A30" s="30" t="s">
        <v>1496</v>
      </c>
      <c r="B30">
        <v>201015.80935999998</v>
      </c>
    </row>
    <row r="31" spans="1:2" x14ac:dyDescent="0.3">
      <c r="A31" s="30" t="s">
        <v>1434</v>
      </c>
      <c r="B31">
        <v>963190.85297999985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E81A0-52A2-47CE-96F9-A0AB2D9F06E3}">
  <dimension ref="A3:B101"/>
  <sheetViews>
    <sheetView topLeftCell="A78" workbookViewId="0">
      <selection activeCell="A66" sqref="A66"/>
    </sheetView>
  </sheetViews>
  <sheetFormatPr defaultRowHeight="14.4" x14ac:dyDescent="0.3"/>
  <cols>
    <col min="1" max="1" width="13.77734375" bestFit="1" customWidth="1"/>
    <col min="2" max="2" width="20" bestFit="1" customWidth="1"/>
    <col min="3" max="3" width="12.21875" bestFit="1" customWidth="1"/>
  </cols>
  <sheetData>
    <row r="3" spans="1:2" x14ac:dyDescent="0.3">
      <c r="A3" s="29" t="s">
        <v>1433</v>
      </c>
      <c r="B3" t="s">
        <v>1448</v>
      </c>
    </row>
    <row r="4" spans="1:2" x14ac:dyDescent="0.3">
      <c r="A4" s="30" t="s">
        <v>732</v>
      </c>
      <c r="B4">
        <v>1331648.9160700005</v>
      </c>
    </row>
    <row r="5" spans="1:2" x14ac:dyDescent="0.3">
      <c r="A5" s="31" t="s">
        <v>1079</v>
      </c>
      <c r="B5" s="43">
        <v>79082.507010000001</v>
      </c>
    </row>
    <row r="6" spans="1:2" x14ac:dyDescent="0.3">
      <c r="A6" s="31" t="s">
        <v>1052</v>
      </c>
      <c r="B6" s="43">
        <v>53034.364139999991</v>
      </c>
    </row>
    <row r="7" spans="1:2" x14ac:dyDescent="0.3">
      <c r="A7" s="31" t="s">
        <v>1287</v>
      </c>
      <c r="B7" s="43">
        <v>46450.26</v>
      </c>
    </row>
    <row r="8" spans="1:2" x14ac:dyDescent="0.3">
      <c r="A8" s="31" t="s">
        <v>1039</v>
      </c>
      <c r="B8" s="43">
        <v>43084.872000000003</v>
      </c>
    </row>
    <row r="9" spans="1:2" x14ac:dyDescent="0.3">
      <c r="A9" s="31" t="s">
        <v>751</v>
      </c>
      <c r="B9" s="43">
        <v>38096.18406</v>
      </c>
    </row>
    <row r="10" spans="1:2" x14ac:dyDescent="0.3">
      <c r="A10" s="31" t="s">
        <v>809</v>
      </c>
      <c r="B10" s="43">
        <v>35396.277799999996</v>
      </c>
    </row>
    <row r="11" spans="1:2" x14ac:dyDescent="0.3">
      <c r="A11" s="31" t="s">
        <v>1093</v>
      </c>
      <c r="B11" s="43">
        <v>35167.7448</v>
      </c>
    </row>
    <row r="12" spans="1:2" x14ac:dyDescent="0.3">
      <c r="A12" s="31" t="s">
        <v>830</v>
      </c>
      <c r="B12" s="43">
        <v>34139.159999999996</v>
      </c>
    </row>
    <row r="13" spans="1:2" x14ac:dyDescent="0.3">
      <c r="A13" s="31" t="s">
        <v>810</v>
      </c>
      <c r="B13" s="43">
        <v>33062.236480000007</v>
      </c>
    </row>
    <row r="14" spans="1:2" x14ac:dyDescent="0.3">
      <c r="A14" s="31" t="s">
        <v>875</v>
      </c>
      <c r="B14" s="43">
        <v>32086.37586</v>
      </c>
    </row>
    <row r="15" spans="1:2" x14ac:dyDescent="0.3">
      <c r="A15" s="31" t="s">
        <v>1174</v>
      </c>
      <c r="B15" s="43">
        <v>31513.085009999999</v>
      </c>
    </row>
    <row r="16" spans="1:2" x14ac:dyDescent="0.3">
      <c r="A16" s="31" t="s">
        <v>940</v>
      </c>
      <c r="B16" s="43">
        <v>28386.015839999996</v>
      </c>
    </row>
    <row r="17" spans="1:2" x14ac:dyDescent="0.3">
      <c r="A17" s="31" t="s">
        <v>1021</v>
      </c>
      <c r="B17" s="43">
        <v>26765.040239999998</v>
      </c>
    </row>
    <row r="18" spans="1:2" x14ac:dyDescent="0.3">
      <c r="A18" s="31" t="s">
        <v>920</v>
      </c>
      <c r="B18" s="43">
        <v>26759.28775</v>
      </c>
    </row>
    <row r="19" spans="1:2" x14ac:dyDescent="0.3">
      <c r="A19" s="31" t="s">
        <v>1085</v>
      </c>
      <c r="B19" s="43">
        <v>26552.60298</v>
      </c>
    </row>
    <row r="20" spans="1:2" x14ac:dyDescent="0.3">
      <c r="A20" s="31" t="s">
        <v>1170</v>
      </c>
      <c r="B20" s="43">
        <v>24278.849280000002</v>
      </c>
    </row>
    <row r="21" spans="1:2" x14ac:dyDescent="0.3">
      <c r="A21" s="31" t="s">
        <v>1141</v>
      </c>
      <c r="B21" s="43">
        <v>23668.560000000001</v>
      </c>
    </row>
    <row r="22" spans="1:2" x14ac:dyDescent="0.3">
      <c r="A22" s="31" t="s">
        <v>1025</v>
      </c>
      <c r="B22" s="43">
        <v>23375.594060000003</v>
      </c>
    </row>
    <row r="23" spans="1:2" x14ac:dyDescent="0.3">
      <c r="A23" s="31" t="s">
        <v>1088</v>
      </c>
      <c r="B23" s="43">
        <v>23195.01828</v>
      </c>
    </row>
    <row r="24" spans="1:2" x14ac:dyDescent="0.3">
      <c r="A24" s="31" t="s">
        <v>1211</v>
      </c>
      <c r="B24" s="43">
        <v>22620.859800000002</v>
      </c>
    </row>
    <row r="25" spans="1:2" x14ac:dyDescent="0.3">
      <c r="A25" s="31" t="s">
        <v>1254</v>
      </c>
      <c r="B25" s="43">
        <v>22526.66</v>
      </c>
    </row>
    <row r="26" spans="1:2" x14ac:dyDescent="0.3">
      <c r="A26" s="31" t="s">
        <v>1269</v>
      </c>
      <c r="B26" s="43">
        <v>20430.771599999996</v>
      </c>
    </row>
    <row r="27" spans="1:2" x14ac:dyDescent="0.3">
      <c r="A27" s="31" t="s">
        <v>1284</v>
      </c>
      <c r="B27" s="43">
        <v>20163.409200000002</v>
      </c>
    </row>
    <row r="28" spans="1:2" x14ac:dyDescent="0.3">
      <c r="A28" s="31" t="s">
        <v>826</v>
      </c>
      <c r="B28" s="43">
        <v>20079.343620000003</v>
      </c>
    </row>
    <row r="29" spans="1:2" x14ac:dyDescent="0.3">
      <c r="A29" s="31" t="s">
        <v>1183</v>
      </c>
      <c r="B29" s="43">
        <v>19628.476999999999</v>
      </c>
    </row>
    <row r="30" spans="1:2" x14ac:dyDescent="0.3">
      <c r="A30" s="31" t="s">
        <v>1023</v>
      </c>
      <c r="B30" s="43">
        <v>19066.045319999997</v>
      </c>
    </row>
    <row r="31" spans="1:2" x14ac:dyDescent="0.3">
      <c r="A31" s="31" t="s">
        <v>994</v>
      </c>
      <c r="B31" s="43">
        <v>17964.4038</v>
      </c>
    </row>
    <row r="32" spans="1:2" x14ac:dyDescent="0.3">
      <c r="A32" s="31" t="s">
        <v>942</v>
      </c>
      <c r="B32" s="43">
        <v>17847.907199999998</v>
      </c>
    </row>
    <row r="33" spans="1:2" x14ac:dyDescent="0.3">
      <c r="A33" s="31" t="s">
        <v>1073</v>
      </c>
      <c r="B33" s="43">
        <v>17067.938400000003</v>
      </c>
    </row>
    <row r="34" spans="1:2" x14ac:dyDescent="0.3">
      <c r="A34" s="31" t="s">
        <v>799</v>
      </c>
      <c r="B34" s="43">
        <v>16013.681599999998</v>
      </c>
    </row>
    <row r="35" spans="1:2" x14ac:dyDescent="0.3">
      <c r="A35" s="31" t="s">
        <v>743</v>
      </c>
      <c r="B35" s="43">
        <v>16006.14344</v>
      </c>
    </row>
    <row r="36" spans="1:2" x14ac:dyDescent="0.3">
      <c r="A36" s="31" t="s">
        <v>1285</v>
      </c>
      <c r="B36" s="43">
        <v>15860.782080000001</v>
      </c>
    </row>
    <row r="37" spans="1:2" x14ac:dyDescent="0.3">
      <c r="A37" s="31" t="s">
        <v>1278</v>
      </c>
      <c r="B37" s="43">
        <v>15530.929919999999</v>
      </c>
    </row>
    <row r="38" spans="1:2" x14ac:dyDescent="0.3">
      <c r="A38" s="31" t="s">
        <v>783</v>
      </c>
      <c r="B38" s="43">
        <v>14894.903999999999</v>
      </c>
    </row>
    <row r="39" spans="1:2" x14ac:dyDescent="0.3">
      <c r="A39" s="31" t="s">
        <v>1187</v>
      </c>
      <c r="B39" s="43">
        <v>14752.706080000002</v>
      </c>
    </row>
    <row r="40" spans="1:2" x14ac:dyDescent="0.3">
      <c r="A40" s="31" t="s">
        <v>903</v>
      </c>
      <c r="B40" s="43">
        <v>14549.029120000001</v>
      </c>
    </row>
    <row r="41" spans="1:2" x14ac:dyDescent="0.3">
      <c r="A41" s="31" t="s">
        <v>1127</v>
      </c>
      <c r="B41" s="43">
        <v>14431.738420000001</v>
      </c>
    </row>
    <row r="42" spans="1:2" x14ac:dyDescent="0.3">
      <c r="A42" s="31" t="s">
        <v>1337</v>
      </c>
      <c r="B42" s="43">
        <v>13856.52411</v>
      </c>
    </row>
    <row r="43" spans="1:2" x14ac:dyDescent="0.3">
      <c r="A43" s="31" t="s">
        <v>880</v>
      </c>
      <c r="B43" s="43">
        <v>13321.14</v>
      </c>
    </row>
    <row r="44" spans="1:2" x14ac:dyDescent="0.3">
      <c r="A44" s="31" t="s">
        <v>1290</v>
      </c>
      <c r="B44" s="43">
        <v>13108.78584</v>
      </c>
    </row>
    <row r="45" spans="1:2" x14ac:dyDescent="0.3">
      <c r="A45" s="31" t="s">
        <v>1032</v>
      </c>
      <c r="B45" s="43">
        <v>12699.28</v>
      </c>
    </row>
    <row r="46" spans="1:2" x14ac:dyDescent="0.3">
      <c r="A46" s="31" t="s">
        <v>1320</v>
      </c>
      <c r="B46" s="43">
        <v>12040.64352</v>
      </c>
    </row>
    <row r="47" spans="1:2" x14ac:dyDescent="0.3">
      <c r="A47" s="31" t="s">
        <v>1226</v>
      </c>
      <c r="B47" s="43">
        <v>11859.695119999998</v>
      </c>
    </row>
    <row r="48" spans="1:2" x14ac:dyDescent="0.3">
      <c r="A48" s="31" t="s">
        <v>1045</v>
      </c>
      <c r="B48" s="43">
        <v>11283.400799999999</v>
      </c>
    </row>
    <row r="49" spans="1:2" x14ac:dyDescent="0.3">
      <c r="A49" s="31" t="s">
        <v>887</v>
      </c>
      <c r="B49" s="43">
        <v>11015.510400000003</v>
      </c>
    </row>
    <row r="50" spans="1:2" x14ac:dyDescent="0.3">
      <c r="A50" s="31" t="s">
        <v>755</v>
      </c>
      <c r="B50" s="43">
        <v>10936.992</v>
      </c>
    </row>
    <row r="51" spans="1:2" x14ac:dyDescent="0.3">
      <c r="A51" s="31" t="s">
        <v>1148</v>
      </c>
      <c r="B51" s="43">
        <v>10893.6232</v>
      </c>
    </row>
    <row r="52" spans="1:2" x14ac:dyDescent="0.3">
      <c r="A52" s="31" t="s">
        <v>1354</v>
      </c>
      <c r="B52" s="43">
        <v>10693.88488</v>
      </c>
    </row>
    <row r="53" spans="1:2" x14ac:dyDescent="0.3">
      <c r="A53" s="31" t="s">
        <v>803</v>
      </c>
      <c r="B53" s="43">
        <v>10647.727199999999</v>
      </c>
    </row>
    <row r="54" spans="1:2" x14ac:dyDescent="0.3">
      <c r="A54" s="31" t="s">
        <v>918</v>
      </c>
      <c r="B54" s="43">
        <v>10388.429999999998</v>
      </c>
    </row>
    <row r="55" spans="1:2" x14ac:dyDescent="0.3">
      <c r="A55" s="31" t="s">
        <v>891</v>
      </c>
      <c r="B55" s="43">
        <v>10382.65884</v>
      </c>
    </row>
    <row r="56" spans="1:2" x14ac:dyDescent="0.3">
      <c r="A56" s="31" t="s">
        <v>1058</v>
      </c>
      <c r="B56" s="43">
        <v>9829.0483199999999</v>
      </c>
    </row>
    <row r="57" spans="1:2" x14ac:dyDescent="0.3">
      <c r="A57" s="31" t="s">
        <v>1321</v>
      </c>
      <c r="B57" s="43">
        <v>9022.35</v>
      </c>
    </row>
    <row r="58" spans="1:2" x14ac:dyDescent="0.3">
      <c r="A58" s="31" t="s">
        <v>1230</v>
      </c>
      <c r="B58" s="43">
        <v>8644.6696000000011</v>
      </c>
    </row>
    <row r="59" spans="1:2" x14ac:dyDescent="0.3">
      <c r="A59" s="31" t="s">
        <v>758</v>
      </c>
      <c r="B59" s="43">
        <v>8596.2905599999995</v>
      </c>
    </row>
    <row r="60" spans="1:2" x14ac:dyDescent="0.3">
      <c r="A60" s="31" t="s">
        <v>1325</v>
      </c>
      <c r="B60" s="43">
        <v>8366.02</v>
      </c>
    </row>
    <row r="61" spans="1:2" x14ac:dyDescent="0.3">
      <c r="A61" s="31" t="s">
        <v>1149</v>
      </c>
      <c r="B61" s="43">
        <v>7969.4615000000003</v>
      </c>
    </row>
    <row r="62" spans="1:2" x14ac:dyDescent="0.3">
      <c r="A62" s="31" t="s">
        <v>947</v>
      </c>
      <c r="B62" s="43">
        <v>7854.6693599999999</v>
      </c>
    </row>
    <row r="63" spans="1:2" x14ac:dyDescent="0.3">
      <c r="A63" s="31" t="s">
        <v>915</v>
      </c>
      <c r="B63" s="43">
        <v>7689.4560000000001</v>
      </c>
    </row>
    <row r="64" spans="1:2" x14ac:dyDescent="0.3">
      <c r="A64" s="31" t="s">
        <v>747</v>
      </c>
      <c r="B64" s="43">
        <v>7578.84</v>
      </c>
    </row>
    <row r="65" spans="1:2" x14ac:dyDescent="0.3">
      <c r="A65" s="31" t="s">
        <v>992</v>
      </c>
      <c r="B65" s="43">
        <v>7568.9632000000001</v>
      </c>
    </row>
    <row r="66" spans="1:2" x14ac:dyDescent="0.3">
      <c r="A66" s="31" t="s">
        <v>1224</v>
      </c>
      <c r="B66" s="43">
        <v>7507.4514899999995</v>
      </c>
    </row>
    <row r="67" spans="1:2" x14ac:dyDescent="0.3">
      <c r="A67" s="31" t="s">
        <v>1026</v>
      </c>
      <c r="B67" s="43">
        <v>7382.1450000000004</v>
      </c>
    </row>
    <row r="68" spans="1:2" x14ac:dyDescent="0.3">
      <c r="A68" s="31" t="s">
        <v>1003</v>
      </c>
      <c r="B68" s="43">
        <v>7235.2134999999998</v>
      </c>
    </row>
    <row r="69" spans="1:2" x14ac:dyDescent="0.3">
      <c r="A69" s="31" t="s">
        <v>1065</v>
      </c>
      <c r="B69" s="43">
        <v>7105.3528000000006</v>
      </c>
    </row>
    <row r="70" spans="1:2" x14ac:dyDescent="0.3">
      <c r="A70" s="31" t="s">
        <v>1309</v>
      </c>
      <c r="B70" s="43">
        <v>6732.4334000000008</v>
      </c>
    </row>
    <row r="71" spans="1:2" x14ac:dyDescent="0.3">
      <c r="A71" s="31" t="s">
        <v>1010</v>
      </c>
      <c r="B71" s="43">
        <v>6066.54648</v>
      </c>
    </row>
    <row r="72" spans="1:2" x14ac:dyDescent="0.3">
      <c r="A72" s="31" t="s">
        <v>836</v>
      </c>
      <c r="B72" s="43">
        <v>5960.3340000000007</v>
      </c>
    </row>
    <row r="73" spans="1:2" x14ac:dyDescent="0.3">
      <c r="A73" s="31" t="s">
        <v>1066</v>
      </c>
      <c r="B73" s="43">
        <v>5610.0923999999995</v>
      </c>
    </row>
    <row r="74" spans="1:2" x14ac:dyDescent="0.3">
      <c r="A74" s="31" t="s">
        <v>960</v>
      </c>
      <c r="B74" s="43">
        <v>5533.6230000000005</v>
      </c>
    </row>
    <row r="75" spans="1:2" x14ac:dyDescent="0.3">
      <c r="A75" s="31" t="s">
        <v>790</v>
      </c>
      <c r="B75" s="44">
        <v>4790.1068000000005</v>
      </c>
    </row>
    <row r="76" spans="1:2" x14ac:dyDescent="0.3">
      <c r="A76" s="31" t="s">
        <v>1274</v>
      </c>
      <c r="B76" s="44">
        <v>4737.2198399999997</v>
      </c>
    </row>
    <row r="77" spans="1:2" x14ac:dyDescent="0.3">
      <c r="A77" s="31" t="s">
        <v>1302</v>
      </c>
      <c r="B77" s="44">
        <v>4577.1480000000001</v>
      </c>
    </row>
    <row r="78" spans="1:2" x14ac:dyDescent="0.3">
      <c r="A78" s="31" t="s">
        <v>792</v>
      </c>
      <c r="B78" s="44">
        <v>4569.8508000000002</v>
      </c>
    </row>
    <row r="79" spans="1:2" x14ac:dyDescent="0.3">
      <c r="A79" s="31" t="s">
        <v>864</v>
      </c>
      <c r="B79" s="44">
        <v>4417.8334199999999</v>
      </c>
    </row>
    <row r="80" spans="1:2" x14ac:dyDescent="0.3">
      <c r="A80" s="31" t="s">
        <v>1091</v>
      </c>
      <c r="B80" s="44">
        <v>4071.8</v>
      </c>
    </row>
    <row r="81" spans="1:2" x14ac:dyDescent="0.3">
      <c r="A81" s="31" t="s">
        <v>1071</v>
      </c>
      <c r="B81" s="44">
        <v>3021.5016000000001</v>
      </c>
    </row>
    <row r="82" spans="1:2" x14ac:dyDescent="0.3">
      <c r="A82" s="31" t="s">
        <v>1198</v>
      </c>
      <c r="B82" s="44">
        <v>2719.8567000000003</v>
      </c>
    </row>
    <row r="83" spans="1:2" x14ac:dyDescent="0.3">
      <c r="A83" s="31" t="s">
        <v>846</v>
      </c>
      <c r="B83" s="44">
        <v>2117.4834999999998</v>
      </c>
    </row>
    <row r="84" spans="1:2" x14ac:dyDescent="0.3">
      <c r="A84" s="31" t="s">
        <v>1222</v>
      </c>
      <c r="B84" s="44">
        <v>1547.3500000000001</v>
      </c>
    </row>
    <row r="85" spans="1:2" x14ac:dyDescent="0.3">
      <c r="A85" s="31" t="s">
        <v>872</v>
      </c>
      <c r="B85" s="44">
        <v>1446.9507000000001</v>
      </c>
    </row>
    <row r="86" spans="1:2" x14ac:dyDescent="0.3">
      <c r="A86" s="31" t="s">
        <v>1351</v>
      </c>
      <c r="B86" s="44">
        <v>1030.7574</v>
      </c>
    </row>
    <row r="87" spans="1:2" x14ac:dyDescent="0.3">
      <c r="A87" s="31" t="s">
        <v>1249</v>
      </c>
      <c r="B87" s="44">
        <v>1010.3759200000001</v>
      </c>
    </row>
    <row r="88" spans="1:2" x14ac:dyDescent="0.3">
      <c r="A88" s="31" t="s">
        <v>1193</v>
      </c>
      <c r="B88" s="44">
        <v>930.17574000000002</v>
      </c>
    </row>
    <row r="89" spans="1:2" x14ac:dyDescent="0.3">
      <c r="A89" s="31" t="s">
        <v>954</v>
      </c>
      <c r="B89" s="44">
        <v>908.03700000000003</v>
      </c>
    </row>
    <row r="90" spans="1:2" x14ac:dyDescent="0.3">
      <c r="A90" s="31" t="s">
        <v>842</v>
      </c>
      <c r="B90">
        <v>549.80010000000004</v>
      </c>
    </row>
    <row r="91" spans="1:2" x14ac:dyDescent="0.3">
      <c r="A91" s="31" t="s">
        <v>791</v>
      </c>
      <c r="B91">
        <v>272.98599999999999</v>
      </c>
    </row>
    <row r="92" spans="1:2" x14ac:dyDescent="0.3">
      <c r="A92" s="31" t="s">
        <v>913</v>
      </c>
      <c r="B92">
        <v>18.659839999999999</v>
      </c>
    </row>
    <row r="93" spans="1:2" x14ac:dyDescent="0.3">
      <c r="A93" s="30" t="s">
        <v>726</v>
      </c>
      <c r="B93">
        <v>1545646.99758</v>
      </c>
    </row>
    <row r="94" spans="1:2" x14ac:dyDescent="0.3">
      <c r="A94" s="30" t="s">
        <v>730</v>
      </c>
      <c r="B94">
        <v>1711094.3776000002</v>
      </c>
    </row>
    <row r="95" spans="1:2" x14ac:dyDescent="0.3">
      <c r="A95" s="30" t="s">
        <v>731</v>
      </c>
      <c r="B95">
        <v>1551152.7018700002</v>
      </c>
    </row>
    <row r="96" spans="1:2" x14ac:dyDescent="0.3">
      <c r="A96" s="30" t="s">
        <v>728</v>
      </c>
      <c r="B96">
        <v>1774358.6154199992</v>
      </c>
    </row>
    <row r="97" spans="1:2" x14ac:dyDescent="0.3">
      <c r="A97" s="30" t="s">
        <v>729</v>
      </c>
      <c r="B97">
        <v>1398841.4533000002</v>
      </c>
    </row>
    <row r="98" spans="1:2" x14ac:dyDescent="0.3">
      <c r="A98" s="30" t="s">
        <v>727</v>
      </c>
      <c r="B98">
        <v>1616102.6546599991</v>
      </c>
    </row>
    <row r="99" spans="1:2" x14ac:dyDescent="0.3">
      <c r="A99" s="30" t="s">
        <v>1453</v>
      </c>
    </row>
    <row r="100" spans="1:2" x14ac:dyDescent="0.3">
      <c r="A100" s="31" t="s">
        <v>1453</v>
      </c>
    </row>
    <row r="101" spans="1:2" x14ac:dyDescent="0.3">
      <c r="A101" s="30" t="s">
        <v>1434</v>
      </c>
      <c r="B101">
        <v>10928845.716500001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630BB-1231-4EB7-8496-ADB802A8BD93}">
  <dimension ref="A3:B21"/>
  <sheetViews>
    <sheetView workbookViewId="0">
      <selection activeCell="Q36" sqref="Q36:Q37"/>
    </sheetView>
  </sheetViews>
  <sheetFormatPr defaultRowHeight="14.4" x14ac:dyDescent="0.3"/>
  <cols>
    <col min="1" max="1" width="12.5546875" bestFit="1" customWidth="1"/>
    <col min="2" max="2" width="17.33203125" bestFit="1" customWidth="1"/>
    <col min="3" max="3" width="17.33203125" customWidth="1"/>
    <col min="4" max="4" width="4.44140625" bestFit="1" customWidth="1"/>
    <col min="5" max="5" width="4" bestFit="1" customWidth="1"/>
    <col min="6" max="6" width="4.77734375" bestFit="1" customWidth="1"/>
    <col min="7" max="7" width="3.88671875" bestFit="1" customWidth="1"/>
    <col min="8" max="8" width="3.21875" bestFit="1" customWidth="1"/>
    <col min="9" max="9" width="4.33203125" bestFit="1" customWidth="1"/>
    <col min="10" max="10" width="4.77734375" bestFit="1" customWidth="1"/>
    <col min="11" max="11" width="3.88671875" bestFit="1" customWidth="1"/>
    <col min="12" max="12" width="4.44140625" bestFit="1" customWidth="1"/>
    <col min="13" max="13" width="4.109375" bestFit="1" customWidth="1"/>
    <col min="14" max="14" width="7" bestFit="1" customWidth="1"/>
    <col min="15" max="15" width="17.33203125" bestFit="1" customWidth="1"/>
    <col min="16" max="16" width="12.6640625" bestFit="1" customWidth="1"/>
    <col min="17" max="19" width="12" bestFit="1" customWidth="1"/>
    <col min="20" max="20" width="12.6640625" bestFit="1" customWidth="1"/>
    <col min="21" max="26" width="12" bestFit="1" customWidth="1"/>
    <col min="27" max="27" width="7" bestFit="1" customWidth="1"/>
    <col min="28" max="28" width="20.21875" bestFit="1" customWidth="1"/>
    <col min="29" max="29" width="22.109375" bestFit="1" customWidth="1"/>
  </cols>
  <sheetData>
    <row r="3" spans="1:2" x14ac:dyDescent="0.3">
      <c r="A3" s="29" t="s">
        <v>1433</v>
      </c>
      <c r="B3" t="s">
        <v>1457</v>
      </c>
    </row>
    <row r="4" spans="1:2" x14ac:dyDescent="0.3">
      <c r="A4" s="30" t="s">
        <v>719</v>
      </c>
      <c r="B4">
        <v>278058.39412999991</v>
      </c>
    </row>
    <row r="5" spans="1:2" x14ac:dyDescent="0.3">
      <c r="A5" s="30" t="s">
        <v>716</v>
      </c>
      <c r="B5">
        <v>315969.97084999998</v>
      </c>
    </row>
    <row r="6" spans="1:2" x14ac:dyDescent="0.3">
      <c r="A6" s="30" t="s">
        <v>711</v>
      </c>
      <c r="B6">
        <v>228052.27752</v>
      </c>
    </row>
    <row r="7" spans="1:2" x14ac:dyDescent="0.3">
      <c r="A7" s="30" t="s">
        <v>725</v>
      </c>
      <c r="B7">
        <v>152346.89571000001</v>
      </c>
    </row>
    <row r="8" spans="1:2" x14ac:dyDescent="0.3">
      <c r="A8" s="30" t="s">
        <v>717</v>
      </c>
      <c r="B8">
        <v>204981.34052999999</v>
      </c>
    </row>
    <row r="9" spans="1:2" x14ac:dyDescent="0.3">
      <c r="A9" s="30" t="s">
        <v>720</v>
      </c>
      <c r="B9">
        <v>298697.35435999988</v>
      </c>
    </row>
    <row r="10" spans="1:2" x14ac:dyDescent="0.3">
      <c r="A10" s="30" t="s">
        <v>714</v>
      </c>
      <c r="B10">
        <v>172441.87305000005</v>
      </c>
    </row>
    <row r="11" spans="1:2" x14ac:dyDescent="0.3">
      <c r="A11" s="30" t="s">
        <v>721</v>
      </c>
      <c r="B11">
        <v>137020.80853000001</v>
      </c>
    </row>
    <row r="12" spans="1:2" x14ac:dyDescent="0.3">
      <c r="A12" s="30" t="s">
        <v>1420</v>
      </c>
      <c r="B12">
        <v>21088.284389999997</v>
      </c>
    </row>
    <row r="13" spans="1:2" x14ac:dyDescent="0.3">
      <c r="A13" s="30" t="s">
        <v>713</v>
      </c>
      <c r="B13">
        <v>140021.69181999998</v>
      </c>
    </row>
    <row r="14" spans="1:2" x14ac:dyDescent="0.3">
      <c r="A14" s="30" t="s">
        <v>712</v>
      </c>
      <c r="B14">
        <v>281839.00624000013</v>
      </c>
    </row>
    <row r="15" spans="1:2" x14ac:dyDescent="0.3">
      <c r="A15" s="30" t="s">
        <v>722</v>
      </c>
      <c r="B15">
        <v>278762.26935999998</v>
      </c>
    </row>
    <row r="16" spans="1:2" x14ac:dyDescent="0.3">
      <c r="A16" s="30" t="s">
        <v>715</v>
      </c>
      <c r="B16">
        <v>293294.88892999996</v>
      </c>
    </row>
    <row r="17" spans="1:2" x14ac:dyDescent="0.3">
      <c r="A17" s="30" t="s">
        <v>723</v>
      </c>
      <c r="B17">
        <v>302657.05754999997</v>
      </c>
    </row>
    <row r="18" spans="1:2" x14ac:dyDescent="0.3">
      <c r="A18" s="30" t="s">
        <v>724</v>
      </c>
      <c r="B18">
        <v>110646.45658999999</v>
      </c>
    </row>
    <row r="19" spans="1:2" x14ac:dyDescent="0.3">
      <c r="A19" s="30" t="s">
        <v>718</v>
      </c>
      <c r="B19">
        <v>185219.43694000007</v>
      </c>
    </row>
    <row r="20" spans="1:2" x14ac:dyDescent="0.3">
      <c r="A20" s="30" t="s">
        <v>1453</v>
      </c>
    </row>
    <row r="21" spans="1:2" x14ac:dyDescent="0.3">
      <c r="A21" s="30" t="s">
        <v>1434</v>
      </c>
      <c r="B21">
        <v>3401098.0064999997</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014DF-C469-44F7-B1B1-7EA175424A29}">
  <dimension ref="A3:B16"/>
  <sheetViews>
    <sheetView topLeftCell="A7" workbookViewId="0">
      <selection activeCell="I14" sqref="I14"/>
    </sheetView>
  </sheetViews>
  <sheetFormatPr defaultRowHeight="14.4" x14ac:dyDescent="0.3"/>
  <cols>
    <col min="1" max="1" width="12.5546875" bestFit="1" customWidth="1"/>
    <col min="2" max="2" width="20" bestFit="1" customWidth="1"/>
    <col min="3" max="4" width="12" bestFit="1" customWidth="1"/>
    <col min="5" max="5" width="11" bestFit="1" customWidth="1"/>
    <col min="6" max="11" width="12" bestFit="1" customWidth="1"/>
    <col min="12" max="12" width="7" bestFit="1" customWidth="1"/>
    <col min="13" max="14" width="12" bestFit="1" customWidth="1"/>
    <col min="15" max="15" width="10.77734375" bestFit="1" customWidth="1"/>
  </cols>
  <sheetData>
    <row r="3" spans="1:2" x14ac:dyDescent="0.3">
      <c r="A3" s="29" t="s">
        <v>1433</v>
      </c>
      <c r="B3" t="s">
        <v>1448</v>
      </c>
    </row>
    <row r="4" spans="1:2" x14ac:dyDescent="0.3">
      <c r="A4" s="30" t="s">
        <v>1477</v>
      </c>
      <c r="B4">
        <v>67681.434080000006</v>
      </c>
    </row>
    <row r="5" spans="1:2" x14ac:dyDescent="0.3">
      <c r="A5" s="30" t="s">
        <v>1478</v>
      </c>
      <c r="B5">
        <v>89950.743950000004</v>
      </c>
    </row>
    <row r="6" spans="1:2" x14ac:dyDescent="0.3">
      <c r="A6" s="30" t="s">
        <v>1479</v>
      </c>
      <c r="B6">
        <v>68565.901729999998</v>
      </c>
    </row>
    <row r="7" spans="1:2" x14ac:dyDescent="0.3">
      <c r="A7" s="30" t="s">
        <v>1480</v>
      </c>
      <c r="B7">
        <v>37576.075599999996</v>
      </c>
    </row>
    <row r="8" spans="1:2" x14ac:dyDescent="0.3">
      <c r="A8" s="30" t="s">
        <v>1481</v>
      </c>
      <c r="B8">
        <v>58782.592839999998</v>
      </c>
    </row>
    <row r="9" spans="1:2" x14ac:dyDescent="0.3">
      <c r="A9" s="30" t="s">
        <v>1482</v>
      </c>
      <c r="B9">
        <v>131498.48269999999</v>
      </c>
    </row>
    <row r="10" spans="1:2" x14ac:dyDescent="0.3">
      <c r="A10" s="30" t="s">
        <v>1483</v>
      </c>
      <c r="B10">
        <v>71477.458799999993</v>
      </c>
    </row>
    <row r="11" spans="1:2" x14ac:dyDescent="0.3">
      <c r="A11" s="30" t="s">
        <v>1484</v>
      </c>
      <c r="B11">
        <v>97781.085999999981</v>
      </c>
    </row>
    <row r="12" spans="1:2" x14ac:dyDescent="0.3">
      <c r="A12" s="30" t="s">
        <v>1485</v>
      </c>
      <c r="B12">
        <v>35378.650520000003</v>
      </c>
    </row>
    <row r="13" spans="1:2" x14ac:dyDescent="0.3">
      <c r="A13" s="30" t="s">
        <v>1486</v>
      </c>
      <c r="B13">
        <v>131228.31789000001</v>
      </c>
    </row>
    <row r="14" spans="1:2" x14ac:dyDescent="0.3">
      <c r="A14" s="30" t="s">
        <v>1487</v>
      </c>
      <c r="B14">
        <v>4071.8</v>
      </c>
    </row>
    <row r="15" spans="1:2" x14ac:dyDescent="0.3">
      <c r="A15" s="30" t="s">
        <v>1488</v>
      </c>
      <c r="B15">
        <v>100797.83405999999</v>
      </c>
    </row>
    <row r="16" spans="1:2" x14ac:dyDescent="0.3">
      <c r="A16" s="30" t="s">
        <v>1434</v>
      </c>
      <c r="B16">
        <v>894790.37817000016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312D5-1B46-40B3-835A-C52E922D7B85}">
  <dimension ref="A3:F8"/>
  <sheetViews>
    <sheetView workbookViewId="0">
      <selection activeCell="D7" sqref="D7"/>
    </sheetView>
  </sheetViews>
  <sheetFormatPr defaultRowHeight="14.4" x14ac:dyDescent="0.3"/>
  <cols>
    <col min="1" max="1" width="15.44140625" bestFit="1" customWidth="1"/>
    <col min="2" max="2" width="15.5546875" bestFit="1" customWidth="1"/>
    <col min="3" max="5" width="4.6640625" bestFit="1" customWidth="1"/>
    <col min="6" max="6" width="10.77734375" bestFit="1" customWidth="1"/>
    <col min="7" max="7" width="16.44140625" bestFit="1" customWidth="1"/>
    <col min="8" max="8" width="15.44140625" bestFit="1" customWidth="1"/>
    <col min="9" max="9" width="16.44140625" bestFit="1" customWidth="1"/>
    <col min="10" max="10" width="20.21875" bestFit="1" customWidth="1"/>
    <col min="11" max="11" width="21.33203125" bestFit="1" customWidth="1"/>
    <col min="12" max="14" width="6.44140625" bestFit="1" customWidth="1"/>
    <col min="15" max="26" width="6.6640625" bestFit="1" customWidth="1"/>
    <col min="27" max="39" width="7.109375" bestFit="1" customWidth="1"/>
    <col min="40" max="53" width="6.6640625" bestFit="1" customWidth="1"/>
    <col min="54" max="68" width="7.44140625" bestFit="1" customWidth="1"/>
    <col min="69" max="82" width="6.5546875" bestFit="1" customWidth="1"/>
    <col min="83" max="99" width="5.88671875" bestFit="1" customWidth="1"/>
    <col min="100" max="116" width="7" bestFit="1" customWidth="1"/>
    <col min="117" max="125" width="7.44140625" bestFit="1" customWidth="1"/>
    <col min="126" max="139" width="6.5546875" bestFit="1" customWidth="1"/>
    <col min="140" max="146" width="7.109375" bestFit="1" customWidth="1"/>
    <col min="147" max="163" width="6.77734375" bestFit="1" customWidth="1"/>
    <col min="164" max="177" width="6.44140625" bestFit="1" customWidth="1"/>
    <col min="178" max="191" width="6.6640625" bestFit="1" customWidth="1"/>
    <col min="192" max="209" width="7.109375" bestFit="1" customWidth="1"/>
    <col min="210" max="222" width="6.6640625" bestFit="1" customWidth="1"/>
    <col min="223" max="239" width="7.44140625" bestFit="1" customWidth="1"/>
    <col min="240" max="256" width="6.5546875" bestFit="1" customWidth="1"/>
    <col min="257" max="267" width="5.88671875" bestFit="1" customWidth="1"/>
    <col min="268" max="284" width="7" bestFit="1" customWidth="1"/>
    <col min="285" max="297" width="7.44140625" bestFit="1" customWidth="1"/>
    <col min="298" max="316" width="6.5546875" bestFit="1" customWidth="1"/>
    <col min="317" max="332" width="7.109375" bestFit="1" customWidth="1"/>
    <col min="333" max="348" width="6.77734375" bestFit="1" customWidth="1"/>
    <col min="349" max="362" width="6.44140625" bestFit="1" customWidth="1"/>
    <col min="363" max="375" width="6.6640625" bestFit="1" customWidth="1"/>
    <col min="376" max="389" width="7.109375" bestFit="1" customWidth="1"/>
    <col min="390" max="406" width="6.6640625" bestFit="1" customWidth="1"/>
    <col min="407" max="419" width="7.44140625" bestFit="1" customWidth="1"/>
    <col min="420" max="433" width="6.5546875" bestFit="1" customWidth="1"/>
    <col min="434" max="446" width="5.88671875" bestFit="1" customWidth="1"/>
    <col min="447" max="461" width="7" bestFit="1" customWidth="1"/>
    <col min="462" max="469" width="7.44140625" bestFit="1" customWidth="1"/>
    <col min="470" max="470" width="10.77734375" bestFit="1" customWidth="1"/>
  </cols>
  <sheetData>
    <row r="3" spans="1:6" x14ac:dyDescent="0.3">
      <c r="A3" s="29" t="s">
        <v>1443</v>
      </c>
      <c r="B3" s="29" t="s">
        <v>1438</v>
      </c>
    </row>
    <row r="4" spans="1:6" x14ac:dyDescent="0.3">
      <c r="A4" s="29" t="s">
        <v>1444</v>
      </c>
      <c r="B4" t="s">
        <v>1439</v>
      </c>
      <c r="C4" t="s">
        <v>1440</v>
      </c>
      <c r="D4" t="s">
        <v>1441</v>
      </c>
      <c r="E4" t="s">
        <v>1442</v>
      </c>
      <c r="F4" t="s">
        <v>1434</v>
      </c>
    </row>
    <row r="5" spans="1:6" x14ac:dyDescent="0.3">
      <c r="A5" s="30" t="s">
        <v>1435</v>
      </c>
      <c r="B5">
        <v>47</v>
      </c>
      <c r="C5">
        <v>71</v>
      </c>
      <c r="D5">
        <v>59</v>
      </c>
      <c r="E5">
        <v>49</v>
      </c>
      <c r="F5">
        <v>226</v>
      </c>
    </row>
    <row r="6" spans="1:6" x14ac:dyDescent="0.3">
      <c r="A6" s="30" t="s">
        <v>1436</v>
      </c>
      <c r="B6">
        <v>64</v>
      </c>
      <c r="C6">
        <v>60</v>
      </c>
      <c r="D6">
        <v>52</v>
      </c>
      <c r="E6">
        <v>62</v>
      </c>
      <c r="F6">
        <v>238</v>
      </c>
    </row>
    <row r="7" spans="1:6" x14ac:dyDescent="0.3">
      <c r="A7" s="30" t="s">
        <v>1437</v>
      </c>
      <c r="B7">
        <v>52</v>
      </c>
      <c r="C7">
        <v>67</v>
      </c>
      <c r="D7">
        <v>49</v>
      </c>
      <c r="F7">
        <v>168</v>
      </c>
    </row>
    <row r="8" spans="1:6" x14ac:dyDescent="0.3">
      <c r="A8" s="30" t="s">
        <v>1434</v>
      </c>
      <c r="B8">
        <v>163</v>
      </c>
      <c r="C8">
        <v>198</v>
      </c>
      <c r="D8">
        <v>160</v>
      </c>
      <c r="E8">
        <v>111</v>
      </c>
      <c r="F8">
        <v>632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A2C80-9326-4A4D-8FF3-01A648F99730}">
  <dimension ref="A1:C16"/>
  <sheetViews>
    <sheetView workbookViewId="0">
      <selection activeCell="A7" sqref="A7"/>
    </sheetView>
  </sheetViews>
  <sheetFormatPr defaultRowHeight="14.4" x14ac:dyDescent="0.3"/>
  <cols>
    <col min="1" max="1" width="16.77734375" bestFit="1" customWidth="1"/>
    <col min="2" max="2" width="15.44140625" bestFit="1" customWidth="1"/>
    <col min="3" max="3" width="16.44140625" bestFit="1" customWidth="1"/>
    <col min="4" max="4" width="6.6640625" bestFit="1" customWidth="1"/>
    <col min="5" max="5" width="9.5546875" bestFit="1" customWidth="1"/>
    <col min="6" max="6" width="5.77734375" bestFit="1" customWidth="1"/>
    <col min="7" max="7" width="11.21875" bestFit="1" customWidth="1"/>
    <col min="8" max="8" width="6.88671875" bestFit="1" customWidth="1"/>
    <col min="9" max="9" width="10.33203125" bestFit="1" customWidth="1"/>
    <col min="10" max="10" width="7.6640625" bestFit="1" customWidth="1"/>
    <col min="11" max="11" width="5.21875" bestFit="1" customWidth="1"/>
    <col min="12" max="12" width="7.21875" bestFit="1" customWidth="1"/>
    <col min="13" max="13" width="8.77734375" bestFit="1" customWidth="1"/>
    <col min="14" max="14" width="10.21875" bestFit="1" customWidth="1"/>
    <col min="15" max="15" width="12.77734375" bestFit="1" customWidth="1"/>
    <col min="16" max="16" width="7.21875" bestFit="1" customWidth="1"/>
    <col min="17" max="17" width="5.77734375" bestFit="1" customWidth="1"/>
    <col min="18" max="18" width="7.44140625" bestFit="1" customWidth="1"/>
    <col min="19" max="19" width="5.109375" bestFit="1" customWidth="1"/>
    <col min="20" max="20" width="11" bestFit="1" customWidth="1"/>
    <col min="21" max="21" width="8.5546875" bestFit="1" customWidth="1"/>
    <col min="22" max="22" width="9.44140625" bestFit="1" customWidth="1"/>
    <col min="23" max="23" width="8.77734375" bestFit="1" customWidth="1"/>
    <col min="24" max="24" width="8.109375" bestFit="1" customWidth="1"/>
    <col min="25" max="26" width="7.44140625" bestFit="1" customWidth="1"/>
    <col min="27" max="27" width="7.109375" bestFit="1" customWidth="1"/>
    <col min="28" max="28" width="7.21875" bestFit="1" customWidth="1"/>
    <col min="29" max="29" width="9" bestFit="1" customWidth="1"/>
    <col min="30" max="30" width="6.109375" bestFit="1" customWidth="1"/>
    <col min="31" max="31" width="5" bestFit="1" customWidth="1"/>
    <col min="32" max="32" width="12.33203125" bestFit="1" customWidth="1"/>
    <col min="33" max="33" width="12.6640625" bestFit="1" customWidth="1"/>
    <col min="34" max="34" width="12.33203125" bestFit="1" customWidth="1"/>
    <col min="35" max="35" width="9.33203125" bestFit="1" customWidth="1"/>
    <col min="36" max="36" width="8.77734375" bestFit="1" customWidth="1"/>
    <col min="37" max="37" width="9.21875" bestFit="1" customWidth="1"/>
    <col min="38" max="38" width="6.21875" bestFit="1" customWidth="1"/>
    <col min="39" max="39" width="7.77734375" bestFit="1" customWidth="1"/>
    <col min="40" max="40" width="10.109375" bestFit="1" customWidth="1"/>
    <col min="41" max="41" width="10.77734375" bestFit="1" customWidth="1"/>
    <col min="42" max="42" width="12.77734375" bestFit="1" customWidth="1"/>
    <col min="43" max="43" width="16.109375" bestFit="1" customWidth="1"/>
    <col min="44" max="44" width="16.77734375" bestFit="1" customWidth="1"/>
    <col min="45" max="45" width="7.44140625" bestFit="1" customWidth="1"/>
    <col min="46" max="46" width="11" bestFit="1" customWidth="1"/>
    <col min="47" max="47" width="19.5546875" bestFit="1" customWidth="1"/>
    <col min="48" max="48" width="6.5546875" bestFit="1" customWidth="1"/>
    <col min="49" max="49" width="7.6640625" bestFit="1" customWidth="1"/>
    <col min="50" max="50" width="9" bestFit="1" customWidth="1"/>
    <col min="51" max="51" width="12.33203125" bestFit="1" customWidth="1"/>
    <col min="52" max="52" width="9.21875" bestFit="1" customWidth="1"/>
    <col min="53" max="53" width="10.77734375" bestFit="1" customWidth="1"/>
  </cols>
  <sheetData>
    <row r="1" spans="1:3" x14ac:dyDescent="0.3">
      <c r="A1" s="29" t="s">
        <v>3</v>
      </c>
      <c r="B1" t="s">
        <v>1498</v>
      </c>
    </row>
    <row r="3" spans="1:3" x14ac:dyDescent="0.3">
      <c r="A3" s="29" t="s">
        <v>1433</v>
      </c>
      <c r="B3" t="s">
        <v>1443</v>
      </c>
      <c r="C3" t="s">
        <v>1497</v>
      </c>
    </row>
    <row r="4" spans="1:3" x14ac:dyDescent="0.3">
      <c r="A4" s="30" t="s">
        <v>654</v>
      </c>
      <c r="B4">
        <v>62</v>
      </c>
      <c r="C4">
        <v>62</v>
      </c>
    </row>
    <row r="5" spans="1:3" x14ac:dyDescent="0.3">
      <c r="A5" s="30" t="s">
        <v>652</v>
      </c>
      <c r="B5">
        <v>44</v>
      </c>
      <c r="C5">
        <v>44</v>
      </c>
    </row>
    <row r="6" spans="1:3" x14ac:dyDescent="0.3">
      <c r="A6" s="30" t="s">
        <v>658</v>
      </c>
      <c r="B6">
        <v>51</v>
      </c>
      <c r="C6">
        <v>51</v>
      </c>
    </row>
    <row r="7" spans="1:3" x14ac:dyDescent="0.3">
      <c r="A7" s="30" t="s">
        <v>656</v>
      </c>
      <c r="B7">
        <v>54</v>
      </c>
      <c r="C7">
        <v>54</v>
      </c>
    </row>
    <row r="8" spans="1:3" x14ac:dyDescent="0.3">
      <c r="A8" s="30" t="s">
        <v>655</v>
      </c>
      <c r="B8">
        <v>51</v>
      </c>
      <c r="C8">
        <v>51</v>
      </c>
    </row>
    <row r="9" spans="1:3" x14ac:dyDescent="0.3">
      <c r="A9" s="30" t="s">
        <v>653</v>
      </c>
      <c r="B9">
        <v>61</v>
      </c>
      <c r="C9">
        <v>61</v>
      </c>
    </row>
    <row r="10" spans="1:3" x14ac:dyDescent="0.3">
      <c r="A10" s="30" t="s">
        <v>651</v>
      </c>
      <c r="B10">
        <v>59</v>
      </c>
      <c r="C10">
        <v>59</v>
      </c>
    </row>
    <row r="11" spans="1:3" x14ac:dyDescent="0.3">
      <c r="A11" s="30" t="s">
        <v>649</v>
      </c>
      <c r="B11">
        <v>56</v>
      </c>
      <c r="C11">
        <v>56</v>
      </c>
    </row>
    <row r="12" spans="1:3" x14ac:dyDescent="0.3">
      <c r="A12" s="30" t="s">
        <v>650</v>
      </c>
      <c r="B12">
        <v>44</v>
      </c>
      <c r="C12">
        <v>44</v>
      </c>
    </row>
    <row r="13" spans="1:3" x14ac:dyDescent="0.3">
      <c r="A13" s="30" t="s">
        <v>660</v>
      </c>
      <c r="B13">
        <v>45</v>
      </c>
      <c r="C13">
        <v>45</v>
      </c>
    </row>
    <row r="14" spans="1:3" x14ac:dyDescent="0.3">
      <c r="A14" s="30" t="s">
        <v>657</v>
      </c>
      <c r="B14">
        <v>54</v>
      </c>
      <c r="C14">
        <v>54</v>
      </c>
    </row>
    <row r="15" spans="1:3" x14ac:dyDescent="0.3">
      <c r="A15" s="30" t="s">
        <v>659</v>
      </c>
      <c r="B15">
        <v>51</v>
      </c>
      <c r="C15">
        <v>51</v>
      </c>
    </row>
    <row r="16" spans="1:3" x14ac:dyDescent="0.3">
      <c r="A16" s="30" t="s">
        <v>1434</v>
      </c>
      <c r="B16">
        <v>632</v>
      </c>
      <c r="C16">
        <v>632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Brief</vt:lpstr>
      <vt:lpstr>DASHBOARD</vt:lpstr>
      <vt:lpstr>staging data</vt:lpstr>
      <vt:lpstr>ABC Analysis.SKU.Revenuecat.</vt:lpstr>
      <vt:lpstr>SKU Top10byrevenue</vt:lpstr>
      <vt:lpstr>Top10SKU.chart</vt:lpstr>
      <vt:lpstr>Pivot.Top10SKU</vt:lpstr>
      <vt:lpstr>Revenueperchannel</vt:lpstr>
      <vt:lpstr>Documentation</vt:lpstr>
      <vt:lpstr>Leadtimedays(%)</vt:lpstr>
      <vt:lpstr>Profitper.Region.Channel</vt:lpstr>
      <vt:lpstr>Discount outliers</vt:lpstr>
      <vt:lpstr>First.month sales per country</vt:lpstr>
      <vt:lpstr>ABC Analysis</vt:lpstr>
      <vt:lpstr>Sales productivityperson</vt:lpstr>
      <vt:lpstr>Revenuepermonth.</vt:lpstr>
      <vt:lpstr>OrderCount.Quarterly</vt:lpstr>
      <vt:lpstr>Regional.Hierachy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Jewels Chelah</cp:lastModifiedBy>
  <dcterms:created xsi:type="dcterms:W3CDTF">2025-09-28T10:49:35Z</dcterms:created>
  <dcterms:modified xsi:type="dcterms:W3CDTF">2026-02-01T18:51:59Z</dcterms:modified>
</cp:coreProperties>
</file>